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46163</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46163</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46163</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46163</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46163</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46163</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46163</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11048-2026</t>
        </is>
      </c>
      <c r="B16" s="1" t="n">
        <v>46079.58841435185</v>
      </c>
      <c r="C16" s="1" t="n">
        <v>46163</v>
      </c>
      <c r="D16" t="inlineStr">
        <is>
          <t>ÖSTERGÖTLANDS LÄN</t>
        </is>
      </c>
      <c r="E16" t="inlineStr">
        <is>
          <t>LINKÖPING</t>
        </is>
      </c>
      <c r="G16" t="n">
        <v>4.1</v>
      </c>
      <c r="H16" t="n">
        <v>0</v>
      </c>
      <c r="I16" t="n">
        <v>3</v>
      </c>
      <c r="J16" t="n">
        <v>0</v>
      </c>
      <c r="K16" t="n">
        <v>0</v>
      </c>
      <c r="L16" t="n">
        <v>0</v>
      </c>
      <c r="M16" t="n">
        <v>0</v>
      </c>
      <c r="N16" t="n">
        <v>0</v>
      </c>
      <c r="O16" t="n">
        <v>0</v>
      </c>
      <c r="P16" t="n">
        <v>0</v>
      </c>
      <c r="Q16" t="n">
        <v>3</v>
      </c>
      <c r="R16" s="2" t="inlineStr">
        <is>
          <t>Svart trolldruva
Sårläka
Tibast</t>
        </is>
      </c>
      <c r="S16">
        <f>HYPERLINK("https://klasma.github.io/Logging_0580/artfynd/A 11048-2026 artfynd.xlsx", "A 11048-2026")</f>
        <v/>
      </c>
      <c r="T16">
        <f>HYPERLINK("https://klasma.github.io/Logging_0580/kartor/A 11048-2026 karta.png", "A 11048-2026")</f>
        <v/>
      </c>
      <c r="V16">
        <f>HYPERLINK("https://klasma.github.io/Logging_0580/klagomål/A 11048-2026 FSC-klagomål.docx", "A 11048-2026")</f>
        <v/>
      </c>
      <c r="W16">
        <f>HYPERLINK("https://klasma.github.io/Logging_0580/klagomålsmail/A 11048-2026 FSC-klagomål mail.docx", "A 11048-2026")</f>
        <v/>
      </c>
      <c r="X16">
        <f>HYPERLINK("https://klasma.github.io/Logging_0580/tillsyn/A 11048-2026 tillsynsbegäran.docx", "A 11048-2026")</f>
        <v/>
      </c>
      <c r="Y16">
        <f>HYPERLINK("https://klasma.github.io/Logging_0580/tillsynsmail/A 11048-2026 tillsynsbegäran mail.docx", "A 11048-2026")</f>
        <v/>
      </c>
    </row>
    <row r="17" ht="15" customHeight="1">
      <c r="A17" t="inlineStr">
        <is>
          <t>A 11097-2026</t>
        </is>
      </c>
      <c r="B17" s="1" t="n">
        <v>46079.64511574074</v>
      </c>
      <c r="C17" s="1" t="n">
        <v>46163</v>
      </c>
      <c r="D17" t="inlineStr">
        <is>
          <t>ÖSTERGÖTLANDS LÄN</t>
        </is>
      </c>
      <c r="E17" t="inlineStr">
        <is>
          <t>LINKÖPING</t>
        </is>
      </c>
      <c r="G17" t="n">
        <v>3.7</v>
      </c>
      <c r="H17" t="n">
        <v>0</v>
      </c>
      <c r="I17" t="n">
        <v>1</v>
      </c>
      <c r="J17" t="n">
        <v>2</v>
      </c>
      <c r="K17" t="n">
        <v>0</v>
      </c>
      <c r="L17" t="n">
        <v>0</v>
      </c>
      <c r="M17" t="n">
        <v>0</v>
      </c>
      <c r="N17" t="n">
        <v>0</v>
      </c>
      <c r="O17" t="n">
        <v>2</v>
      </c>
      <c r="P17" t="n">
        <v>0</v>
      </c>
      <c r="Q17" t="n">
        <v>3</v>
      </c>
      <c r="R17" s="2" t="inlineStr">
        <is>
          <t>Bäcksidenmossa
Vedtrappmossa
Trubbfjädermossa</t>
        </is>
      </c>
      <c r="S17">
        <f>HYPERLINK("https://klasma.github.io/Logging_0580/artfynd/A 11097-2026 artfynd.xlsx", "A 11097-2026")</f>
        <v/>
      </c>
      <c r="T17">
        <f>HYPERLINK("https://klasma.github.io/Logging_0580/kartor/A 11097-2026 karta.png", "A 11097-2026")</f>
        <v/>
      </c>
      <c r="V17">
        <f>HYPERLINK("https://klasma.github.io/Logging_0580/klagomål/A 11097-2026 FSC-klagomål.docx", "A 11097-2026")</f>
        <v/>
      </c>
      <c r="W17">
        <f>HYPERLINK("https://klasma.github.io/Logging_0580/klagomålsmail/A 11097-2026 FSC-klagomål mail.docx", "A 11097-2026")</f>
        <v/>
      </c>
      <c r="X17">
        <f>HYPERLINK("https://klasma.github.io/Logging_0580/tillsyn/A 11097-2026 tillsynsbegäran.docx", "A 11097-2026")</f>
        <v/>
      </c>
      <c r="Y17">
        <f>HYPERLINK("https://klasma.github.io/Logging_0580/tillsynsmail/A 11097-2026 tillsynsbegäran mail.docx", "A 11097-2026")</f>
        <v/>
      </c>
    </row>
    <row r="18" ht="15" customHeight="1">
      <c r="A18" t="inlineStr">
        <is>
          <t>A 12494-2026</t>
        </is>
      </c>
      <c r="B18" s="1" t="n">
        <v>46090.56896990741</v>
      </c>
      <c r="C18" s="1" t="n">
        <v>46163</v>
      </c>
      <c r="D18" t="inlineStr">
        <is>
          <t>ÖSTERGÖTLANDS LÄN</t>
        </is>
      </c>
      <c r="E18" t="inlineStr">
        <is>
          <t>LINKÖPING</t>
        </is>
      </c>
      <c r="G18" t="n">
        <v>3.4</v>
      </c>
      <c r="H18" t="n">
        <v>1</v>
      </c>
      <c r="I18" t="n">
        <v>0</v>
      </c>
      <c r="J18" t="n">
        <v>1</v>
      </c>
      <c r="K18" t="n">
        <v>1</v>
      </c>
      <c r="L18" t="n">
        <v>0</v>
      </c>
      <c r="M18" t="n">
        <v>0</v>
      </c>
      <c r="N18" t="n">
        <v>0</v>
      </c>
      <c r="O18" t="n">
        <v>2</v>
      </c>
      <c r="P18" t="n">
        <v>1</v>
      </c>
      <c r="Q18" t="n">
        <v>3</v>
      </c>
      <c r="R18" s="2" t="inlineStr">
        <is>
          <t>Slåttergubbe
Svinrot
Blåsippa</t>
        </is>
      </c>
      <c r="S18">
        <f>HYPERLINK("https://klasma.github.io/Logging_0580/artfynd/A 12494-2026 artfynd.xlsx", "A 12494-2026")</f>
        <v/>
      </c>
      <c r="T18">
        <f>HYPERLINK("https://klasma.github.io/Logging_0580/kartor/A 12494-2026 karta.png", "A 12494-2026")</f>
        <v/>
      </c>
      <c r="V18">
        <f>HYPERLINK("https://klasma.github.io/Logging_0580/klagomål/A 12494-2026 FSC-klagomål.docx", "A 12494-2026")</f>
        <v/>
      </c>
      <c r="W18">
        <f>HYPERLINK("https://klasma.github.io/Logging_0580/klagomålsmail/A 12494-2026 FSC-klagomål mail.docx", "A 12494-2026")</f>
        <v/>
      </c>
      <c r="X18">
        <f>HYPERLINK("https://klasma.github.io/Logging_0580/tillsyn/A 12494-2026 tillsynsbegäran.docx", "A 12494-2026")</f>
        <v/>
      </c>
      <c r="Y18">
        <f>HYPERLINK("https://klasma.github.io/Logging_0580/tillsynsmail/A 12494-2026 tillsynsbegäran mail.docx", "A 12494-2026")</f>
        <v/>
      </c>
    </row>
    <row r="19" ht="15" customHeight="1">
      <c r="A19" t="inlineStr">
        <is>
          <t>A 49999-2025</t>
        </is>
      </c>
      <c r="B19" s="1" t="n">
        <v>45943.30185185185</v>
      </c>
      <c r="C19" s="1" t="n">
        <v>46163</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46163</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46163</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46163</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46163</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46163</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46163</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46163</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46163</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46163</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46163</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46163</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46163</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46163</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46163</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12247-2026</t>
        </is>
      </c>
      <c r="B34" s="1" t="n">
        <v>46087.44436342592</v>
      </c>
      <c r="C34" s="1" t="n">
        <v>46163</v>
      </c>
      <c r="D34" t="inlineStr">
        <is>
          <t>ÖSTERGÖTLANDS LÄN</t>
        </is>
      </c>
      <c r="E34" t="inlineStr">
        <is>
          <t>LINKÖPING</t>
        </is>
      </c>
      <c r="G34" t="n">
        <v>0.9</v>
      </c>
      <c r="H34" t="n">
        <v>1</v>
      </c>
      <c r="I34" t="n">
        <v>0</v>
      </c>
      <c r="J34" t="n">
        <v>2</v>
      </c>
      <c r="K34" t="n">
        <v>0</v>
      </c>
      <c r="L34" t="n">
        <v>0</v>
      </c>
      <c r="M34" t="n">
        <v>0</v>
      </c>
      <c r="N34" t="n">
        <v>0</v>
      </c>
      <c r="O34" t="n">
        <v>2</v>
      </c>
      <c r="P34" t="n">
        <v>0</v>
      </c>
      <c r="Q34" t="n">
        <v>2</v>
      </c>
      <c r="R34" s="2" t="inlineStr">
        <is>
          <t>Spillkråka
Vedtrappmossa</t>
        </is>
      </c>
      <c r="S34">
        <f>HYPERLINK("https://klasma.github.io/Logging_0580/artfynd/A 12247-2026 artfynd.xlsx", "A 12247-2026")</f>
        <v/>
      </c>
      <c r="T34">
        <f>HYPERLINK("https://klasma.github.io/Logging_0580/kartor/A 12247-2026 karta.png", "A 12247-2026")</f>
        <v/>
      </c>
      <c r="V34">
        <f>HYPERLINK("https://klasma.github.io/Logging_0580/klagomål/A 12247-2026 FSC-klagomål.docx", "A 12247-2026")</f>
        <v/>
      </c>
      <c r="W34">
        <f>HYPERLINK("https://klasma.github.io/Logging_0580/klagomålsmail/A 12247-2026 FSC-klagomål mail.docx", "A 12247-2026")</f>
        <v/>
      </c>
      <c r="X34">
        <f>HYPERLINK("https://klasma.github.io/Logging_0580/tillsyn/A 12247-2026 tillsynsbegäran.docx", "A 12247-2026")</f>
        <v/>
      </c>
      <c r="Y34">
        <f>HYPERLINK("https://klasma.github.io/Logging_0580/tillsynsmail/A 12247-2026 tillsynsbegäran mail.docx", "A 12247-2026")</f>
        <v/>
      </c>
      <c r="Z34">
        <f>HYPERLINK("https://klasma.github.io/Logging_0580/fåglar/A 12247-2026 prioriterade fågelarter.docx", "A 12247-2026")</f>
        <v/>
      </c>
    </row>
    <row r="35" ht="15" customHeight="1">
      <c r="A35" t="inlineStr">
        <is>
          <t>A 22040-2023</t>
        </is>
      </c>
      <c r="B35" s="1" t="n">
        <v>45068</v>
      </c>
      <c r="C35" s="1" t="n">
        <v>46163</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50048-2025</t>
        </is>
      </c>
      <c r="B36" s="1" t="n">
        <v>45941</v>
      </c>
      <c r="C36" s="1" t="n">
        <v>46163</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49188-2024</t>
        </is>
      </c>
      <c r="B37" s="1" t="n">
        <v>45595</v>
      </c>
      <c r="C37" s="1" t="n">
        <v>46163</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46163</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21228-2026</t>
        </is>
      </c>
      <c r="B39" s="1" t="n">
        <v>46146.7919212963</v>
      </c>
      <c r="C39" s="1" t="n">
        <v>46163</v>
      </c>
      <c r="D39" t="inlineStr">
        <is>
          <t>ÖSTERGÖTLANDS LÄN</t>
        </is>
      </c>
      <c r="E39" t="inlineStr">
        <is>
          <t>LINKÖPING</t>
        </is>
      </c>
      <c r="G39" t="n">
        <v>2.5</v>
      </c>
      <c r="H39" t="n">
        <v>2</v>
      </c>
      <c r="I39" t="n">
        <v>0</v>
      </c>
      <c r="J39" t="n">
        <v>0</v>
      </c>
      <c r="K39" t="n">
        <v>0</v>
      </c>
      <c r="L39" t="n">
        <v>0</v>
      </c>
      <c r="M39" t="n">
        <v>0</v>
      </c>
      <c r="N39" t="n">
        <v>0</v>
      </c>
      <c r="O39" t="n">
        <v>0</v>
      </c>
      <c r="P39" t="n">
        <v>0</v>
      </c>
      <c r="Q39" t="n">
        <v>2</v>
      </c>
      <c r="R39" s="2" t="inlineStr">
        <is>
          <t>Kungsfågel
Vanlig groda</t>
        </is>
      </c>
      <c r="S39">
        <f>HYPERLINK("https://klasma.github.io/Logging_0580/artfynd/A 21228-2026 artfynd.xlsx", "A 21228-2026")</f>
        <v/>
      </c>
      <c r="T39">
        <f>HYPERLINK("https://klasma.github.io/Logging_0580/kartor/A 21228-2026 karta.png", "A 21228-2026")</f>
        <v/>
      </c>
      <c r="V39">
        <f>HYPERLINK("https://klasma.github.io/Logging_0580/klagomål/A 21228-2026 FSC-klagomål.docx", "A 21228-2026")</f>
        <v/>
      </c>
      <c r="W39">
        <f>HYPERLINK("https://klasma.github.io/Logging_0580/klagomålsmail/A 21228-2026 FSC-klagomål mail.docx", "A 21228-2026")</f>
        <v/>
      </c>
      <c r="X39">
        <f>HYPERLINK("https://klasma.github.io/Logging_0580/tillsyn/A 21228-2026 tillsynsbegäran.docx", "A 21228-2026")</f>
        <v/>
      </c>
      <c r="Y39">
        <f>HYPERLINK("https://klasma.github.io/Logging_0580/tillsynsmail/A 21228-2026 tillsynsbegäran mail.docx", "A 21228-2026")</f>
        <v/>
      </c>
      <c r="Z39">
        <f>HYPERLINK("https://klasma.github.io/Logging_0580/fåglar/A 21228-2026 prioriterade fågelarter.docx", "A 21228-2026")</f>
        <v/>
      </c>
    </row>
    <row r="40" ht="15" customHeight="1">
      <c r="A40" t="inlineStr">
        <is>
          <t>A 20292-2025</t>
        </is>
      </c>
      <c r="B40" s="1" t="n">
        <v>45774.7449537037</v>
      </c>
      <c r="C40" s="1" t="n">
        <v>46163</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46163</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15856-2026</t>
        </is>
      </c>
      <c r="B42" s="1" t="n">
        <v>46107.57620370371</v>
      </c>
      <c r="C42" s="1" t="n">
        <v>46163</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46163</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22074-2026</t>
        </is>
      </c>
      <c r="B44" s="1" t="n">
        <v>46153.50032407408</v>
      </c>
      <c r="C44" s="1" t="n">
        <v>46163</v>
      </c>
      <c r="D44" t="inlineStr">
        <is>
          <t>ÖSTERGÖTLANDS LÄN</t>
        </is>
      </c>
      <c r="E44" t="inlineStr">
        <is>
          <t>LINKÖPING</t>
        </is>
      </c>
      <c r="G44" t="n">
        <v>1.9</v>
      </c>
      <c r="H44" t="n">
        <v>0</v>
      </c>
      <c r="I44" t="n">
        <v>2</v>
      </c>
      <c r="J44" t="n">
        <v>0</v>
      </c>
      <c r="K44" t="n">
        <v>0</v>
      </c>
      <c r="L44" t="n">
        <v>0</v>
      </c>
      <c r="M44" t="n">
        <v>0</v>
      </c>
      <c r="N44" t="n">
        <v>0</v>
      </c>
      <c r="O44" t="n">
        <v>0</v>
      </c>
      <c r="P44" t="n">
        <v>0</v>
      </c>
      <c r="Q44" t="n">
        <v>2</v>
      </c>
      <c r="R44" s="2" t="inlineStr">
        <is>
          <t>Blomkålssvamp
Mandelriska</t>
        </is>
      </c>
      <c r="S44">
        <f>HYPERLINK("https://klasma.github.io/Logging_0580/artfynd/A 22074-2026 artfynd.xlsx", "A 22074-2026")</f>
        <v/>
      </c>
      <c r="T44">
        <f>HYPERLINK("https://klasma.github.io/Logging_0580/kartor/A 22074-2026 karta.png", "A 22074-2026")</f>
        <v/>
      </c>
      <c r="V44">
        <f>HYPERLINK("https://klasma.github.io/Logging_0580/klagomål/A 22074-2026 FSC-klagomål.docx", "A 22074-2026")</f>
        <v/>
      </c>
      <c r="W44">
        <f>HYPERLINK("https://klasma.github.io/Logging_0580/klagomålsmail/A 22074-2026 FSC-klagomål mail.docx", "A 22074-2026")</f>
        <v/>
      </c>
      <c r="X44">
        <f>HYPERLINK("https://klasma.github.io/Logging_0580/tillsyn/A 22074-2026 tillsynsbegäran.docx", "A 22074-2026")</f>
        <v/>
      </c>
      <c r="Y44">
        <f>HYPERLINK("https://klasma.github.io/Logging_0580/tillsynsmail/A 22074-2026 tillsynsbegäran mail.docx", "A 22074-2026")</f>
        <v/>
      </c>
    </row>
    <row r="45" ht="15" customHeight="1">
      <c r="A45" t="inlineStr">
        <is>
          <t>A 3912-2026</t>
        </is>
      </c>
      <c r="B45" s="1" t="n">
        <v>46043.71958333333</v>
      </c>
      <c r="C45" s="1" t="n">
        <v>46163</v>
      </c>
      <c r="D45" t="inlineStr">
        <is>
          <t>ÖSTERGÖTLANDS LÄN</t>
        </is>
      </c>
      <c r="E45" t="inlineStr">
        <is>
          <t>LINKÖPING</t>
        </is>
      </c>
      <c r="F45" t="inlineStr">
        <is>
          <t>Kyrkan</t>
        </is>
      </c>
      <c r="G45" t="n">
        <v>6.8</v>
      </c>
      <c r="H45" t="n">
        <v>1</v>
      </c>
      <c r="I45" t="n">
        <v>1</v>
      </c>
      <c r="J45" t="n">
        <v>0</v>
      </c>
      <c r="K45" t="n">
        <v>1</v>
      </c>
      <c r="L45" t="n">
        <v>0</v>
      </c>
      <c r="M45" t="n">
        <v>0</v>
      </c>
      <c r="N45" t="n">
        <v>0</v>
      </c>
      <c r="O45" t="n">
        <v>1</v>
      </c>
      <c r="P45" t="n">
        <v>1</v>
      </c>
      <c r="Q45" t="n">
        <v>2</v>
      </c>
      <c r="R45" s="2" t="inlineStr">
        <is>
          <t>Knärot
Grönpyrola</t>
        </is>
      </c>
      <c r="S45">
        <f>HYPERLINK("https://klasma.github.io/Logging_0580/artfynd/A 3912-2026 artfynd.xlsx", "A 3912-2026")</f>
        <v/>
      </c>
      <c r="T45">
        <f>HYPERLINK("https://klasma.github.io/Logging_0580/kartor/A 3912-2026 karta.png", "A 3912-2026")</f>
        <v/>
      </c>
      <c r="U45">
        <f>HYPERLINK("https://klasma.github.io/Logging_0580/knärot/A 3912-2026 karta knärot.png", "A 3912-2026")</f>
        <v/>
      </c>
      <c r="V45">
        <f>HYPERLINK("https://klasma.github.io/Logging_0580/klagomål/A 3912-2026 FSC-klagomål.docx", "A 3912-2026")</f>
        <v/>
      </c>
      <c r="W45">
        <f>HYPERLINK("https://klasma.github.io/Logging_0580/klagomålsmail/A 3912-2026 FSC-klagomål mail.docx", "A 3912-2026")</f>
        <v/>
      </c>
      <c r="X45">
        <f>HYPERLINK("https://klasma.github.io/Logging_0580/tillsyn/A 3912-2026 tillsynsbegäran.docx", "A 3912-2026")</f>
        <v/>
      </c>
      <c r="Y45">
        <f>HYPERLINK("https://klasma.github.io/Logging_0580/tillsynsmail/A 3912-2026 tillsynsbegäran mail.docx", "A 3912-2026")</f>
        <v/>
      </c>
    </row>
    <row r="46" ht="15" customHeight="1">
      <c r="A46" t="inlineStr">
        <is>
          <t>A 41751-2023</t>
        </is>
      </c>
      <c r="B46" s="1" t="n">
        <v>45176</v>
      </c>
      <c r="C46" s="1" t="n">
        <v>46163</v>
      </c>
      <c r="D46" t="inlineStr">
        <is>
          <t>ÖSTERGÖTLANDS LÄN</t>
        </is>
      </c>
      <c r="E46" t="inlineStr">
        <is>
          <t>LINKÖPING</t>
        </is>
      </c>
      <c r="G46" t="n">
        <v>1.5</v>
      </c>
      <c r="H46" t="n">
        <v>1</v>
      </c>
      <c r="I46" t="n">
        <v>0</v>
      </c>
      <c r="J46" t="n">
        <v>1</v>
      </c>
      <c r="K46" t="n">
        <v>0</v>
      </c>
      <c r="L46" t="n">
        <v>0</v>
      </c>
      <c r="M46" t="n">
        <v>0</v>
      </c>
      <c r="N46" t="n">
        <v>0</v>
      </c>
      <c r="O46" t="n">
        <v>1</v>
      </c>
      <c r="P46" t="n">
        <v>0</v>
      </c>
      <c r="Q46" t="n">
        <v>2</v>
      </c>
      <c r="R46" s="2" t="inlineStr">
        <is>
          <t>Svinrot
Grönvit nattviol</t>
        </is>
      </c>
      <c r="S46">
        <f>HYPERLINK("https://klasma.github.io/Logging_0580/artfynd/A 41751-2023 artfynd.xlsx", "A 41751-2023")</f>
        <v/>
      </c>
      <c r="T46">
        <f>HYPERLINK("https://klasma.github.io/Logging_0580/kartor/A 41751-2023 karta.png", "A 41751-2023")</f>
        <v/>
      </c>
      <c r="V46">
        <f>HYPERLINK("https://klasma.github.io/Logging_0580/klagomål/A 41751-2023 FSC-klagomål.docx", "A 41751-2023")</f>
        <v/>
      </c>
      <c r="W46">
        <f>HYPERLINK("https://klasma.github.io/Logging_0580/klagomålsmail/A 41751-2023 FSC-klagomål mail.docx", "A 41751-2023")</f>
        <v/>
      </c>
      <c r="X46">
        <f>HYPERLINK("https://klasma.github.io/Logging_0580/tillsyn/A 41751-2023 tillsynsbegäran.docx", "A 41751-2023")</f>
        <v/>
      </c>
      <c r="Y46">
        <f>HYPERLINK("https://klasma.github.io/Logging_0580/tillsynsmail/A 41751-2023 tillsynsbegäran mail.docx", "A 41751-2023")</f>
        <v/>
      </c>
    </row>
    <row r="47" ht="15" customHeight="1">
      <c r="A47" t="inlineStr">
        <is>
          <t>A 42858-2023</t>
        </is>
      </c>
      <c r="B47" s="1" t="n">
        <v>45177</v>
      </c>
      <c r="C47" s="1" t="n">
        <v>46163</v>
      </c>
      <c r="D47" t="inlineStr">
        <is>
          <t>ÖSTERGÖTLANDS LÄN</t>
        </is>
      </c>
      <c r="E47" t="inlineStr">
        <is>
          <t>LINKÖPING</t>
        </is>
      </c>
      <c r="G47" t="n">
        <v>5.3</v>
      </c>
      <c r="H47" t="n">
        <v>1</v>
      </c>
      <c r="I47" t="n">
        <v>0</v>
      </c>
      <c r="J47" t="n">
        <v>1</v>
      </c>
      <c r="K47" t="n">
        <v>0</v>
      </c>
      <c r="L47" t="n">
        <v>0</v>
      </c>
      <c r="M47" t="n">
        <v>0</v>
      </c>
      <c r="N47" t="n">
        <v>0</v>
      </c>
      <c r="O47" t="n">
        <v>1</v>
      </c>
      <c r="P47" t="n">
        <v>0</v>
      </c>
      <c r="Q47" t="n">
        <v>2</v>
      </c>
      <c r="R47" s="2" t="inlineStr">
        <is>
          <t>Svinrot
Skogsödla</t>
        </is>
      </c>
      <c r="S47">
        <f>HYPERLINK("https://klasma.github.io/Logging_0580/artfynd/A 42858-2023 artfynd.xlsx", "A 42858-2023")</f>
        <v/>
      </c>
      <c r="T47">
        <f>HYPERLINK("https://klasma.github.io/Logging_0580/kartor/A 42858-2023 karta.png", "A 42858-2023")</f>
        <v/>
      </c>
      <c r="V47">
        <f>HYPERLINK("https://klasma.github.io/Logging_0580/klagomål/A 42858-2023 FSC-klagomål.docx", "A 42858-2023")</f>
        <v/>
      </c>
      <c r="W47">
        <f>HYPERLINK("https://klasma.github.io/Logging_0580/klagomålsmail/A 42858-2023 FSC-klagomål mail.docx", "A 42858-2023")</f>
        <v/>
      </c>
      <c r="X47">
        <f>HYPERLINK("https://klasma.github.io/Logging_0580/tillsyn/A 42858-2023 tillsynsbegäran.docx", "A 42858-2023")</f>
        <v/>
      </c>
      <c r="Y47">
        <f>HYPERLINK("https://klasma.github.io/Logging_0580/tillsynsmail/A 42858-2023 tillsynsbegäran mail.docx", "A 42858-2023")</f>
        <v/>
      </c>
    </row>
    <row r="48" ht="15" customHeight="1">
      <c r="A48" t="inlineStr">
        <is>
          <t>A 55344-2024</t>
        </is>
      </c>
      <c r="B48" s="1" t="n">
        <v>45621.7202662037</v>
      </c>
      <c r="C48" s="1" t="n">
        <v>46163</v>
      </c>
      <c r="D48" t="inlineStr">
        <is>
          <t>ÖSTERGÖTLANDS LÄN</t>
        </is>
      </c>
      <c r="E48" t="inlineStr">
        <is>
          <t>LINKÖPING</t>
        </is>
      </c>
      <c r="G48" t="n">
        <v>6.6</v>
      </c>
      <c r="H48" t="n">
        <v>0</v>
      </c>
      <c r="I48" t="n">
        <v>0</v>
      </c>
      <c r="J48" t="n">
        <v>2</v>
      </c>
      <c r="K48" t="n">
        <v>0</v>
      </c>
      <c r="L48" t="n">
        <v>0</v>
      </c>
      <c r="M48" t="n">
        <v>0</v>
      </c>
      <c r="N48" t="n">
        <v>0</v>
      </c>
      <c r="O48" t="n">
        <v>2</v>
      </c>
      <c r="P48" t="n">
        <v>0</v>
      </c>
      <c r="Q48" t="n">
        <v>2</v>
      </c>
      <c r="R48" s="2" t="inlineStr">
        <is>
          <t>Kandelabersvamp
Stjärnnästing</t>
        </is>
      </c>
      <c r="S48">
        <f>HYPERLINK("https://klasma.github.io/Logging_0580/artfynd/A 55344-2024 artfynd.xlsx", "A 55344-2024")</f>
        <v/>
      </c>
      <c r="T48">
        <f>HYPERLINK("https://klasma.github.io/Logging_0580/kartor/A 55344-2024 karta.png", "A 55344-2024")</f>
        <v/>
      </c>
      <c r="V48">
        <f>HYPERLINK("https://klasma.github.io/Logging_0580/klagomål/A 55344-2024 FSC-klagomål.docx", "A 55344-2024")</f>
        <v/>
      </c>
      <c r="W48">
        <f>HYPERLINK("https://klasma.github.io/Logging_0580/klagomålsmail/A 55344-2024 FSC-klagomål mail.docx", "A 55344-2024")</f>
        <v/>
      </c>
      <c r="X48">
        <f>HYPERLINK("https://klasma.github.io/Logging_0580/tillsyn/A 55344-2024 tillsynsbegäran.docx", "A 55344-2024")</f>
        <v/>
      </c>
      <c r="Y48">
        <f>HYPERLINK("https://klasma.github.io/Logging_0580/tillsynsmail/A 55344-2024 tillsynsbegäran mail.docx", "A 55344-2024")</f>
        <v/>
      </c>
    </row>
    <row r="49" ht="15" customHeight="1">
      <c r="A49" t="inlineStr">
        <is>
          <t>A 21326-2025</t>
        </is>
      </c>
      <c r="B49" s="1" t="n">
        <v>45782.35407407407</v>
      </c>
      <c r="C49" s="1" t="n">
        <v>46163</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27795-2025</t>
        </is>
      </c>
      <c r="B50" s="1" t="n">
        <v>45816.7908912037</v>
      </c>
      <c r="C50" s="1" t="n">
        <v>46163</v>
      </c>
      <c r="D50" t="inlineStr">
        <is>
          <t>ÖSTERGÖTLANDS LÄN</t>
        </is>
      </c>
      <c r="E50" t="inlineStr">
        <is>
          <t>LINKÖPING</t>
        </is>
      </c>
      <c r="G50" t="n">
        <v>5</v>
      </c>
      <c r="H50" t="n">
        <v>0</v>
      </c>
      <c r="I50" t="n">
        <v>0</v>
      </c>
      <c r="J50" t="n">
        <v>2</v>
      </c>
      <c r="K50" t="n">
        <v>0</v>
      </c>
      <c r="L50" t="n">
        <v>0</v>
      </c>
      <c r="M50" t="n">
        <v>0</v>
      </c>
      <c r="N50" t="n">
        <v>0</v>
      </c>
      <c r="O50" t="n">
        <v>2</v>
      </c>
      <c r="P50" t="n">
        <v>0</v>
      </c>
      <c r="Q50" t="n">
        <v>2</v>
      </c>
      <c r="R50" s="2" t="inlineStr">
        <is>
          <t>Svinrot
Ängsskära</t>
        </is>
      </c>
      <c r="S50">
        <f>HYPERLINK("https://klasma.github.io/Logging_0580/artfynd/A 27795-2025 artfynd.xlsx", "A 27795-2025")</f>
        <v/>
      </c>
      <c r="T50">
        <f>HYPERLINK("https://klasma.github.io/Logging_0580/kartor/A 27795-2025 karta.png", "A 27795-2025")</f>
        <v/>
      </c>
      <c r="V50">
        <f>HYPERLINK("https://klasma.github.io/Logging_0580/klagomål/A 27795-2025 FSC-klagomål.docx", "A 27795-2025")</f>
        <v/>
      </c>
      <c r="W50">
        <f>HYPERLINK("https://klasma.github.io/Logging_0580/klagomålsmail/A 27795-2025 FSC-klagomål mail.docx", "A 27795-2025")</f>
        <v/>
      </c>
      <c r="X50">
        <f>HYPERLINK("https://klasma.github.io/Logging_0580/tillsyn/A 27795-2025 tillsynsbegäran.docx", "A 27795-2025")</f>
        <v/>
      </c>
      <c r="Y50">
        <f>HYPERLINK("https://klasma.github.io/Logging_0580/tillsynsmail/A 27795-2025 tillsynsbegäran mail.docx", "A 27795-2025")</f>
        <v/>
      </c>
    </row>
    <row r="51" ht="15" customHeight="1">
      <c r="A51" t="inlineStr">
        <is>
          <t>A 38129-2021</t>
        </is>
      </c>
      <c r="B51" s="1" t="n">
        <v>44405.37199074074</v>
      </c>
      <c r="C51" s="1" t="n">
        <v>46163</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46163</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46163</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46163</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46163</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46163</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931-2025</t>
        </is>
      </c>
      <c r="B57" s="1" t="n">
        <v>45665.88498842593</v>
      </c>
      <c r="C57" s="1" t="n">
        <v>46163</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1716-2023</t>
        </is>
      </c>
      <c r="B58" s="1" t="n">
        <v>44938</v>
      </c>
      <c r="C58" s="1" t="n">
        <v>46163</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1716-2023 artfynd.xlsx", "A 1716-2023")</f>
        <v/>
      </c>
      <c r="T58">
        <f>HYPERLINK("https://klasma.github.io/Logging_0580/kartor/A 1716-2023 karta.png", "A 1716-2023")</f>
        <v/>
      </c>
      <c r="V58">
        <f>HYPERLINK("https://klasma.github.io/Logging_0580/klagomål/A 1716-2023 FSC-klagomål.docx", "A 1716-2023")</f>
        <v/>
      </c>
      <c r="W58">
        <f>HYPERLINK("https://klasma.github.io/Logging_0580/klagomålsmail/A 1716-2023 FSC-klagomål mail.docx", "A 1716-2023")</f>
        <v/>
      </c>
      <c r="X58">
        <f>HYPERLINK("https://klasma.github.io/Logging_0580/tillsyn/A 1716-2023 tillsynsbegäran.docx", "A 1716-2023")</f>
        <v/>
      </c>
      <c r="Y58">
        <f>HYPERLINK("https://klasma.github.io/Logging_0580/tillsynsmail/A 1716-2023 tillsynsbegäran mail.docx", "A 1716-2023")</f>
        <v/>
      </c>
    </row>
    <row r="59" ht="15" customHeight="1">
      <c r="A59" t="inlineStr">
        <is>
          <t>A 1213-2023</t>
        </is>
      </c>
      <c r="B59" s="1" t="n">
        <v>44930</v>
      </c>
      <c r="C59" s="1" t="n">
        <v>46163</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46163</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59948-2022</t>
        </is>
      </c>
      <c r="B61" s="1" t="n">
        <v>44909</v>
      </c>
      <c r="C61" s="1" t="n">
        <v>46163</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37683-2024</t>
        </is>
      </c>
      <c r="B62" s="1" t="n">
        <v>45541.59120370371</v>
      </c>
      <c r="C62" s="1" t="n">
        <v>46163</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29393-2025</t>
        </is>
      </c>
      <c r="B63" s="1" t="n">
        <v>45824.6057175926</v>
      </c>
      <c r="C63" s="1" t="n">
        <v>46163</v>
      </c>
      <c r="D63" t="inlineStr">
        <is>
          <t>ÖSTERGÖTLANDS LÄN</t>
        </is>
      </c>
      <c r="E63" t="inlineStr">
        <is>
          <t>LINKÖPING</t>
        </is>
      </c>
      <c r="F63" t="inlineStr">
        <is>
          <t>Sveaskog</t>
        </is>
      </c>
      <c r="G63" t="n">
        <v>24.6</v>
      </c>
      <c r="H63" t="n">
        <v>1</v>
      </c>
      <c r="I63" t="n">
        <v>0</v>
      </c>
      <c r="J63" t="n">
        <v>0</v>
      </c>
      <c r="K63" t="n">
        <v>1</v>
      </c>
      <c r="L63" t="n">
        <v>0</v>
      </c>
      <c r="M63" t="n">
        <v>0</v>
      </c>
      <c r="N63" t="n">
        <v>0</v>
      </c>
      <c r="O63" t="n">
        <v>1</v>
      </c>
      <c r="P63" t="n">
        <v>1</v>
      </c>
      <c r="Q63" t="n">
        <v>1</v>
      </c>
      <c r="R63" s="2" t="inlineStr">
        <is>
          <t>Skogsgås</t>
        </is>
      </c>
      <c r="S63">
        <f>HYPERLINK("https://klasma.github.io/Logging_0580/artfynd/A 29393-2025 artfynd.xlsx", "A 29393-2025")</f>
        <v/>
      </c>
      <c r="T63">
        <f>HYPERLINK("https://klasma.github.io/Logging_0580/kartor/A 29393-2025 karta.png", "A 29393-2025")</f>
        <v/>
      </c>
      <c r="V63">
        <f>HYPERLINK("https://klasma.github.io/Logging_0580/klagomål/A 29393-2025 FSC-klagomål.docx", "A 29393-2025")</f>
        <v/>
      </c>
      <c r="W63">
        <f>HYPERLINK("https://klasma.github.io/Logging_0580/klagomålsmail/A 29393-2025 FSC-klagomål mail.docx", "A 29393-2025")</f>
        <v/>
      </c>
      <c r="X63">
        <f>HYPERLINK("https://klasma.github.io/Logging_0580/tillsyn/A 29393-2025 tillsynsbegäran.docx", "A 29393-2025")</f>
        <v/>
      </c>
      <c r="Y63">
        <f>HYPERLINK("https://klasma.github.io/Logging_0580/tillsynsmail/A 29393-2025 tillsynsbegäran mail.docx", "A 29393-2025")</f>
        <v/>
      </c>
      <c r="Z63">
        <f>HYPERLINK("https://klasma.github.io/Logging_0580/fåglar/A 29393-2025 prioriterade fågelarter.docx", "A 29393-2025")</f>
        <v/>
      </c>
    </row>
    <row r="64" ht="15" customHeight="1">
      <c r="A64" t="inlineStr">
        <is>
          <t>A 22526-2025</t>
        </is>
      </c>
      <c r="B64" s="1" t="n">
        <v>45786.78096064815</v>
      </c>
      <c r="C64" s="1" t="n">
        <v>46163</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56651-2023</t>
        </is>
      </c>
      <c r="B65" s="1" t="n">
        <v>45243</v>
      </c>
      <c r="C65" s="1" t="n">
        <v>46163</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46163</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42054-2022</t>
        </is>
      </c>
      <c r="B67" s="1" t="n">
        <v>44830</v>
      </c>
      <c r="C67" s="1" t="n">
        <v>46163</v>
      </c>
      <c r="D67" t="inlineStr">
        <is>
          <t>ÖSTERGÖTLANDS LÄN</t>
        </is>
      </c>
      <c r="E67" t="inlineStr">
        <is>
          <t>LINKÖPING</t>
        </is>
      </c>
      <c r="G67" t="n">
        <v>1.7</v>
      </c>
      <c r="H67" t="n">
        <v>0</v>
      </c>
      <c r="I67" t="n">
        <v>0</v>
      </c>
      <c r="J67" t="n">
        <v>1</v>
      </c>
      <c r="K67" t="n">
        <v>0</v>
      </c>
      <c r="L67" t="n">
        <v>0</v>
      </c>
      <c r="M67" t="n">
        <v>0</v>
      </c>
      <c r="N67" t="n">
        <v>0</v>
      </c>
      <c r="O67" t="n">
        <v>1</v>
      </c>
      <c r="P67" t="n">
        <v>0</v>
      </c>
      <c r="Q67" t="n">
        <v>1</v>
      </c>
      <c r="R67" s="2" t="inlineStr">
        <is>
          <t>Tallticka</t>
        </is>
      </c>
      <c r="S67">
        <f>HYPERLINK("https://klasma.github.io/Logging_0580/artfynd/A 42054-2022 artfynd.xlsx", "A 42054-2022")</f>
        <v/>
      </c>
      <c r="T67">
        <f>HYPERLINK("https://klasma.github.io/Logging_0580/kartor/A 42054-2022 karta.png", "A 42054-2022")</f>
        <v/>
      </c>
      <c r="V67">
        <f>HYPERLINK("https://klasma.github.io/Logging_0580/klagomål/A 42054-2022 FSC-klagomål.docx", "A 42054-2022")</f>
        <v/>
      </c>
      <c r="W67">
        <f>HYPERLINK("https://klasma.github.io/Logging_0580/klagomålsmail/A 42054-2022 FSC-klagomål mail.docx", "A 42054-2022")</f>
        <v/>
      </c>
      <c r="X67">
        <f>HYPERLINK("https://klasma.github.io/Logging_0580/tillsyn/A 42054-2022 tillsynsbegäran.docx", "A 42054-2022")</f>
        <v/>
      </c>
      <c r="Y67">
        <f>HYPERLINK("https://klasma.github.io/Logging_0580/tillsynsmail/A 42054-2022 tillsynsbegäran mail.docx", "A 42054-2022")</f>
        <v/>
      </c>
    </row>
    <row r="68" ht="15" customHeight="1">
      <c r="A68" t="inlineStr">
        <is>
          <t>A 36723-2023</t>
        </is>
      </c>
      <c r="B68" s="1" t="n">
        <v>45153</v>
      </c>
      <c r="C68" s="1" t="n">
        <v>46163</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5911-2022</t>
        </is>
      </c>
      <c r="B69" s="1" t="n">
        <v>44597</v>
      </c>
      <c r="C69" s="1" t="n">
        <v>46163</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90-2024</t>
        </is>
      </c>
      <c r="B70" s="1" t="n">
        <v>45293</v>
      </c>
      <c r="C70" s="1" t="n">
        <v>46163</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40315-2024</t>
        </is>
      </c>
      <c r="B71" s="1" t="n">
        <v>45554.7571875</v>
      </c>
      <c r="C71" s="1" t="n">
        <v>46163</v>
      </c>
      <c r="D71" t="inlineStr">
        <is>
          <t>ÖSTERGÖTLANDS LÄN</t>
        </is>
      </c>
      <c r="E71" t="inlineStr">
        <is>
          <t>LINKÖPING</t>
        </is>
      </c>
      <c r="F71" t="inlineStr">
        <is>
          <t>Allmännings- och besparingsskogar</t>
        </is>
      </c>
      <c r="G71" t="n">
        <v>15.8</v>
      </c>
      <c r="H71" t="n">
        <v>0</v>
      </c>
      <c r="I71" t="n">
        <v>0</v>
      </c>
      <c r="J71" t="n">
        <v>0</v>
      </c>
      <c r="K71" t="n">
        <v>0</v>
      </c>
      <c r="L71" t="n">
        <v>0</v>
      </c>
      <c r="M71" t="n">
        <v>1</v>
      </c>
      <c r="N71" t="n">
        <v>0</v>
      </c>
      <c r="O71" t="n">
        <v>1</v>
      </c>
      <c r="P71" t="n">
        <v>1</v>
      </c>
      <c r="Q71" t="n">
        <v>1</v>
      </c>
      <c r="R71" s="2" t="inlineStr">
        <is>
          <t>Skogsalm</t>
        </is>
      </c>
      <c r="S71">
        <f>HYPERLINK("https://klasma.github.io/Logging_0580/artfynd/A 40315-2024 artfynd.xlsx", "A 40315-2024")</f>
        <v/>
      </c>
      <c r="T71">
        <f>HYPERLINK("https://klasma.github.io/Logging_0580/kartor/A 40315-2024 karta.png", "A 40315-2024")</f>
        <v/>
      </c>
      <c r="V71">
        <f>HYPERLINK("https://klasma.github.io/Logging_0580/klagomål/A 40315-2024 FSC-klagomål.docx", "A 40315-2024")</f>
        <v/>
      </c>
      <c r="W71">
        <f>HYPERLINK("https://klasma.github.io/Logging_0580/klagomålsmail/A 40315-2024 FSC-klagomål mail.docx", "A 40315-2024")</f>
        <v/>
      </c>
      <c r="X71">
        <f>HYPERLINK("https://klasma.github.io/Logging_0580/tillsyn/A 40315-2024 tillsynsbegäran.docx", "A 40315-2024")</f>
        <v/>
      </c>
      <c r="Y71">
        <f>HYPERLINK("https://klasma.github.io/Logging_0580/tillsynsmail/A 40315-2024 tillsynsbegäran mail.docx", "A 40315-2024")</f>
        <v/>
      </c>
    </row>
    <row r="72" ht="15" customHeight="1">
      <c r="A72" t="inlineStr">
        <is>
          <t>A 43989-2025</t>
        </is>
      </c>
      <c r="B72" s="1" t="n">
        <v>45915.44128472222</v>
      </c>
      <c r="C72" s="1" t="n">
        <v>46163</v>
      </c>
      <c r="D72" t="inlineStr">
        <is>
          <t>ÖSTERGÖTLANDS LÄN</t>
        </is>
      </c>
      <c r="E72" t="inlineStr">
        <is>
          <t>LINKÖPING</t>
        </is>
      </c>
      <c r="F72" t="inlineStr">
        <is>
          <t>Allmännings- och besparingsskogar</t>
        </is>
      </c>
      <c r="G72" t="n">
        <v>3.5</v>
      </c>
      <c r="H72" t="n">
        <v>0</v>
      </c>
      <c r="I72" t="n">
        <v>0</v>
      </c>
      <c r="J72" t="n">
        <v>1</v>
      </c>
      <c r="K72" t="n">
        <v>0</v>
      </c>
      <c r="L72" t="n">
        <v>0</v>
      </c>
      <c r="M72" t="n">
        <v>0</v>
      </c>
      <c r="N72" t="n">
        <v>0</v>
      </c>
      <c r="O72" t="n">
        <v>1</v>
      </c>
      <c r="P72" t="n">
        <v>0</v>
      </c>
      <c r="Q72" t="n">
        <v>1</v>
      </c>
      <c r="R72" s="2" t="inlineStr">
        <is>
          <t>Kavelhirs</t>
        </is>
      </c>
      <c r="S72">
        <f>HYPERLINK("https://klasma.github.io/Logging_0580/artfynd/A 43989-2025 artfynd.xlsx", "A 43989-2025")</f>
        <v/>
      </c>
      <c r="T72">
        <f>HYPERLINK("https://klasma.github.io/Logging_0580/kartor/A 43989-2025 karta.png", "A 43989-2025")</f>
        <v/>
      </c>
      <c r="V72">
        <f>HYPERLINK("https://klasma.github.io/Logging_0580/klagomål/A 43989-2025 FSC-klagomål.docx", "A 43989-2025")</f>
        <v/>
      </c>
      <c r="W72">
        <f>HYPERLINK("https://klasma.github.io/Logging_0580/klagomålsmail/A 43989-2025 FSC-klagomål mail.docx", "A 43989-2025")</f>
        <v/>
      </c>
      <c r="X72">
        <f>HYPERLINK("https://klasma.github.io/Logging_0580/tillsyn/A 43989-2025 tillsynsbegäran.docx", "A 43989-2025")</f>
        <v/>
      </c>
      <c r="Y72">
        <f>HYPERLINK("https://klasma.github.io/Logging_0580/tillsynsmail/A 43989-2025 tillsynsbegäran mail.docx", "A 43989-2025")</f>
        <v/>
      </c>
    </row>
    <row r="73" ht="15" customHeight="1">
      <c r="A73" t="inlineStr">
        <is>
          <t>A 44760-2025</t>
        </is>
      </c>
      <c r="B73" s="1" t="n">
        <v>45917.71873842592</v>
      </c>
      <c r="C73" s="1" t="n">
        <v>46163</v>
      </c>
      <c r="D73" t="inlineStr">
        <is>
          <t>ÖSTERGÖTLANDS LÄN</t>
        </is>
      </c>
      <c r="E73" t="inlineStr">
        <is>
          <t>LINKÖPING</t>
        </is>
      </c>
      <c r="G73" t="n">
        <v>0.9</v>
      </c>
      <c r="H73" t="n">
        <v>0</v>
      </c>
      <c r="I73" t="n">
        <v>0</v>
      </c>
      <c r="J73" t="n">
        <v>1</v>
      </c>
      <c r="K73" t="n">
        <v>0</v>
      </c>
      <c r="L73" t="n">
        <v>0</v>
      </c>
      <c r="M73" t="n">
        <v>0</v>
      </c>
      <c r="N73" t="n">
        <v>0</v>
      </c>
      <c r="O73" t="n">
        <v>1</v>
      </c>
      <c r="P73" t="n">
        <v>0</v>
      </c>
      <c r="Q73" t="n">
        <v>1</v>
      </c>
      <c r="R73" s="2" t="inlineStr">
        <is>
          <t>Tallticka</t>
        </is>
      </c>
      <c r="S73">
        <f>HYPERLINK("https://klasma.github.io/Logging_0580/artfynd/A 44760-2025 artfynd.xlsx", "A 44760-2025")</f>
        <v/>
      </c>
      <c r="T73">
        <f>HYPERLINK("https://klasma.github.io/Logging_0580/kartor/A 44760-2025 karta.png", "A 44760-2025")</f>
        <v/>
      </c>
      <c r="V73">
        <f>HYPERLINK("https://klasma.github.io/Logging_0580/klagomål/A 44760-2025 FSC-klagomål.docx", "A 44760-2025")</f>
        <v/>
      </c>
      <c r="W73">
        <f>HYPERLINK("https://klasma.github.io/Logging_0580/klagomålsmail/A 44760-2025 FSC-klagomål mail.docx", "A 44760-2025")</f>
        <v/>
      </c>
      <c r="X73">
        <f>HYPERLINK("https://klasma.github.io/Logging_0580/tillsyn/A 44760-2025 tillsynsbegäran.docx", "A 44760-2025")</f>
        <v/>
      </c>
      <c r="Y73">
        <f>HYPERLINK("https://klasma.github.io/Logging_0580/tillsynsmail/A 44760-2025 tillsynsbegäran mail.docx", "A 44760-2025")</f>
        <v/>
      </c>
    </row>
    <row r="74" ht="15" customHeight="1">
      <c r="A74" t="inlineStr">
        <is>
          <t>A 15290-2025</t>
        </is>
      </c>
      <c r="B74" s="1" t="n">
        <v>45745.45288194445</v>
      </c>
      <c r="C74" s="1" t="n">
        <v>46163</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48347-2025</t>
        </is>
      </c>
      <c r="B75" s="1" t="n">
        <v>45932</v>
      </c>
      <c r="C75" s="1" t="n">
        <v>46163</v>
      </c>
      <c r="D75" t="inlineStr">
        <is>
          <t>ÖSTERGÖTLANDS LÄN</t>
        </is>
      </c>
      <c r="E75" t="inlineStr">
        <is>
          <t>LINKÖPING</t>
        </is>
      </c>
      <c r="F75" t="inlineStr">
        <is>
          <t>Övriga Aktiebolag</t>
        </is>
      </c>
      <c r="G75" t="n">
        <v>0.9</v>
      </c>
      <c r="H75" t="n">
        <v>0</v>
      </c>
      <c r="I75" t="n">
        <v>0</v>
      </c>
      <c r="J75" t="n">
        <v>1</v>
      </c>
      <c r="K75" t="n">
        <v>0</v>
      </c>
      <c r="L75" t="n">
        <v>0</v>
      </c>
      <c r="M75" t="n">
        <v>0</v>
      </c>
      <c r="N75" t="n">
        <v>0</v>
      </c>
      <c r="O75" t="n">
        <v>1</v>
      </c>
      <c r="P75" t="n">
        <v>0</v>
      </c>
      <c r="Q75" t="n">
        <v>1</v>
      </c>
      <c r="R75" s="2" t="inlineStr">
        <is>
          <t>Igelkott</t>
        </is>
      </c>
      <c r="S75">
        <f>HYPERLINK("https://klasma.github.io/Logging_0580/artfynd/A 48347-2025 artfynd.xlsx", "A 48347-2025")</f>
        <v/>
      </c>
      <c r="T75">
        <f>HYPERLINK("https://klasma.github.io/Logging_0580/kartor/A 48347-2025 karta.png", "A 48347-2025")</f>
        <v/>
      </c>
      <c r="V75">
        <f>HYPERLINK("https://klasma.github.io/Logging_0580/klagomål/A 48347-2025 FSC-klagomål.docx", "A 48347-2025")</f>
        <v/>
      </c>
      <c r="W75">
        <f>HYPERLINK("https://klasma.github.io/Logging_0580/klagomålsmail/A 48347-2025 FSC-klagomål mail.docx", "A 48347-2025")</f>
        <v/>
      </c>
      <c r="X75">
        <f>HYPERLINK("https://klasma.github.io/Logging_0580/tillsyn/A 48347-2025 tillsynsbegäran.docx", "A 48347-2025")</f>
        <v/>
      </c>
      <c r="Y75">
        <f>HYPERLINK("https://klasma.github.io/Logging_0580/tillsynsmail/A 48347-2025 tillsynsbegäran mail.docx", "A 48347-2025")</f>
        <v/>
      </c>
    </row>
    <row r="76" ht="15" customHeight="1">
      <c r="A76" t="inlineStr">
        <is>
          <t>A 48353-2025</t>
        </is>
      </c>
      <c r="B76" s="1" t="n">
        <v>45932</v>
      </c>
      <c r="C76" s="1" t="n">
        <v>46163</v>
      </c>
      <c r="D76" t="inlineStr">
        <is>
          <t>ÖSTERGÖTLANDS LÄN</t>
        </is>
      </c>
      <c r="E76" t="inlineStr">
        <is>
          <t>LINKÖPING</t>
        </is>
      </c>
      <c r="F76" t="inlineStr">
        <is>
          <t>Övriga Aktiebolag</t>
        </is>
      </c>
      <c r="G76" t="n">
        <v>4.5</v>
      </c>
      <c r="H76" t="n">
        <v>1</v>
      </c>
      <c r="I76" t="n">
        <v>0</v>
      </c>
      <c r="J76" t="n">
        <v>1</v>
      </c>
      <c r="K76" t="n">
        <v>0</v>
      </c>
      <c r="L76" t="n">
        <v>0</v>
      </c>
      <c r="M76" t="n">
        <v>0</v>
      </c>
      <c r="N76" t="n">
        <v>0</v>
      </c>
      <c r="O76" t="n">
        <v>1</v>
      </c>
      <c r="P76" t="n">
        <v>0</v>
      </c>
      <c r="Q76" t="n">
        <v>1</v>
      </c>
      <c r="R76" s="2" t="inlineStr">
        <is>
          <t>Entita</t>
        </is>
      </c>
      <c r="S76">
        <f>HYPERLINK("https://klasma.github.io/Logging_0580/artfynd/A 48353-2025 artfynd.xlsx", "A 48353-2025")</f>
        <v/>
      </c>
      <c r="T76">
        <f>HYPERLINK("https://klasma.github.io/Logging_0580/kartor/A 48353-2025 karta.png", "A 48353-2025")</f>
        <v/>
      </c>
      <c r="V76">
        <f>HYPERLINK("https://klasma.github.io/Logging_0580/klagomål/A 48353-2025 FSC-klagomål.docx", "A 48353-2025")</f>
        <v/>
      </c>
      <c r="W76">
        <f>HYPERLINK("https://klasma.github.io/Logging_0580/klagomålsmail/A 48353-2025 FSC-klagomål mail.docx", "A 48353-2025")</f>
        <v/>
      </c>
      <c r="X76">
        <f>HYPERLINK("https://klasma.github.io/Logging_0580/tillsyn/A 48353-2025 tillsynsbegäran.docx", "A 48353-2025")</f>
        <v/>
      </c>
      <c r="Y76">
        <f>HYPERLINK("https://klasma.github.io/Logging_0580/tillsynsmail/A 48353-2025 tillsynsbegäran mail.docx", "A 48353-2025")</f>
        <v/>
      </c>
      <c r="Z76">
        <f>HYPERLINK("https://klasma.github.io/Logging_0580/fåglar/A 48353-2025 prioriterade fågelarter.docx", "A 48353-2025")</f>
        <v/>
      </c>
    </row>
    <row r="77" ht="15" customHeight="1">
      <c r="A77" t="inlineStr">
        <is>
          <t>A 48273-2025</t>
        </is>
      </c>
      <c r="B77" s="1" t="n">
        <v>45932</v>
      </c>
      <c r="C77" s="1" t="n">
        <v>46163</v>
      </c>
      <c r="D77" t="inlineStr">
        <is>
          <t>ÖSTERGÖTLANDS LÄN</t>
        </is>
      </c>
      <c r="E77" t="inlineStr">
        <is>
          <t>LINKÖPING</t>
        </is>
      </c>
      <c r="F77" t="inlineStr">
        <is>
          <t>Övriga Aktiebolag</t>
        </is>
      </c>
      <c r="G77" t="n">
        <v>4.6</v>
      </c>
      <c r="H77" t="n">
        <v>0</v>
      </c>
      <c r="I77" t="n">
        <v>0</v>
      </c>
      <c r="J77" t="n">
        <v>1</v>
      </c>
      <c r="K77" t="n">
        <v>0</v>
      </c>
      <c r="L77" t="n">
        <v>0</v>
      </c>
      <c r="M77" t="n">
        <v>0</v>
      </c>
      <c r="N77" t="n">
        <v>0</v>
      </c>
      <c r="O77" t="n">
        <v>1</v>
      </c>
      <c r="P77" t="n">
        <v>0</v>
      </c>
      <c r="Q77" t="n">
        <v>1</v>
      </c>
      <c r="R77" s="2" t="inlineStr">
        <is>
          <t>Barrviolspindling</t>
        </is>
      </c>
      <c r="S77">
        <f>HYPERLINK("https://klasma.github.io/Logging_0580/artfynd/A 48273-2025 artfynd.xlsx", "A 48273-2025")</f>
        <v/>
      </c>
      <c r="T77">
        <f>HYPERLINK("https://klasma.github.io/Logging_0580/kartor/A 48273-2025 karta.png", "A 48273-2025")</f>
        <v/>
      </c>
      <c r="V77">
        <f>HYPERLINK("https://klasma.github.io/Logging_0580/klagomål/A 48273-2025 FSC-klagomål.docx", "A 48273-2025")</f>
        <v/>
      </c>
      <c r="W77">
        <f>HYPERLINK("https://klasma.github.io/Logging_0580/klagomålsmail/A 48273-2025 FSC-klagomål mail.docx", "A 48273-2025")</f>
        <v/>
      </c>
      <c r="X77">
        <f>HYPERLINK("https://klasma.github.io/Logging_0580/tillsyn/A 48273-2025 tillsynsbegäran.docx", "A 48273-2025")</f>
        <v/>
      </c>
      <c r="Y77">
        <f>HYPERLINK("https://klasma.github.io/Logging_0580/tillsynsmail/A 48273-2025 tillsynsbegäran mail.docx", "A 48273-2025")</f>
        <v/>
      </c>
    </row>
    <row r="78" ht="15" customHeight="1">
      <c r="A78" t="inlineStr">
        <is>
          <t>A 48298-2025</t>
        </is>
      </c>
      <c r="B78" s="1" t="n">
        <v>45932</v>
      </c>
      <c r="C78" s="1" t="n">
        <v>46163</v>
      </c>
      <c r="D78" t="inlineStr">
        <is>
          <t>ÖSTERGÖTLANDS LÄN</t>
        </is>
      </c>
      <c r="E78" t="inlineStr">
        <is>
          <t>LINKÖPING</t>
        </is>
      </c>
      <c r="F78" t="inlineStr">
        <is>
          <t>Övriga Aktiebolag</t>
        </is>
      </c>
      <c r="G78" t="n">
        <v>1.7</v>
      </c>
      <c r="H78" t="n">
        <v>0</v>
      </c>
      <c r="I78" t="n">
        <v>1</v>
      </c>
      <c r="J78" t="n">
        <v>0</v>
      </c>
      <c r="K78" t="n">
        <v>0</v>
      </c>
      <c r="L78" t="n">
        <v>0</v>
      </c>
      <c r="M78" t="n">
        <v>0</v>
      </c>
      <c r="N78" t="n">
        <v>0</v>
      </c>
      <c r="O78" t="n">
        <v>0</v>
      </c>
      <c r="P78" t="n">
        <v>0</v>
      </c>
      <c r="Q78" t="n">
        <v>1</v>
      </c>
      <c r="R78" s="2" t="inlineStr">
        <is>
          <t>Västlig hakmossa</t>
        </is>
      </c>
      <c r="S78">
        <f>HYPERLINK("https://klasma.github.io/Logging_0580/artfynd/A 48298-2025 artfynd.xlsx", "A 48298-2025")</f>
        <v/>
      </c>
      <c r="T78">
        <f>HYPERLINK("https://klasma.github.io/Logging_0580/kartor/A 48298-2025 karta.png", "A 48298-2025")</f>
        <v/>
      </c>
      <c r="V78">
        <f>HYPERLINK("https://klasma.github.io/Logging_0580/klagomål/A 48298-2025 FSC-klagomål.docx", "A 48298-2025")</f>
        <v/>
      </c>
      <c r="W78">
        <f>HYPERLINK("https://klasma.github.io/Logging_0580/klagomålsmail/A 48298-2025 FSC-klagomål mail.docx", "A 48298-2025")</f>
        <v/>
      </c>
      <c r="X78">
        <f>HYPERLINK("https://klasma.github.io/Logging_0580/tillsyn/A 48298-2025 tillsynsbegäran.docx", "A 48298-2025")</f>
        <v/>
      </c>
      <c r="Y78">
        <f>HYPERLINK("https://klasma.github.io/Logging_0580/tillsynsmail/A 48298-2025 tillsynsbegäran mail.docx", "A 48298-2025")</f>
        <v/>
      </c>
    </row>
    <row r="79" ht="15" customHeight="1">
      <c r="A79" t="inlineStr">
        <is>
          <t>A 34881-2023</t>
        </is>
      </c>
      <c r="B79" s="1" t="n">
        <v>45140</v>
      </c>
      <c r="C79" s="1" t="n">
        <v>46163</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50471-2024</t>
        </is>
      </c>
      <c r="B80" s="1" t="n">
        <v>45601.47166666666</v>
      </c>
      <c r="C80" s="1" t="n">
        <v>46163</v>
      </c>
      <c r="D80" t="inlineStr">
        <is>
          <t>ÖSTERGÖTLANDS LÄN</t>
        </is>
      </c>
      <c r="E80" t="inlineStr">
        <is>
          <t>LINKÖPING</t>
        </is>
      </c>
      <c r="F80" t="inlineStr">
        <is>
          <t>Övriga Aktiebolag</t>
        </is>
      </c>
      <c r="G80" t="n">
        <v>2</v>
      </c>
      <c r="H80" t="n">
        <v>0</v>
      </c>
      <c r="I80" t="n">
        <v>1</v>
      </c>
      <c r="J80" t="n">
        <v>0</v>
      </c>
      <c r="K80" t="n">
        <v>0</v>
      </c>
      <c r="L80" t="n">
        <v>0</v>
      </c>
      <c r="M80" t="n">
        <v>0</v>
      </c>
      <c r="N80" t="n">
        <v>0</v>
      </c>
      <c r="O80" t="n">
        <v>0</v>
      </c>
      <c r="P80" t="n">
        <v>0</v>
      </c>
      <c r="Q80" t="n">
        <v>1</v>
      </c>
      <c r="R80" s="2" t="inlineStr">
        <is>
          <t>Västlig hakmossa</t>
        </is>
      </c>
      <c r="S80">
        <f>HYPERLINK("https://klasma.github.io/Logging_0580/artfynd/A 50471-2024 artfynd.xlsx", "A 50471-2024")</f>
        <v/>
      </c>
      <c r="T80">
        <f>HYPERLINK("https://klasma.github.io/Logging_0580/kartor/A 50471-2024 karta.png", "A 50471-2024")</f>
        <v/>
      </c>
      <c r="V80">
        <f>HYPERLINK("https://klasma.github.io/Logging_0580/klagomål/A 50471-2024 FSC-klagomål.docx", "A 50471-2024")</f>
        <v/>
      </c>
      <c r="W80">
        <f>HYPERLINK("https://klasma.github.io/Logging_0580/klagomålsmail/A 50471-2024 FSC-klagomål mail.docx", "A 50471-2024")</f>
        <v/>
      </c>
      <c r="X80">
        <f>HYPERLINK("https://klasma.github.io/Logging_0580/tillsyn/A 50471-2024 tillsynsbegäran.docx", "A 50471-2024")</f>
        <v/>
      </c>
      <c r="Y80">
        <f>HYPERLINK("https://klasma.github.io/Logging_0580/tillsynsmail/A 50471-2024 tillsynsbegäran mail.docx", "A 50471-2024")</f>
        <v/>
      </c>
    </row>
    <row r="81" ht="15" customHeight="1">
      <c r="A81" t="inlineStr">
        <is>
          <t>A 50034-2025</t>
        </is>
      </c>
      <c r="B81" s="1" t="n">
        <v>45941</v>
      </c>
      <c r="C81" s="1" t="n">
        <v>46163</v>
      </c>
      <c r="D81" t="inlineStr">
        <is>
          <t>ÖSTERGÖTLANDS LÄN</t>
        </is>
      </c>
      <c r="E81" t="inlineStr">
        <is>
          <t>LINKÖPING</t>
        </is>
      </c>
      <c r="G81" t="n">
        <v>6.2</v>
      </c>
      <c r="H81" t="n">
        <v>0</v>
      </c>
      <c r="I81" t="n">
        <v>0</v>
      </c>
      <c r="J81" t="n">
        <v>0</v>
      </c>
      <c r="K81" t="n">
        <v>0</v>
      </c>
      <c r="L81" t="n">
        <v>0</v>
      </c>
      <c r="M81" t="n">
        <v>1</v>
      </c>
      <c r="N81" t="n">
        <v>0</v>
      </c>
      <c r="O81" t="n">
        <v>1</v>
      </c>
      <c r="P81" t="n">
        <v>1</v>
      </c>
      <c r="Q81" t="n">
        <v>1</v>
      </c>
      <c r="R81" s="2" t="inlineStr">
        <is>
          <t>Skogsalm</t>
        </is>
      </c>
      <c r="S81">
        <f>HYPERLINK("https://klasma.github.io/Logging_0580/artfynd/A 50034-2025 artfynd.xlsx", "A 50034-2025")</f>
        <v/>
      </c>
      <c r="T81">
        <f>HYPERLINK("https://klasma.github.io/Logging_0580/kartor/A 50034-2025 karta.png", "A 50034-2025")</f>
        <v/>
      </c>
      <c r="V81">
        <f>HYPERLINK("https://klasma.github.io/Logging_0580/klagomål/A 50034-2025 FSC-klagomål.docx", "A 50034-2025")</f>
        <v/>
      </c>
      <c r="W81">
        <f>HYPERLINK("https://klasma.github.io/Logging_0580/klagomålsmail/A 50034-2025 FSC-klagomål mail.docx", "A 50034-2025")</f>
        <v/>
      </c>
      <c r="X81">
        <f>HYPERLINK("https://klasma.github.io/Logging_0580/tillsyn/A 50034-2025 tillsynsbegäran.docx", "A 50034-2025")</f>
        <v/>
      </c>
      <c r="Y81">
        <f>HYPERLINK("https://klasma.github.io/Logging_0580/tillsynsmail/A 50034-2025 tillsynsbegäran mail.docx", "A 50034-2025")</f>
        <v/>
      </c>
    </row>
    <row r="82" ht="15" customHeight="1">
      <c r="A82" t="inlineStr">
        <is>
          <t>A 56128-2022</t>
        </is>
      </c>
      <c r="B82" s="1" t="n">
        <v>44889</v>
      </c>
      <c r="C82" s="1" t="n">
        <v>46163</v>
      </c>
      <c r="D82" t="inlineStr">
        <is>
          <t>ÖSTERGÖTLANDS LÄN</t>
        </is>
      </c>
      <c r="E82" t="inlineStr">
        <is>
          <t>LINKÖPING</t>
        </is>
      </c>
      <c r="G82" t="n">
        <v>2</v>
      </c>
      <c r="H82" t="n">
        <v>0</v>
      </c>
      <c r="I82" t="n">
        <v>1</v>
      </c>
      <c r="J82" t="n">
        <v>0</v>
      </c>
      <c r="K82" t="n">
        <v>0</v>
      </c>
      <c r="L82" t="n">
        <v>0</v>
      </c>
      <c r="M82" t="n">
        <v>0</v>
      </c>
      <c r="N82" t="n">
        <v>0</v>
      </c>
      <c r="O82" t="n">
        <v>0</v>
      </c>
      <c r="P82" t="n">
        <v>0</v>
      </c>
      <c r="Q82" t="n">
        <v>1</v>
      </c>
      <c r="R82" s="2" t="inlineStr">
        <is>
          <t>Tibast</t>
        </is>
      </c>
      <c r="S82">
        <f>HYPERLINK("https://klasma.github.io/Logging_0580/artfynd/A 56128-2022 artfynd.xlsx", "A 56128-2022")</f>
        <v/>
      </c>
      <c r="T82">
        <f>HYPERLINK("https://klasma.github.io/Logging_0580/kartor/A 56128-2022 karta.png", "A 56128-2022")</f>
        <v/>
      </c>
      <c r="V82">
        <f>HYPERLINK("https://klasma.github.io/Logging_0580/klagomål/A 56128-2022 FSC-klagomål.docx", "A 56128-2022")</f>
        <v/>
      </c>
      <c r="W82">
        <f>HYPERLINK("https://klasma.github.io/Logging_0580/klagomålsmail/A 56128-2022 FSC-klagomål mail.docx", "A 56128-2022")</f>
        <v/>
      </c>
      <c r="X82">
        <f>HYPERLINK("https://klasma.github.io/Logging_0580/tillsyn/A 56128-2022 tillsynsbegäran.docx", "A 56128-2022")</f>
        <v/>
      </c>
      <c r="Y82">
        <f>HYPERLINK("https://klasma.github.io/Logging_0580/tillsynsmail/A 56128-2022 tillsynsbegäran mail.docx", "A 56128-2022")</f>
        <v/>
      </c>
    </row>
    <row r="83" ht="15" customHeight="1">
      <c r="A83" t="inlineStr">
        <is>
          <t>A 40309-2024</t>
        </is>
      </c>
      <c r="B83" s="1" t="n">
        <v>45554.724375</v>
      </c>
      <c r="C83" s="1" t="n">
        <v>46163</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54835-2023</t>
        </is>
      </c>
      <c r="B84" s="1" t="n">
        <v>45236</v>
      </c>
      <c r="C84" s="1" t="n">
        <v>46163</v>
      </c>
      <c r="D84" t="inlineStr">
        <is>
          <t>ÖSTERGÖTLANDS LÄN</t>
        </is>
      </c>
      <c r="E84" t="inlineStr">
        <is>
          <t>LINKÖPING</t>
        </is>
      </c>
      <c r="G84" t="n">
        <v>2</v>
      </c>
      <c r="H84" t="n">
        <v>1</v>
      </c>
      <c r="I84" t="n">
        <v>0</v>
      </c>
      <c r="J84" t="n">
        <v>0</v>
      </c>
      <c r="K84" t="n">
        <v>0</v>
      </c>
      <c r="L84" t="n">
        <v>0</v>
      </c>
      <c r="M84" t="n">
        <v>0</v>
      </c>
      <c r="N84" t="n">
        <v>0</v>
      </c>
      <c r="O84" t="n">
        <v>0</v>
      </c>
      <c r="P84" t="n">
        <v>0</v>
      </c>
      <c r="Q84" t="n">
        <v>1</v>
      </c>
      <c r="R84" s="2" t="inlineStr">
        <is>
          <t>Sparvuggla</t>
        </is>
      </c>
      <c r="S84">
        <f>HYPERLINK("https://klasma.github.io/Logging_0580/artfynd/A 54835-2023 artfynd.xlsx", "A 54835-2023")</f>
        <v/>
      </c>
      <c r="T84">
        <f>HYPERLINK("https://klasma.github.io/Logging_0580/kartor/A 54835-2023 karta.png", "A 54835-2023")</f>
        <v/>
      </c>
      <c r="V84">
        <f>HYPERLINK("https://klasma.github.io/Logging_0580/klagomål/A 54835-2023 FSC-klagomål.docx", "A 54835-2023")</f>
        <v/>
      </c>
      <c r="W84">
        <f>HYPERLINK("https://klasma.github.io/Logging_0580/klagomålsmail/A 54835-2023 FSC-klagomål mail.docx", "A 54835-2023")</f>
        <v/>
      </c>
      <c r="X84">
        <f>HYPERLINK("https://klasma.github.io/Logging_0580/tillsyn/A 54835-2023 tillsynsbegäran.docx", "A 54835-2023")</f>
        <v/>
      </c>
      <c r="Y84">
        <f>HYPERLINK("https://klasma.github.io/Logging_0580/tillsynsmail/A 54835-2023 tillsynsbegäran mail.docx", "A 54835-2023")</f>
        <v/>
      </c>
      <c r="Z84">
        <f>HYPERLINK("https://klasma.github.io/Logging_0580/fåglar/A 54835-2023 prioriterade fågelarter.docx", "A 54835-2023")</f>
        <v/>
      </c>
    </row>
    <row r="85" ht="15" customHeight="1">
      <c r="A85" t="inlineStr">
        <is>
          <t>A 56112-2025</t>
        </is>
      </c>
      <c r="B85" s="1" t="n">
        <v>45973.73625</v>
      </c>
      <c r="C85" s="1" t="n">
        <v>46163</v>
      </c>
      <c r="D85" t="inlineStr">
        <is>
          <t>ÖSTERGÖTLANDS LÄN</t>
        </is>
      </c>
      <c r="E85" t="inlineStr">
        <is>
          <t>LINKÖPING</t>
        </is>
      </c>
      <c r="G85" t="n">
        <v>0.6</v>
      </c>
      <c r="H85" t="n">
        <v>0</v>
      </c>
      <c r="I85" t="n">
        <v>0</v>
      </c>
      <c r="J85" t="n">
        <v>1</v>
      </c>
      <c r="K85" t="n">
        <v>0</v>
      </c>
      <c r="L85" t="n">
        <v>0</v>
      </c>
      <c r="M85" t="n">
        <v>0</v>
      </c>
      <c r="N85" t="n">
        <v>0</v>
      </c>
      <c r="O85" t="n">
        <v>1</v>
      </c>
      <c r="P85" t="n">
        <v>0</v>
      </c>
      <c r="Q85" t="n">
        <v>1</v>
      </c>
      <c r="R85" s="2" t="inlineStr">
        <is>
          <t>Solvända</t>
        </is>
      </c>
      <c r="S85">
        <f>HYPERLINK("https://klasma.github.io/Logging_0580/artfynd/A 56112-2025 artfynd.xlsx", "A 56112-2025")</f>
        <v/>
      </c>
      <c r="T85">
        <f>HYPERLINK("https://klasma.github.io/Logging_0580/kartor/A 56112-2025 karta.png", "A 56112-2025")</f>
        <v/>
      </c>
      <c r="V85">
        <f>HYPERLINK("https://klasma.github.io/Logging_0580/klagomål/A 56112-2025 FSC-klagomål.docx", "A 56112-2025")</f>
        <v/>
      </c>
      <c r="W85">
        <f>HYPERLINK("https://klasma.github.io/Logging_0580/klagomålsmail/A 56112-2025 FSC-klagomål mail.docx", "A 56112-2025")</f>
        <v/>
      </c>
      <c r="X85">
        <f>HYPERLINK("https://klasma.github.io/Logging_0580/tillsyn/A 56112-2025 tillsynsbegäran.docx", "A 56112-2025")</f>
        <v/>
      </c>
      <c r="Y85">
        <f>HYPERLINK("https://klasma.github.io/Logging_0580/tillsynsmail/A 56112-2025 tillsynsbegäran mail.docx", "A 56112-2025")</f>
        <v/>
      </c>
    </row>
    <row r="86" ht="15" customHeight="1">
      <c r="A86" t="inlineStr">
        <is>
          <t>A 126-2024</t>
        </is>
      </c>
      <c r="B86" s="1" t="n">
        <v>45294</v>
      </c>
      <c r="C86" s="1" t="n">
        <v>46163</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21227-2026</t>
        </is>
      </c>
      <c r="B87" s="1" t="n">
        <v>46146.78898148148</v>
      </c>
      <c r="C87" s="1" t="n">
        <v>46163</v>
      </c>
      <c r="D87" t="inlineStr">
        <is>
          <t>ÖSTERGÖTLANDS LÄN</t>
        </is>
      </c>
      <c r="E87" t="inlineStr">
        <is>
          <t>LINKÖPING</t>
        </is>
      </c>
      <c r="G87" t="n">
        <v>1.8</v>
      </c>
      <c r="H87" t="n">
        <v>1</v>
      </c>
      <c r="I87" t="n">
        <v>0</v>
      </c>
      <c r="J87" t="n">
        <v>1</v>
      </c>
      <c r="K87" t="n">
        <v>0</v>
      </c>
      <c r="L87" t="n">
        <v>0</v>
      </c>
      <c r="M87" t="n">
        <v>0</v>
      </c>
      <c r="N87" t="n">
        <v>0</v>
      </c>
      <c r="O87" t="n">
        <v>1</v>
      </c>
      <c r="P87" t="n">
        <v>0</v>
      </c>
      <c r="Q87" t="n">
        <v>1</v>
      </c>
      <c r="R87" s="2" t="inlineStr">
        <is>
          <t>Rödvingetrast</t>
        </is>
      </c>
      <c r="S87">
        <f>HYPERLINK("https://klasma.github.io/Logging_0580/artfynd/A 21227-2026 artfynd.xlsx", "A 21227-2026")</f>
        <v/>
      </c>
      <c r="T87">
        <f>HYPERLINK("https://klasma.github.io/Logging_0580/kartor/A 21227-2026 karta.png", "A 21227-2026")</f>
        <v/>
      </c>
      <c r="V87">
        <f>HYPERLINK("https://klasma.github.io/Logging_0580/klagomål/A 21227-2026 FSC-klagomål.docx", "A 21227-2026")</f>
        <v/>
      </c>
      <c r="W87">
        <f>HYPERLINK("https://klasma.github.io/Logging_0580/klagomålsmail/A 21227-2026 FSC-klagomål mail.docx", "A 21227-2026")</f>
        <v/>
      </c>
      <c r="X87">
        <f>HYPERLINK("https://klasma.github.io/Logging_0580/tillsyn/A 21227-2026 tillsynsbegäran.docx", "A 21227-2026")</f>
        <v/>
      </c>
      <c r="Y87">
        <f>HYPERLINK("https://klasma.github.io/Logging_0580/tillsynsmail/A 21227-2026 tillsynsbegäran mail.docx", "A 21227-2026")</f>
        <v/>
      </c>
      <c r="Z87">
        <f>HYPERLINK("https://klasma.github.io/Logging_0580/fåglar/A 21227-2026 prioriterade fågelarter.docx", "A 21227-2026")</f>
        <v/>
      </c>
    </row>
    <row r="88" ht="15" customHeight="1">
      <c r="A88" t="inlineStr">
        <is>
          <t>A 59474-2025</t>
        </is>
      </c>
      <c r="B88" s="1" t="n">
        <v>45989.58512731481</v>
      </c>
      <c r="C88" s="1" t="n">
        <v>46163</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v>
      </c>
      <c r="C89" s="1" t="n">
        <v>46163</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3395-2023</t>
        </is>
      </c>
      <c r="B90" s="1" t="n">
        <v>44949</v>
      </c>
      <c r="C90" s="1" t="n">
        <v>46163</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50806-2023</t>
        </is>
      </c>
      <c r="B91" s="1" t="n">
        <v>45217</v>
      </c>
      <c r="C91" s="1" t="n">
        <v>46163</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46163</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46163</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46163</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46163</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46163</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46163</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41749-2023</t>
        </is>
      </c>
      <c r="B98" s="1" t="n">
        <v>45176</v>
      </c>
      <c r="C98" s="1" t="n">
        <v>46163</v>
      </c>
      <c r="D98" t="inlineStr">
        <is>
          <t>ÖSTERGÖTLANDS LÄN</t>
        </is>
      </c>
      <c r="E98" t="inlineStr">
        <is>
          <t>LINKÖPING</t>
        </is>
      </c>
      <c r="G98" t="n">
        <v>3.6</v>
      </c>
      <c r="H98" t="n">
        <v>0</v>
      </c>
      <c r="I98" t="n">
        <v>0</v>
      </c>
      <c r="J98" t="n">
        <v>1</v>
      </c>
      <c r="K98" t="n">
        <v>0</v>
      </c>
      <c r="L98" t="n">
        <v>0</v>
      </c>
      <c r="M98" t="n">
        <v>0</v>
      </c>
      <c r="N98" t="n">
        <v>0</v>
      </c>
      <c r="O98" t="n">
        <v>1</v>
      </c>
      <c r="P98" t="n">
        <v>0</v>
      </c>
      <c r="Q98" t="n">
        <v>1</v>
      </c>
      <c r="R98" s="2" t="inlineStr">
        <is>
          <t>Svinrot</t>
        </is>
      </c>
      <c r="S98">
        <f>HYPERLINK("https://klasma.github.io/Logging_0580/artfynd/A 41749-2023 artfynd.xlsx", "A 41749-2023")</f>
        <v/>
      </c>
      <c r="T98">
        <f>HYPERLINK("https://klasma.github.io/Logging_0580/kartor/A 41749-2023 karta.png", "A 41749-2023")</f>
        <v/>
      </c>
      <c r="V98">
        <f>HYPERLINK("https://klasma.github.io/Logging_0580/klagomål/A 41749-2023 FSC-klagomål.docx", "A 41749-2023")</f>
        <v/>
      </c>
      <c r="W98">
        <f>HYPERLINK("https://klasma.github.io/Logging_0580/klagomålsmail/A 41749-2023 FSC-klagomål mail.docx", "A 41749-2023")</f>
        <v/>
      </c>
      <c r="X98">
        <f>HYPERLINK("https://klasma.github.io/Logging_0580/tillsyn/A 41749-2023 tillsynsbegäran.docx", "A 41749-2023")</f>
        <v/>
      </c>
      <c r="Y98">
        <f>HYPERLINK("https://klasma.github.io/Logging_0580/tillsynsmail/A 41749-2023 tillsynsbegäran mail.docx", "A 41749-2023")</f>
        <v/>
      </c>
    </row>
    <row r="99" ht="15" customHeight="1">
      <c r="A99" t="inlineStr">
        <is>
          <t>A 27403-2025</t>
        </is>
      </c>
      <c r="B99" s="1" t="n">
        <v>45812.72518518518</v>
      </c>
      <c r="C99" s="1" t="n">
        <v>46163</v>
      </c>
      <c r="D99" t="inlineStr">
        <is>
          <t>ÖSTERGÖTLANDS LÄN</t>
        </is>
      </c>
      <c r="E99" t="inlineStr">
        <is>
          <t>LINKÖPING</t>
        </is>
      </c>
      <c r="G99" t="n">
        <v>1.4</v>
      </c>
      <c r="H99" t="n">
        <v>0</v>
      </c>
      <c r="I99" t="n">
        <v>0</v>
      </c>
      <c r="J99" t="n">
        <v>1</v>
      </c>
      <c r="K99" t="n">
        <v>0</v>
      </c>
      <c r="L99" t="n">
        <v>0</v>
      </c>
      <c r="M99" t="n">
        <v>0</v>
      </c>
      <c r="N99" t="n">
        <v>0</v>
      </c>
      <c r="O99" t="n">
        <v>1</v>
      </c>
      <c r="P99" t="n">
        <v>0</v>
      </c>
      <c r="Q99" t="n">
        <v>1</v>
      </c>
      <c r="R99" s="2" t="inlineStr">
        <is>
          <t>Tallticka</t>
        </is>
      </c>
      <c r="S99">
        <f>HYPERLINK("https://klasma.github.io/Logging_0580/artfynd/A 27403-2025 artfynd.xlsx", "A 27403-2025")</f>
        <v/>
      </c>
      <c r="T99">
        <f>HYPERLINK("https://klasma.github.io/Logging_0580/kartor/A 27403-2025 karta.png", "A 27403-2025")</f>
        <v/>
      </c>
      <c r="V99">
        <f>HYPERLINK("https://klasma.github.io/Logging_0580/klagomål/A 27403-2025 FSC-klagomål.docx", "A 27403-2025")</f>
        <v/>
      </c>
      <c r="W99">
        <f>HYPERLINK("https://klasma.github.io/Logging_0580/klagomålsmail/A 27403-2025 FSC-klagomål mail.docx", "A 27403-2025")</f>
        <v/>
      </c>
      <c r="X99">
        <f>HYPERLINK("https://klasma.github.io/Logging_0580/tillsyn/A 27403-2025 tillsynsbegäran.docx", "A 27403-2025")</f>
        <v/>
      </c>
      <c r="Y99">
        <f>HYPERLINK("https://klasma.github.io/Logging_0580/tillsynsmail/A 27403-2025 tillsynsbegäran mail.docx", "A 27403-2025")</f>
        <v/>
      </c>
    </row>
    <row r="100" ht="15" customHeight="1">
      <c r="A100" t="inlineStr">
        <is>
          <t>A 38881-2021</t>
        </is>
      </c>
      <c r="B100" s="1" t="n">
        <v>44411.46893518518</v>
      </c>
      <c r="C100" s="1" t="n">
        <v>46163</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46163</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46163</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46163</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46163</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46163</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46163</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46163</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46163</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46163</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46163</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46163</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46163</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46163</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46163</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46163</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46163</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46163</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46163</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46163</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46163</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46163</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46163</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46163</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46163</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46163</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46163</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46163</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46163</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46163</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46163</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46163</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46163</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46163</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46163</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46163</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46163</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46163</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46163</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46163</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46163</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46163</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46163</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46163</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46163</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46163</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46163</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46163</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46163</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46163</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46163</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46163</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46163</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46163</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46163</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46163</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46163</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46163</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46163</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46163</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46163</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46163</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46163</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46163</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46163</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46163</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33885-2021</t>
        </is>
      </c>
      <c r="B181" s="1" t="n">
        <v>44378</v>
      </c>
      <c r="C181" s="1" t="n">
        <v>46163</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46163</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46163</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46163</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46163</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46163</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46163</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46163</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46163</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46163</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46163</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46163</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46163</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46163</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46163</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34558-2022</t>
        </is>
      </c>
      <c r="B196" s="1" t="n">
        <v>44794.57594907407</v>
      </c>
      <c r="C196" s="1" t="n">
        <v>46163</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63489-2023</t>
        </is>
      </c>
      <c r="B197" s="1" t="n">
        <v>45274.66761574074</v>
      </c>
      <c r="C197" s="1" t="n">
        <v>46163</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22772-2024</t>
        </is>
      </c>
      <c r="B198" s="1" t="n">
        <v>45448.46712962963</v>
      </c>
      <c r="C198" s="1" t="n">
        <v>46163</v>
      </c>
      <c r="D198" t="inlineStr">
        <is>
          <t>ÖSTERGÖTLANDS LÄN</t>
        </is>
      </c>
      <c r="E198" t="inlineStr">
        <is>
          <t>LINKÖPING</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54845-2023</t>
        </is>
      </c>
      <c r="B199" s="1" t="n">
        <v>45236</v>
      </c>
      <c r="C199" s="1" t="n">
        <v>46163</v>
      </c>
      <c r="D199" t="inlineStr">
        <is>
          <t>ÖSTERGÖTLANDS LÄN</t>
        </is>
      </c>
      <c r="E199" t="inlineStr">
        <is>
          <t>LINKÖPING</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28266-2024</t>
        </is>
      </c>
      <c r="B200" s="1" t="n">
        <v>45477.43600694444</v>
      </c>
      <c r="C200" s="1" t="n">
        <v>46163</v>
      </c>
      <c r="D200" t="inlineStr">
        <is>
          <t>ÖSTERGÖTLANDS LÄN</t>
        </is>
      </c>
      <c r="E200" t="inlineStr">
        <is>
          <t>LINKÖPING</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46163</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46163</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46163</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224-2024</t>
        </is>
      </c>
      <c r="B204" s="1" t="n">
        <v>45294</v>
      </c>
      <c r="C204" s="1" t="n">
        <v>46163</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46163</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46163</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52796-2023</t>
        </is>
      </c>
      <c r="B207" s="1" t="n">
        <v>45219</v>
      </c>
      <c r="C207" s="1" t="n">
        <v>46163</v>
      </c>
      <c r="D207" t="inlineStr">
        <is>
          <t>ÖSTERGÖTLANDS LÄN</t>
        </is>
      </c>
      <c r="E207" t="inlineStr">
        <is>
          <t>LINKÖPING</t>
        </is>
      </c>
      <c r="F207" t="inlineStr">
        <is>
          <t>Övriga statliga verk och myndigheter</t>
        </is>
      </c>
      <c r="G207" t="n">
        <v>3.9</v>
      </c>
      <c r="H207" t="n">
        <v>0</v>
      </c>
      <c r="I207" t="n">
        <v>0</v>
      </c>
      <c r="J207" t="n">
        <v>0</v>
      </c>
      <c r="K207" t="n">
        <v>0</v>
      </c>
      <c r="L207" t="n">
        <v>0</v>
      </c>
      <c r="M207" t="n">
        <v>0</v>
      </c>
      <c r="N207" t="n">
        <v>0</v>
      </c>
      <c r="O207" t="n">
        <v>0</v>
      </c>
      <c r="P207" t="n">
        <v>0</v>
      </c>
      <c r="Q207" t="n">
        <v>0</v>
      </c>
      <c r="R207" s="2" t="inlineStr"/>
    </row>
    <row r="208" ht="15" customHeight="1">
      <c r="A208" t="inlineStr">
        <is>
          <t>A 30856-2022</t>
        </is>
      </c>
      <c r="B208" s="1" t="n">
        <v>44767</v>
      </c>
      <c r="C208" s="1" t="n">
        <v>46163</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30855-2022</t>
        </is>
      </c>
      <c r="B209" s="1" t="n">
        <v>44767</v>
      </c>
      <c r="C209" s="1" t="n">
        <v>46163</v>
      </c>
      <c r="D209" t="inlineStr">
        <is>
          <t>ÖSTERGÖTLANDS LÄN</t>
        </is>
      </c>
      <c r="E209" t="inlineStr">
        <is>
          <t>LINKÖPING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57745-2022</t>
        </is>
      </c>
      <c r="B210" s="1" t="n">
        <v>44897.58119212963</v>
      </c>
      <c r="C210" s="1" t="n">
        <v>46163</v>
      </c>
      <c r="D210" t="inlineStr">
        <is>
          <t>ÖSTERGÖTLANDS LÄN</t>
        </is>
      </c>
      <c r="E210" t="inlineStr">
        <is>
          <t>LINKÖPING</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34889-2023</t>
        </is>
      </c>
      <c r="B211" s="1" t="n">
        <v>45140</v>
      </c>
      <c r="C211" s="1" t="n">
        <v>46163</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1993-2023</t>
        </is>
      </c>
      <c r="B212" s="1" t="n">
        <v>44939</v>
      </c>
      <c r="C212" s="1" t="n">
        <v>46163</v>
      </c>
      <c r="D212" t="inlineStr">
        <is>
          <t>ÖSTERGÖTLANDS LÄN</t>
        </is>
      </c>
      <c r="E212" t="inlineStr">
        <is>
          <t>LINKÖPING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52220-2023</t>
        </is>
      </c>
      <c r="B213" s="1" t="n">
        <v>45217</v>
      </c>
      <c r="C213" s="1" t="n">
        <v>46163</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52225-2023</t>
        </is>
      </c>
      <c r="B214" s="1" t="n">
        <v>45217</v>
      </c>
      <c r="C214" s="1" t="n">
        <v>46163</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22771-2024</t>
        </is>
      </c>
      <c r="B215" s="1" t="n">
        <v>45448.46574074074</v>
      </c>
      <c r="C215" s="1" t="n">
        <v>46163</v>
      </c>
      <c r="D215" t="inlineStr">
        <is>
          <t>ÖSTERGÖTLANDS LÄN</t>
        </is>
      </c>
      <c r="E215" t="inlineStr">
        <is>
          <t>LINKÖPING</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46163</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56560-2023</t>
        </is>
      </c>
      <c r="B217" s="1" t="n">
        <v>45238</v>
      </c>
      <c r="C217" s="1" t="n">
        <v>46163</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52412-2023</t>
        </is>
      </c>
      <c r="B218" s="1" t="n">
        <v>45225.27888888889</v>
      </c>
      <c r="C218" s="1" t="n">
        <v>46163</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52413-2023</t>
        </is>
      </c>
      <c r="B219" s="1" t="n">
        <v>45225.27950231481</v>
      </c>
      <c r="C219" s="1" t="n">
        <v>46163</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7354-2025</t>
        </is>
      </c>
      <c r="B220" s="1" t="n">
        <v>45704.41174768518</v>
      </c>
      <c r="C220" s="1" t="n">
        <v>46163</v>
      </c>
      <c r="D220" t="inlineStr">
        <is>
          <t>ÖSTERGÖTLANDS LÄN</t>
        </is>
      </c>
      <c r="E220" t="inlineStr">
        <is>
          <t>LINKÖPING</t>
        </is>
      </c>
      <c r="G220" t="n">
        <v>4.8</v>
      </c>
      <c r="H220" t="n">
        <v>0</v>
      </c>
      <c r="I220" t="n">
        <v>0</v>
      </c>
      <c r="J220" t="n">
        <v>0</v>
      </c>
      <c r="K220" t="n">
        <v>0</v>
      </c>
      <c r="L220" t="n">
        <v>0</v>
      </c>
      <c r="M220" t="n">
        <v>0</v>
      </c>
      <c r="N220" t="n">
        <v>0</v>
      </c>
      <c r="O220" t="n">
        <v>0</v>
      </c>
      <c r="P220" t="n">
        <v>0</v>
      </c>
      <c r="Q220" t="n">
        <v>0</v>
      </c>
      <c r="R220" s="2" t="inlineStr"/>
    </row>
    <row r="221" ht="15" customHeight="1">
      <c r="A221" t="inlineStr">
        <is>
          <t>A 34928-2023</t>
        </is>
      </c>
      <c r="B221" s="1" t="n">
        <v>45142</v>
      </c>
      <c r="C221" s="1" t="n">
        <v>46163</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1263-2024</t>
        </is>
      </c>
      <c r="B222" s="1" t="n">
        <v>45302</v>
      </c>
      <c r="C222" s="1" t="n">
        <v>46163</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52531-2023</t>
        </is>
      </c>
      <c r="B223" s="1" t="n">
        <v>45225</v>
      </c>
      <c r="C223" s="1" t="n">
        <v>46163</v>
      </c>
      <c r="D223" t="inlineStr">
        <is>
          <t>ÖSTERGÖTLANDS LÄN</t>
        </is>
      </c>
      <c r="E223" t="inlineStr">
        <is>
          <t>LINKÖPING</t>
        </is>
      </c>
      <c r="F223" t="inlineStr">
        <is>
          <t>Övriga Aktiebolag</t>
        </is>
      </c>
      <c r="G223" t="n">
        <v>1</v>
      </c>
      <c r="H223" t="n">
        <v>0</v>
      </c>
      <c r="I223" t="n">
        <v>0</v>
      </c>
      <c r="J223" t="n">
        <v>0</v>
      </c>
      <c r="K223" t="n">
        <v>0</v>
      </c>
      <c r="L223" t="n">
        <v>0</v>
      </c>
      <c r="M223" t="n">
        <v>0</v>
      </c>
      <c r="N223" t="n">
        <v>0</v>
      </c>
      <c r="O223" t="n">
        <v>0</v>
      </c>
      <c r="P223" t="n">
        <v>0</v>
      </c>
      <c r="Q223" t="n">
        <v>0</v>
      </c>
      <c r="R223" s="2" t="inlineStr"/>
    </row>
    <row r="224" ht="15" customHeight="1">
      <c r="A224" t="inlineStr">
        <is>
          <t>A 55945-2024</t>
        </is>
      </c>
      <c r="B224" s="1" t="n">
        <v>45623.61754629629</v>
      </c>
      <c r="C224" s="1" t="n">
        <v>46163</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20291-2025</t>
        </is>
      </c>
      <c r="B225" s="1" t="n">
        <v>45774.74288194445</v>
      </c>
      <c r="C225" s="1" t="n">
        <v>46163</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20293-2025</t>
        </is>
      </c>
      <c r="B226" s="1" t="n">
        <v>45774.74611111111</v>
      </c>
      <c r="C226" s="1" t="n">
        <v>46163</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3008-2023</t>
        </is>
      </c>
      <c r="B227" s="1" t="n">
        <v>44945.79784722222</v>
      </c>
      <c r="C227" s="1" t="n">
        <v>46163</v>
      </c>
      <c r="D227" t="inlineStr">
        <is>
          <t>ÖSTERGÖTLANDS LÄN</t>
        </is>
      </c>
      <c r="E227" t="inlineStr">
        <is>
          <t>LINKÖPING</t>
        </is>
      </c>
      <c r="G227" t="n">
        <v>19.3</v>
      </c>
      <c r="H227" t="n">
        <v>0</v>
      </c>
      <c r="I227" t="n">
        <v>0</v>
      </c>
      <c r="J227" t="n">
        <v>0</v>
      </c>
      <c r="K227" t="n">
        <v>0</v>
      </c>
      <c r="L227" t="n">
        <v>0</v>
      </c>
      <c r="M227" t="n">
        <v>0</v>
      </c>
      <c r="N227" t="n">
        <v>0</v>
      </c>
      <c r="O227" t="n">
        <v>0</v>
      </c>
      <c r="P227" t="n">
        <v>0</v>
      </c>
      <c r="Q227" t="n">
        <v>0</v>
      </c>
      <c r="R227" s="2" t="inlineStr"/>
    </row>
    <row r="228" ht="15" customHeight="1">
      <c r="A228" t="inlineStr">
        <is>
          <t>A 12035-2025</t>
        </is>
      </c>
      <c r="B228" s="1" t="n">
        <v>45728.64946759259</v>
      </c>
      <c r="C228" s="1" t="n">
        <v>46163</v>
      </c>
      <c r="D228" t="inlineStr">
        <is>
          <t>ÖSTERGÖTLANDS LÄN</t>
        </is>
      </c>
      <c r="E228" t="inlineStr">
        <is>
          <t>LINKÖPING</t>
        </is>
      </c>
      <c r="G228" t="n">
        <v>3.7</v>
      </c>
      <c r="H228" t="n">
        <v>0</v>
      </c>
      <c r="I228" t="n">
        <v>0</v>
      </c>
      <c r="J228" t="n">
        <v>0</v>
      </c>
      <c r="K228" t="n">
        <v>0</v>
      </c>
      <c r="L228" t="n">
        <v>0</v>
      </c>
      <c r="M228" t="n">
        <v>0</v>
      </c>
      <c r="N228" t="n">
        <v>0</v>
      </c>
      <c r="O228" t="n">
        <v>0</v>
      </c>
      <c r="P228" t="n">
        <v>0</v>
      </c>
      <c r="Q228" t="n">
        <v>0</v>
      </c>
      <c r="R228" s="2" t="inlineStr"/>
    </row>
    <row r="229" ht="15" customHeight="1">
      <c r="A229" t="inlineStr">
        <is>
          <t>A 63665-2023</t>
        </is>
      </c>
      <c r="B229" s="1" t="n">
        <v>45275</v>
      </c>
      <c r="C229" s="1" t="n">
        <v>46163</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3041-2024</t>
        </is>
      </c>
      <c r="B230" s="1" t="n">
        <v>45316.34875</v>
      </c>
      <c r="C230" s="1" t="n">
        <v>46163</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50963-2021</t>
        </is>
      </c>
      <c r="B231" s="1" t="n">
        <v>44460</v>
      </c>
      <c r="C231" s="1" t="n">
        <v>46163</v>
      </c>
      <c r="D231" t="inlineStr">
        <is>
          <t>ÖSTERGÖTLANDS LÄN</t>
        </is>
      </c>
      <c r="E231" t="inlineStr">
        <is>
          <t>LINKÖPING</t>
        </is>
      </c>
      <c r="G231" t="n">
        <v>4.4</v>
      </c>
      <c r="H231" t="n">
        <v>0</v>
      </c>
      <c r="I231" t="n">
        <v>0</v>
      </c>
      <c r="J231" t="n">
        <v>0</v>
      </c>
      <c r="K231" t="n">
        <v>0</v>
      </c>
      <c r="L231" t="n">
        <v>0</v>
      </c>
      <c r="M231" t="n">
        <v>0</v>
      </c>
      <c r="N231" t="n">
        <v>0</v>
      </c>
      <c r="O231" t="n">
        <v>0</v>
      </c>
      <c r="P231" t="n">
        <v>0</v>
      </c>
      <c r="Q231" t="n">
        <v>0</v>
      </c>
      <c r="R231" s="2" t="inlineStr"/>
    </row>
    <row r="232" ht="15" customHeight="1">
      <c r="A232" t="inlineStr">
        <is>
          <t>A 33867-2023</t>
        </is>
      </c>
      <c r="B232" s="1" t="n">
        <v>45133.94640046296</v>
      </c>
      <c r="C232" s="1" t="n">
        <v>46163</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61307-2021</t>
        </is>
      </c>
      <c r="B233" s="1" t="n">
        <v>44498.63928240741</v>
      </c>
      <c r="C233" s="1" t="n">
        <v>46163</v>
      </c>
      <c r="D233" t="inlineStr">
        <is>
          <t>ÖSTERGÖTLANDS LÄN</t>
        </is>
      </c>
      <c r="E233" t="inlineStr">
        <is>
          <t>LINKÖPING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61325-2021</t>
        </is>
      </c>
      <c r="B234" s="1" t="n">
        <v>44498.66814814815</v>
      </c>
      <c r="C234" s="1" t="n">
        <v>46163</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46163</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38317-2024</t>
        </is>
      </c>
      <c r="B236" s="1" t="n">
        <v>45545.65766203704</v>
      </c>
      <c r="C236" s="1" t="n">
        <v>46163</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46163</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60001-2022</t>
        </is>
      </c>
      <c r="B238" s="1" t="n">
        <v>44909.47087962963</v>
      </c>
      <c r="C238" s="1" t="n">
        <v>46163</v>
      </c>
      <c r="D238" t="inlineStr">
        <is>
          <t>ÖSTERGÖTLANDS LÄN</t>
        </is>
      </c>
      <c r="E238" t="inlineStr">
        <is>
          <t>LINKÖPING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46163</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60013-2022</t>
        </is>
      </c>
      <c r="B240" s="1" t="n">
        <v>44909.47482638889</v>
      </c>
      <c r="C240" s="1" t="n">
        <v>46163</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1211-2023</t>
        </is>
      </c>
      <c r="B241" s="1" t="n">
        <v>44930</v>
      </c>
      <c r="C241" s="1" t="n">
        <v>46163</v>
      </c>
      <c r="D241" t="inlineStr">
        <is>
          <t>ÖSTERGÖTLANDS LÄN</t>
        </is>
      </c>
      <c r="E241" t="inlineStr">
        <is>
          <t>LINKÖPING</t>
        </is>
      </c>
      <c r="F241" t="inlineStr">
        <is>
          <t>Övriga statliga verk och myndigheter</t>
        </is>
      </c>
      <c r="G241" t="n">
        <v>7.9</v>
      </c>
      <c r="H241" t="n">
        <v>0</v>
      </c>
      <c r="I241" t="n">
        <v>0</v>
      </c>
      <c r="J241" t="n">
        <v>0</v>
      </c>
      <c r="K241" t="n">
        <v>0</v>
      </c>
      <c r="L241" t="n">
        <v>0</v>
      </c>
      <c r="M241" t="n">
        <v>0</v>
      </c>
      <c r="N241" t="n">
        <v>0</v>
      </c>
      <c r="O241" t="n">
        <v>0</v>
      </c>
      <c r="P241" t="n">
        <v>0</v>
      </c>
      <c r="Q241" t="n">
        <v>0</v>
      </c>
      <c r="R241" s="2" t="inlineStr"/>
    </row>
    <row r="242" ht="15" customHeight="1">
      <c r="A242" t="inlineStr">
        <is>
          <t>A 38136-2023</t>
        </is>
      </c>
      <c r="B242" s="1" t="n">
        <v>45161.37310185185</v>
      </c>
      <c r="C242" s="1" t="n">
        <v>46163</v>
      </c>
      <c r="D242" t="inlineStr">
        <is>
          <t>ÖSTERGÖTLANDS LÄN</t>
        </is>
      </c>
      <c r="E242" t="inlineStr">
        <is>
          <t>LINKÖPING</t>
        </is>
      </c>
      <c r="G242" t="n">
        <v>5.6</v>
      </c>
      <c r="H242" t="n">
        <v>0</v>
      </c>
      <c r="I242" t="n">
        <v>0</v>
      </c>
      <c r="J242" t="n">
        <v>0</v>
      </c>
      <c r="K242" t="n">
        <v>0</v>
      </c>
      <c r="L242" t="n">
        <v>0</v>
      </c>
      <c r="M242" t="n">
        <v>0</v>
      </c>
      <c r="N242" t="n">
        <v>0</v>
      </c>
      <c r="O242" t="n">
        <v>0</v>
      </c>
      <c r="P242" t="n">
        <v>0</v>
      </c>
      <c r="Q242" t="n">
        <v>0</v>
      </c>
      <c r="R242" s="2" t="inlineStr"/>
    </row>
    <row r="243" ht="15" customHeight="1">
      <c r="A243" t="inlineStr">
        <is>
          <t>A 12317-2025</t>
        </is>
      </c>
      <c r="B243" s="1" t="n">
        <v>45729.8487037037</v>
      </c>
      <c r="C243" s="1" t="n">
        <v>46163</v>
      </c>
      <c r="D243" t="inlineStr">
        <is>
          <t>ÖSTERGÖTLANDS LÄN</t>
        </is>
      </c>
      <c r="E243" t="inlineStr">
        <is>
          <t>LINKÖPING</t>
        </is>
      </c>
      <c r="G243" t="n">
        <v>8</v>
      </c>
      <c r="H243" t="n">
        <v>0</v>
      </c>
      <c r="I243" t="n">
        <v>0</v>
      </c>
      <c r="J243" t="n">
        <v>0</v>
      </c>
      <c r="K243" t="n">
        <v>0</v>
      </c>
      <c r="L243" t="n">
        <v>0</v>
      </c>
      <c r="M243" t="n">
        <v>0</v>
      </c>
      <c r="N243" t="n">
        <v>0</v>
      </c>
      <c r="O243" t="n">
        <v>0</v>
      </c>
      <c r="P243" t="n">
        <v>0</v>
      </c>
      <c r="Q243" t="n">
        <v>0</v>
      </c>
      <c r="R243" s="2" t="inlineStr"/>
    </row>
    <row r="244" ht="15" customHeight="1">
      <c r="A244" t="inlineStr">
        <is>
          <t>A 36557-2023</t>
        </is>
      </c>
      <c r="B244" s="1" t="n">
        <v>45153</v>
      </c>
      <c r="C244" s="1" t="n">
        <v>46163</v>
      </c>
      <c r="D244" t="inlineStr">
        <is>
          <t>ÖSTERGÖTLANDS LÄN</t>
        </is>
      </c>
      <c r="E244" t="inlineStr">
        <is>
          <t>LINKÖPING</t>
        </is>
      </c>
      <c r="F244" t="inlineStr">
        <is>
          <t>Övriga Aktiebolag</t>
        </is>
      </c>
      <c r="G244" t="n">
        <v>3.1</v>
      </c>
      <c r="H244" t="n">
        <v>0</v>
      </c>
      <c r="I244" t="n">
        <v>0</v>
      </c>
      <c r="J244" t="n">
        <v>0</v>
      </c>
      <c r="K244" t="n">
        <v>0</v>
      </c>
      <c r="L244" t="n">
        <v>0</v>
      </c>
      <c r="M244" t="n">
        <v>0</v>
      </c>
      <c r="N244" t="n">
        <v>0</v>
      </c>
      <c r="O244" t="n">
        <v>0</v>
      </c>
      <c r="P244" t="n">
        <v>0</v>
      </c>
      <c r="Q244" t="n">
        <v>0</v>
      </c>
      <c r="R244" s="2" t="inlineStr"/>
    </row>
    <row r="245" ht="15" customHeight="1">
      <c r="A245" t="inlineStr">
        <is>
          <t>A 2085-2024</t>
        </is>
      </c>
      <c r="B245" s="1" t="n">
        <v>45309</v>
      </c>
      <c r="C245" s="1" t="n">
        <v>46163</v>
      </c>
      <c r="D245" t="inlineStr">
        <is>
          <t>ÖSTERGÖTLANDS LÄN</t>
        </is>
      </c>
      <c r="E245" t="inlineStr">
        <is>
          <t>LINKÖPING</t>
        </is>
      </c>
      <c r="G245" t="n">
        <v>4.5</v>
      </c>
      <c r="H245" t="n">
        <v>0</v>
      </c>
      <c r="I245" t="n">
        <v>0</v>
      </c>
      <c r="J245" t="n">
        <v>0</v>
      </c>
      <c r="K245" t="n">
        <v>0</v>
      </c>
      <c r="L245" t="n">
        <v>0</v>
      </c>
      <c r="M245" t="n">
        <v>0</v>
      </c>
      <c r="N245" t="n">
        <v>0</v>
      </c>
      <c r="O245" t="n">
        <v>0</v>
      </c>
      <c r="P245" t="n">
        <v>0</v>
      </c>
      <c r="Q245" t="n">
        <v>0</v>
      </c>
      <c r="R245" s="2" t="inlineStr"/>
    </row>
    <row r="246" ht="15" customHeight="1">
      <c r="A246" t="inlineStr">
        <is>
          <t>A 34864-2023</t>
        </is>
      </c>
      <c r="B246" s="1" t="n">
        <v>45141</v>
      </c>
      <c r="C246" s="1" t="n">
        <v>46163</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38715-2023</t>
        </is>
      </c>
      <c r="B247" s="1" t="n">
        <v>45160</v>
      </c>
      <c r="C247" s="1" t="n">
        <v>46163</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30468-2023</t>
        </is>
      </c>
      <c r="B248" s="1" t="n">
        <v>45111.58732638889</v>
      </c>
      <c r="C248" s="1" t="n">
        <v>46163</v>
      </c>
      <c r="D248" t="inlineStr">
        <is>
          <t>ÖSTERGÖTLANDS LÄN</t>
        </is>
      </c>
      <c r="E248" t="inlineStr">
        <is>
          <t>LINKÖPING</t>
        </is>
      </c>
      <c r="G248" t="n">
        <v>10.1</v>
      </c>
      <c r="H248" t="n">
        <v>0</v>
      </c>
      <c r="I248" t="n">
        <v>0</v>
      </c>
      <c r="J248" t="n">
        <v>0</v>
      </c>
      <c r="K248" t="n">
        <v>0</v>
      </c>
      <c r="L248" t="n">
        <v>0</v>
      </c>
      <c r="M248" t="n">
        <v>0</v>
      </c>
      <c r="N248" t="n">
        <v>0</v>
      </c>
      <c r="O248" t="n">
        <v>0</v>
      </c>
      <c r="P248" t="n">
        <v>0</v>
      </c>
      <c r="Q248" t="n">
        <v>0</v>
      </c>
      <c r="R248" s="2" t="inlineStr"/>
    </row>
    <row r="249" ht="15" customHeight="1">
      <c r="A249" t="inlineStr">
        <is>
          <t>A 17103-2025</t>
        </is>
      </c>
      <c r="B249" s="1" t="n">
        <v>45755.66143518518</v>
      </c>
      <c r="C249" s="1" t="n">
        <v>46163</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46687-2021</t>
        </is>
      </c>
      <c r="B250" s="1" t="n">
        <v>44445</v>
      </c>
      <c r="C250" s="1" t="n">
        <v>46163</v>
      </c>
      <c r="D250" t="inlineStr">
        <is>
          <t>ÖSTERGÖTLANDS LÄN</t>
        </is>
      </c>
      <c r="E250" t="inlineStr">
        <is>
          <t>LINKÖPING</t>
        </is>
      </c>
      <c r="F250" t="inlineStr">
        <is>
          <t>Övriga statliga verk och myndigheter</t>
        </is>
      </c>
      <c r="G250" t="n">
        <v>2.3</v>
      </c>
      <c r="H250" t="n">
        <v>0</v>
      </c>
      <c r="I250" t="n">
        <v>0</v>
      </c>
      <c r="J250" t="n">
        <v>0</v>
      </c>
      <c r="K250" t="n">
        <v>0</v>
      </c>
      <c r="L250" t="n">
        <v>0</v>
      </c>
      <c r="M250" t="n">
        <v>0</v>
      </c>
      <c r="N250" t="n">
        <v>0</v>
      </c>
      <c r="O250" t="n">
        <v>0</v>
      </c>
      <c r="P250" t="n">
        <v>0</v>
      </c>
      <c r="Q250" t="n">
        <v>0</v>
      </c>
      <c r="R250" s="2" t="inlineStr"/>
    </row>
    <row r="251" ht="15" customHeight="1">
      <c r="A251" t="inlineStr">
        <is>
          <t>A 40618-2021</t>
        </is>
      </c>
      <c r="B251" s="1" t="n">
        <v>44420.49575231481</v>
      </c>
      <c r="C251" s="1" t="n">
        <v>46163</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46163</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227-2024</t>
        </is>
      </c>
      <c r="B253" s="1" t="n">
        <v>45294.73603009259</v>
      </c>
      <c r="C253" s="1" t="n">
        <v>46163</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30471-2023</t>
        </is>
      </c>
      <c r="B254" s="1" t="n">
        <v>45111.58931712963</v>
      </c>
      <c r="C254" s="1" t="n">
        <v>46163</v>
      </c>
      <c r="D254" t="inlineStr">
        <is>
          <t>ÖSTERGÖTLANDS LÄN</t>
        </is>
      </c>
      <c r="E254" t="inlineStr">
        <is>
          <t>LINKÖPING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30434-2024</t>
        </is>
      </c>
      <c r="B255" s="1" t="n">
        <v>45491.69811342593</v>
      </c>
      <c r="C255" s="1" t="n">
        <v>46163</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56917-2022</t>
        </is>
      </c>
      <c r="B256" s="1" t="n">
        <v>44894</v>
      </c>
      <c r="C256" s="1" t="n">
        <v>46163</v>
      </c>
      <c r="D256" t="inlineStr">
        <is>
          <t>ÖSTERGÖTLANDS LÄN</t>
        </is>
      </c>
      <c r="E256" t="inlineStr">
        <is>
          <t>LINKÖPING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57766-2023</t>
        </is>
      </c>
      <c r="B257" s="1" t="n">
        <v>45246</v>
      </c>
      <c r="C257" s="1" t="n">
        <v>46163</v>
      </c>
      <c r="D257" t="inlineStr">
        <is>
          <t>ÖSTERGÖTLANDS LÄN</t>
        </is>
      </c>
      <c r="E257" t="inlineStr">
        <is>
          <t>LINKÖPING</t>
        </is>
      </c>
      <c r="F257" t="inlineStr">
        <is>
          <t>Allmännings- och besparingsskogar</t>
        </is>
      </c>
      <c r="G257" t="n">
        <v>12.8</v>
      </c>
      <c r="H257" t="n">
        <v>0</v>
      </c>
      <c r="I257" t="n">
        <v>0</v>
      </c>
      <c r="J257" t="n">
        <v>0</v>
      </c>
      <c r="K257" t="n">
        <v>0</v>
      </c>
      <c r="L257" t="n">
        <v>0</v>
      </c>
      <c r="M257" t="n">
        <v>0</v>
      </c>
      <c r="N257" t="n">
        <v>0</v>
      </c>
      <c r="O257" t="n">
        <v>0</v>
      </c>
      <c r="P257" t="n">
        <v>0</v>
      </c>
      <c r="Q257" t="n">
        <v>0</v>
      </c>
      <c r="R257" s="2" t="inlineStr"/>
    </row>
    <row r="258" ht="15" customHeight="1">
      <c r="A258" t="inlineStr">
        <is>
          <t>A 25568-2024</t>
        </is>
      </c>
      <c r="B258" s="1" t="n">
        <v>45463.58699074074</v>
      </c>
      <c r="C258" s="1" t="n">
        <v>46163</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22833-2023</t>
        </is>
      </c>
      <c r="B259" s="1" t="n">
        <v>45071</v>
      </c>
      <c r="C259" s="1" t="n">
        <v>46163</v>
      </c>
      <c r="D259" t="inlineStr">
        <is>
          <t>ÖSTERGÖTLANDS LÄN</t>
        </is>
      </c>
      <c r="E259" t="inlineStr">
        <is>
          <t>LINKÖPING</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41345-2021</t>
        </is>
      </c>
      <c r="B260" s="1" t="n">
        <v>44424.61851851852</v>
      </c>
      <c r="C260" s="1" t="n">
        <v>46163</v>
      </c>
      <c r="D260" t="inlineStr">
        <is>
          <t>ÖSTERGÖTLANDS LÄN</t>
        </is>
      </c>
      <c r="E260" t="inlineStr">
        <is>
          <t>LINKÖPING</t>
        </is>
      </c>
      <c r="F260" t="inlineStr">
        <is>
          <t>Sveaskog</t>
        </is>
      </c>
      <c r="G260" t="n">
        <v>6.3</v>
      </c>
      <c r="H260" t="n">
        <v>0</v>
      </c>
      <c r="I260" t="n">
        <v>0</v>
      </c>
      <c r="J260" t="n">
        <v>0</v>
      </c>
      <c r="K260" t="n">
        <v>0</v>
      </c>
      <c r="L260" t="n">
        <v>0</v>
      </c>
      <c r="M260" t="n">
        <v>0</v>
      </c>
      <c r="N260" t="n">
        <v>0</v>
      </c>
      <c r="O260" t="n">
        <v>0</v>
      </c>
      <c r="P260" t="n">
        <v>0</v>
      </c>
      <c r="Q260" t="n">
        <v>0</v>
      </c>
      <c r="R260" s="2" t="inlineStr"/>
    </row>
    <row r="261" ht="15" customHeight="1">
      <c r="A261" t="inlineStr">
        <is>
          <t>A 2997-2025</t>
        </is>
      </c>
      <c r="B261" s="1" t="n">
        <v>45678.54631944445</v>
      </c>
      <c r="C261" s="1" t="n">
        <v>46163</v>
      </c>
      <c r="D261" t="inlineStr">
        <is>
          <t>ÖSTERGÖTLANDS LÄN</t>
        </is>
      </c>
      <c r="E261" t="inlineStr">
        <is>
          <t>LINKÖPING</t>
        </is>
      </c>
      <c r="G261" t="n">
        <v>2.7</v>
      </c>
      <c r="H261" t="n">
        <v>0</v>
      </c>
      <c r="I261" t="n">
        <v>0</v>
      </c>
      <c r="J261" t="n">
        <v>0</v>
      </c>
      <c r="K261" t="n">
        <v>0</v>
      </c>
      <c r="L261" t="n">
        <v>0</v>
      </c>
      <c r="M261" t="n">
        <v>0</v>
      </c>
      <c r="N261" t="n">
        <v>0</v>
      </c>
      <c r="O261" t="n">
        <v>0</v>
      </c>
      <c r="P261" t="n">
        <v>0</v>
      </c>
      <c r="Q261" t="n">
        <v>0</v>
      </c>
      <c r="R261" s="2" t="inlineStr"/>
    </row>
    <row r="262" ht="15" customHeight="1">
      <c r="A262" t="inlineStr">
        <is>
          <t>A 13266-2025</t>
        </is>
      </c>
      <c r="B262" s="1" t="n">
        <v>45735.53318287037</v>
      </c>
      <c r="C262" s="1" t="n">
        <v>46163</v>
      </c>
      <c r="D262" t="inlineStr">
        <is>
          <t>ÖSTERGÖTLANDS LÄN</t>
        </is>
      </c>
      <c r="E262" t="inlineStr">
        <is>
          <t>LINKÖPING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16213-2025</t>
        </is>
      </c>
      <c r="B263" s="1" t="n">
        <v>45750.62740740741</v>
      </c>
      <c r="C263" s="1" t="n">
        <v>46163</v>
      </c>
      <c r="D263" t="inlineStr">
        <is>
          <t>ÖSTERGÖTLANDS LÄN</t>
        </is>
      </c>
      <c r="E263" t="inlineStr">
        <is>
          <t>LINKÖPING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46225-2021</t>
        </is>
      </c>
      <c r="B264" s="1" t="n">
        <v>44442</v>
      </c>
      <c r="C264" s="1" t="n">
        <v>46163</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25776-2021</t>
        </is>
      </c>
      <c r="B265" s="1" t="n">
        <v>44343</v>
      </c>
      <c r="C265" s="1" t="n">
        <v>46163</v>
      </c>
      <c r="D265" t="inlineStr">
        <is>
          <t>ÖSTERGÖTLANDS LÄN</t>
        </is>
      </c>
      <c r="E265" t="inlineStr">
        <is>
          <t>LINKÖPING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51484-2023</t>
        </is>
      </c>
      <c r="B266" s="1" t="n">
        <v>45222</v>
      </c>
      <c r="C266" s="1" t="n">
        <v>46163</v>
      </c>
      <c r="D266" t="inlineStr">
        <is>
          <t>ÖSTERGÖTLANDS LÄN</t>
        </is>
      </c>
      <c r="E266" t="inlineStr">
        <is>
          <t>LINKÖPING</t>
        </is>
      </c>
      <c r="F266" t="inlineStr">
        <is>
          <t>Övriga Aktiebolag</t>
        </is>
      </c>
      <c r="G266" t="n">
        <v>7.7</v>
      </c>
      <c r="H266" t="n">
        <v>0</v>
      </c>
      <c r="I266" t="n">
        <v>0</v>
      </c>
      <c r="J266" t="n">
        <v>0</v>
      </c>
      <c r="K266" t="n">
        <v>0</v>
      </c>
      <c r="L266" t="n">
        <v>0</v>
      </c>
      <c r="M266" t="n">
        <v>0</v>
      </c>
      <c r="N266" t="n">
        <v>0</v>
      </c>
      <c r="O266" t="n">
        <v>0</v>
      </c>
      <c r="P266" t="n">
        <v>0</v>
      </c>
      <c r="Q266" t="n">
        <v>0</v>
      </c>
      <c r="R266" s="2" t="inlineStr"/>
    </row>
    <row r="267" ht="15" customHeight="1">
      <c r="A267" t="inlineStr">
        <is>
          <t>A 17898-2022</t>
        </is>
      </c>
      <c r="B267" s="1" t="n">
        <v>44683</v>
      </c>
      <c r="C267" s="1" t="n">
        <v>46163</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29599-2025</t>
        </is>
      </c>
      <c r="B268" s="1" t="n">
        <v>45825.41101851852</v>
      </c>
      <c r="C268" s="1" t="n">
        <v>46163</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63487-2023</t>
        </is>
      </c>
      <c r="B269" s="1" t="n">
        <v>45274.66712962963</v>
      </c>
      <c r="C269" s="1" t="n">
        <v>46163</v>
      </c>
      <c r="D269" t="inlineStr">
        <is>
          <t>ÖSTERGÖTLANDS LÄN</t>
        </is>
      </c>
      <c r="E269" t="inlineStr">
        <is>
          <t>LINKÖPING</t>
        </is>
      </c>
      <c r="G269" t="n">
        <v>1.4</v>
      </c>
      <c r="H269" t="n">
        <v>0</v>
      </c>
      <c r="I269" t="n">
        <v>0</v>
      </c>
      <c r="J269" t="n">
        <v>0</v>
      </c>
      <c r="K269" t="n">
        <v>0</v>
      </c>
      <c r="L269" t="n">
        <v>0</v>
      </c>
      <c r="M269" t="n">
        <v>0</v>
      </c>
      <c r="N269" t="n">
        <v>0</v>
      </c>
      <c r="O269" t="n">
        <v>0</v>
      </c>
      <c r="P269" t="n">
        <v>0</v>
      </c>
      <c r="Q269" t="n">
        <v>0</v>
      </c>
      <c r="R269" s="2" t="inlineStr"/>
    </row>
    <row r="270" ht="15" customHeight="1">
      <c r="A270" t="inlineStr">
        <is>
          <t>A 35463-2023</t>
        </is>
      </c>
      <c r="B270" s="1" t="n">
        <v>45146</v>
      </c>
      <c r="C270" s="1" t="n">
        <v>46163</v>
      </c>
      <c r="D270" t="inlineStr">
        <is>
          <t>ÖSTERGÖTLANDS LÄN</t>
        </is>
      </c>
      <c r="E270" t="inlineStr">
        <is>
          <t>LINKÖPING</t>
        </is>
      </c>
      <c r="F270" t="inlineStr">
        <is>
          <t>Övriga Aktiebolag</t>
        </is>
      </c>
      <c r="G270" t="n">
        <v>1.8</v>
      </c>
      <c r="H270" t="n">
        <v>0</v>
      </c>
      <c r="I270" t="n">
        <v>0</v>
      </c>
      <c r="J270" t="n">
        <v>0</v>
      </c>
      <c r="K270" t="n">
        <v>0</v>
      </c>
      <c r="L270" t="n">
        <v>0</v>
      </c>
      <c r="M270" t="n">
        <v>0</v>
      </c>
      <c r="N270" t="n">
        <v>0</v>
      </c>
      <c r="O270" t="n">
        <v>0</v>
      </c>
      <c r="P270" t="n">
        <v>0</v>
      </c>
      <c r="Q270" t="n">
        <v>0</v>
      </c>
      <c r="R270" s="2" t="inlineStr"/>
    </row>
    <row r="271" ht="15" customHeight="1">
      <c r="A271" t="inlineStr">
        <is>
          <t>A 44155-2024</t>
        </is>
      </c>
      <c r="B271" s="1" t="n">
        <v>45572.68226851852</v>
      </c>
      <c r="C271" s="1" t="n">
        <v>46163</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30355-2025</t>
        </is>
      </c>
      <c r="B272" s="1" t="n">
        <v>45827</v>
      </c>
      <c r="C272" s="1" t="n">
        <v>46163</v>
      </c>
      <c r="D272" t="inlineStr">
        <is>
          <t>ÖSTERGÖTLANDS LÄN</t>
        </is>
      </c>
      <c r="E272" t="inlineStr">
        <is>
          <t>LINKÖPING</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30353-2025</t>
        </is>
      </c>
      <c r="B273" s="1" t="n">
        <v>45827</v>
      </c>
      <c r="C273" s="1" t="n">
        <v>46163</v>
      </c>
      <c r="D273" t="inlineStr">
        <is>
          <t>ÖSTERGÖTLANDS LÄN</t>
        </is>
      </c>
      <c r="E273" t="inlineStr">
        <is>
          <t>LINKÖPING</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55632-2022</t>
        </is>
      </c>
      <c r="B274" s="1" t="n">
        <v>44888</v>
      </c>
      <c r="C274" s="1" t="n">
        <v>46163</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45275.35924768518</v>
      </c>
      <c r="C275" s="1" t="n">
        <v>46163</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46163</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3008-2023</t>
        </is>
      </c>
      <c r="B277" s="1" t="n">
        <v>44945.79784722222</v>
      </c>
      <c r="C277" s="1" t="n">
        <v>46163</v>
      </c>
      <c r="D277" t="inlineStr">
        <is>
          <t>ÖSTERGÖTLANDS LÄN</t>
        </is>
      </c>
      <c r="E277" t="inlineStr">
        <is>
          <t>LINKÖPING</t>
        </is>
      </c>
      <c r="G277" t="n">
        <v>19.3</v>
      </c>
      <c r="H277" t="n">
        <v>0</v>
      </c>
      <c r="I277" t="n">
        <v>0</v>
      </c>
      <c r="J277" t="n">
        <v>0</v>
      </c>
      <c r="K277" t="n">
        <v>0</v>
      </c>
      <c r="L277" t="n">
        <v>0</v>
      </c>
      <c r="M277" t="n">
        <v>0</v>
      </c>
      <c r="N277" t="n">
        <v>0</v>
      </c>
      <c r="O277" t="n">
        <v>0</v>
      </c>
      <c r="P277" t="n">
        <v>0</v>
      </c>
      <c r="Q277" t="n">
        <v>0</v>
      </c>
      <c r="R277" s="2" t="inlineStr"/>
    </row>
    <row r="278" ht="15" customHeight="1">
      <c r="A278" t="inlineStr">
        <is>
          <t>A 55944-2024</t>
        </is>
      </c>
      <c r="B278" s="1" t="n">
        <v>45623.61640046296</v>
      </c>
      <c r="C278" s="1" t="n">
        <v>46163</v>
      </c>
      <c r="D278" t="inlineStr">
        <is>
          <t>ÖSTERGÖTLANDS LÄN</t>
        </is>
      </c>
      <c r="E278" t="inlineStr">
        <is>
          <t>LINKÖPING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55947-2024</t>
        </is>
      </c>
      <c r="B279" s="1" t="n">
        <v>45623</v>
      </c>
      <c r="C279" s="1" t="n">
        <v>46163</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3374-2023</t>
        </is>
      </c>
      <c r="B280" s="1" t="n">
        <v>44949</v>
      </c>
      <c r="C280" s="1" t="n">
        <v>46163</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31581-2025</t>
        </is>
      </c>
      <c r="B281" s="1" t="n">
        <v>45833.6840162037</v>
      </c>
      <c r="C281" s="1" t="n">
        <v>46163</v>
      </c>
      <c r="D281" t="inlineStr">
        <is>
          <t>ÖSTERGÖTLANDS LÄN</t>
        </is>
      </c>
      <c r="E281" t="inlineStr">
        <is>
          <t>LINKÖPING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31585-2025</t>
        </is>
      </c>
      <c r="B282" s="1" t="n">
        <v>45833.68815972222</v>
      </c>
      <c r="C282" s="1" t="n">
        <v>46163</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24151-2024</t>
        </is>
      </c>
      <c r="B283" s="1" t="n">
        <v>45456.67717592593</v>
      </c>
      <c r="C283" s="1" t="n">
        <v>46163</v>
      </c>
      <c r="D283" t="inlineStr">
        <is>
          <t>ÖSTERGÖTLANDS LÄN</t>
        </is>
      </c>
      <c r="E283" t="inlineStr">
        <is>
          <t>LINKÖPING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39438-2025</t>
        </is>
      </c>
      <c r="B284" s="1" t="n">
        <v>45889.68641203704</v>
      </c>
      <c r="C284" s="1" t="n">
        <v>46163</v>
      </c>
      <c r="D284" t="inlineStr">
        <is>
          <t>ÖSTERGÖTLANDS LÄN</t>
        </is>
      </c>
      <c r="E284" t="inlineStr">
        <is>
          <t>LINKÖPING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27264-2025</t>
        </is>
      </c>
      <c r="B285" s="1" t="n">
        <v>45812.4794212963</v>
      </c>
      <c r="C285" s="1" t="n">
        <v>46163</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39074-2025</t>
        </is>
      </c>
      <c r="B286" s="1" t="n">
        <v>45888</v>
      </c>
      <c r="C286" s="1" t="n">
        <v>46163</v>
      </c>
      <c r="D286" t="inlineStr">
        <is>
          <t>ÖSTERGÖTLANDS LÄN</t>
        </is>
      </c>
      <c r="E286" t="inlineStr">
        <is>
          <t>LINKÖPING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72567-2021</t>
        </is>
      </c>
      <c r="B287" s="1" t="n">
        <v>44546.45023148148</v>
      </c>
      <c r="C287" s="1" t="n">
        <v>46163</v>
      </c>
      <c r="D287" t="inlineStr">
        <is>
          <t>ÖSTERGÖTLANDS LÄN</t>
        </is>
      </c>
      <c r="E287" t="inlineStr">
        <is>
          <t>LINKÖPING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14576-2023</t>
        </is>
      </c>
      <c r="B288" s="1" t="n">
        <v>45013</v>
      </c>
      <c r="C288" s="1" t="n">
        <v>46163</v>
      </c>
      <c r="D288" t="inlineStr">
        <is>
          <t>ÖSTERGÖTLANDS LÄN</t>
        </is>
      </c>
      <c r="E288" t="inlineStr">
        <is>
          <t>LINKÖPING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74160-2021</t>
        </is>
      </c>
      <c r="B289" s="1" t="n">
        <v>44558</v>
      </c>
      <c r="C289" s="1" t="n">
        <v>46163</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32723-2025</t>
        </is>
      </c>
      <c r="B290" s="1" t="n">
        <v>45838</v>
      </c>
      <c r="C290" s="1" t="n">
        <v>46163</v>
      </c>
      <c r="D290" t="inlineStr">
        <is>
          <t>ÖSTERGÖTLANDS LÄN</t>
        </is>
      </c>
      <c r="E290" t="inlineStr">
        <is>
          <t>LINKÖPING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40169-2025</t>
        </is>
      </c>
      <c r="B291" s="1" t="n">
        <v>45894.62824074074</v>
      </c>
      <c r="C291" s="1" t="n">
        <v>46163</v>
      </c>
      <c r="D291" t="inlineStr">
        <is>
          <t>ÖSTERGÖTLANDS LÄN</t>
        </is>
      </c>
      <c r="E291" t="inlineStr">
        <is>
          <t>LINKÖPING</t>
        </is>
      </c>
      <c r="G291" t="n">
        <v>2.8</v>
      </c>
      <c r="H291" t="n">
        <v>0</v>
      </c>
      <c r="I291" t="n">
        <v>0</v>
      </c>
      <c r="J291" t="n">
        <v>0</v>
      </c>
      <c r="K291" t="n">
        <v>0</v>
      </c>
      <c r="L291" t="n">
        <v>0</v>
      </c>
      <c r="M291" t="n">
        <v>0</v>
      </c>
      <c r="N291" t="n">
        <v>0</v>
      </c>
      <c r="O291" t="n">
        <v>0</v>
      </c>
      <c r="P291" t="n">
        <v>0</v>
      </c>
      <c r="Q291" t="n">
        <v>0</v>
      </c>
      <c r="R291" s="2" t="inlineStr"/>
    </row>
    <row r="292" ht="15" customHeight="1">
      <c r="A292" t="inlineStr">
        <is>
          <t>A 27766-2022</t>
        </is>
      </c>
      <c r="B292" s="1" t="n">
        <v>44743.53112268518</v>
      </c>
      <c r="C292" s="1" t="n">
        <v>46163</v>
      </c>
      <c r="D292" t="inlineStr">
        <is>
          <t>ÖSTERGÖTLANDS LÄN</t>
        </is>
      </c>
      <c r="E292" t="inlineStr">
        <is>
          <t>LINKÖPING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53641-2023</t>
        </is>
      </c>
      <c r="B293" s="1" t="n">
        <v>45230</v>
      </c>
      <c r="C293" s="1" t="n">
        <v>46163</v>
      </c>
      <c r="D293" t="inlineStr">
        <is>
          <t>ÖSTERGÖTLANDS LÄN</t>
        </is>
      </c>
      <c r="E293" t="inlineStr">
        <is>
          <t>LINKÖPING</t>
        </is>
      </c>
      <c r="G293" t="n">
        <v>1.7</v>
      </c>
      <c r="H293" t="n">
        <v>0</v>
      </c>
      <c r="I293" t="n">
        <v>0</v>
      </c>
      <c r="J293" t="n">
        <v>0</v>
      </c>
      <c r="K293" t="n">
        <v>0</v>
      </c>
      <c r="L293" t="n">
        <v>0</v>
      </c>
      <c r="M293" t="n">
        <v>0</v>
      </c>
      <c r="N293" t="n">
        <v>0</v>
      </c>
      <c r="O293" t="n">
        <v>0</v>
      </c>
      <c r="P293" t="n">
        <v>0</v>
      </c>
      <c r="Q293" t="n">
        <v>0</v>
      </c>
      <c r="R293" s="2" t="inlineStr"/>
    </row>
    <row r="294" ht="15" customHeight="1">
      <c r="A294" t="inlineStr">
        <is>
          <t>A 33000-2023</t>
        </is>
      </c>
      <c r="B294" s="1" t="n">
        <v>45125</v>
      </c>
      <c r="C294" s="1" t="n">
        <v>46163</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52892-2024</t>
        </is>
      </c>
      <c r="B295" s="1" t="n">
        <v>45610</v>
      </c>
      <c r="C295" s="1" t="n">
        <v>46163</v>
      </c>
      <c r="D295" t="inlineStr">
        <is>
          <t>ÖSTERGÖTLANDS LÄN</t>
        </is>
      </c>
      <c r="E295" t="inlineStr">
        <is>
          <t>LINKÖPING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33947-2025</t>
        </is>
      </c>
      <c r="B296" s="1" t="n">
        <v>45842.65444444444</v>
      </c>
      <c r="C296" s="1" t="n">
        <v>46163</v>
      </c>
      <c r="D296" t="inlineStr">
        <is>
          <t>ÖSTERGÖTLANDS LÄN</t>
        </is>
      </c>
      <c r="E296" t="inlineStr">
        <is>
          <t>LINKÖPING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53529-2024</t>
        </is>
      </c>
      <c r="B297" s="1" t="n">
        <v>45614</v>
      </c>
      <c r="C297" s="1" t="n">
        <v>46163</v>
      </c>
      <c r="D297" t="inlineStr">
        <is>
          <t>ÖSTERGÖTLANDS LÄN</t>
        </is>
      </c>
      <c r="E297" t="inlineStr">
        <is>
          <t>LINKÖPING</t>
        </is>
      </c>
      <c r="G297" t="n">
        <v>6.7</v>
      </c>
      <c r="H297" t="n">
        <v>0</v>
      </c>
      <c r="I297" t="n">
        <v>0</v>
      </c>
      <c r="J297" t="n">
        <v>0</v>
      </c>
      <c r="K297" t="n">
        <v>0</v>
      </c>
      <c r="L297" t="n">
        <v>0</v>
      </c>
      <c r="M297" t="n">
        <v>0</v>
      </c>
      <c r="N297" t="n">
        <v>0</v>
      </c>
      <c r="O297" t="n">
        <v>0</v>
      </c>
      <c r="P297" t="n">
        <v>0</v>
      </c>
      <c r="Q297" t="n">
        <v>0</v>
      </c>
      <c r="R297" s="2" t="inlineStr"/>
    </row>
    <row r="298" ht="15" customHeight="1">
      <c r="A298" t="inlineStr">
        <is>
          <t>A 62012-2024</t>
        </is>
      </c>
      <c r="B298" s="1" t="n">
        <v>45655.79679398148</v>
      </c>
      <c r="C298" s="1" t="n">
        <v>46163</v>
      </c>
      <c r="D298" t="inlineStr">
        <is>
          <t>ÖSTERGÖTLANDS LÄN</t>
        </is>
      </c>
      <c r="E298" t="inlineStr">
        <is>
          <t>LINKÖPING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30521-2024</t>
        </is>
      </c>
      <c r="B299" s="1" t="n">
        <v>45492</v>
      </c>
      <c r="C299" s="1" t="n">
        <v>46163</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51191-2022</t>
        </is>
      </c>
      <c r="B300" s="1" t="n">
        <v>44865</v>
      </c>
      <c r="C300" s="1" t="n">
        <v>46163</v>
      </c>
      <c r="D300" t="inlineStr">
        <is>
          <t>ÖSTERGÖTLANDS LÄN</t>
        </is>
      </c>
      <c r="E300" t="inlineStr">
        <is>
          <t>LINKÖPING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12289-2025</t>
        </is>
      </c>
      <c r="B301" s="1" t="n">
        <v>45729</v>
      </c>
      <c r="C301" s="1" t="n">
        <v>46163</v>
      </c>
      <c r="D301" t="inlineStr">
        <is>
          <t>ÖSTERGÖTLANDS LÄN</t>
        </is>
      </c>
      <c r="E301" t="inlineStr">
        <is>
          <t>LINKÖPING</t>
        </is>
      </c>
      <c r="F301" t="inlineStr">
        <is>
          <t>Övriga statliga verk och myndigheter</t>
        </is>
      </c>
      <c r="G301" t="n">
        <v>6.5</v>
      </c>
      <c r="H301" t="n">
        <v>0</v>
      </c>
      <c r="I301" t="n">
        <v>0</v>
      </c>
      <c r="J301" t="n">
        <v>0</v>
      </c>
      <c r="K301" t="n">
        <v>0</v>
      </c>
      <c r="L301" t="n">
        <v>0</v>
      </c>
      <c r="M301" t="n">
        <v>0</v>
      </c>
      <c r="N301" t="n">
        <v>0</v>
      </c>
      <c r="O301" t="n">
        <v>0</v>
      </c>
      <c r="P301" t="n">
        <v>0</v>
      </c>
      <c r="Q301" t="n">
        <v>0</v>
      </c>
      <c r="R301" s="2" t="inlineStr"/>
    </row>
    <row r="302" ht="15" customHeight="1">
      <c r="A302" t="inlineStr">
        <is>
          <t>A 20469-2025</t>
        </is>
      </c>
      <c r="B302" s="1" t="n">
        <v>45775</v>
      </c>
      <c r="C302" s="1" t="n">
        <v>46163</v>
      </c>
      <c r="D302" t="inlineStr">
        <is>
          <t>ÖSTERGÖTLANDS LÄN</t>
        </is>
      </c>
      <c r="E302" t="inlineStr">
        <is>
          <t>LINKÖPING</t>
        </is>
      </c>
      <c r="F302" t="inlineStr">
        <is>
          <t>Kyrkan</t>
        </is>
      </c>
      <c r="G302" t="n">
        <v>6.1</v>
      </c>
      <c r="H302" t="n">
        <v>0</v>
      </c>
      <c r="I302" t="n">
        <v>0</v>
      </c>
      <c r="J302" t="n">
        <v>0</v>
      </c>
      <c r="K302" t="n">
        <v>0</v>
      </c>
      <c r="L302" t="n">
        <v>0</v>
      </c>
      <c r="M302" t="n">
        <v>0</v>
      </c>
      <c r="N302" t="n">
        <v>0</v>
      </c>
      <c r="O302" t="n">
        <v>0</v>
      </c>
      <c r="P302" t="n">
        <v>0</v>
      </c>
      <c r="Q302" t="n">
        <v>0</v>
      </c>
      <c r="R302" s="2" t="inlineStr"/>
    </row>
    <row r="303" ht="15" customHeight="1">
      <c r="A303" t="inlineStr">
        <is>
          <t>A 9434-2024</t>
        </is>
      </c>
      <c r="B303" s="1" t="n">
        <v>45359</v>
      </c>
      <c r="C303" s="1" t="n">
        <v>46163</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50182-2023</t>
        </is>
      </c>
      <c r="B304" s="1" t="n">
        <v>45208</v>
      </c>
      <c r="C304" s="1" t="n">
        <v>46163</v>
      </c>
      <c r="D304" t="inlineStr">
        <is>
          <t>ÖSTERGÖTLANDS LÄN</t>
        </is>
      </c>
      <c r="E304" t="inlineStr">
        <is>
          <t>LINKÖPING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35781-2023</t>
        </is>
      </c>
      <c r="B305" s="1" t="n">
        <v>45147</v>
      </c>
      <c r="C305" s="1" t="n">
        <v>46163</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33800-2023</t>
        </is>
      </c>
      <c r="B306" s="1" t="n">
        <v>45121</v>
      </c>
      <c r="C306" s="1" t="n">
        <v>46163</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26007-2025</t>
        </is>
      </c>
      <c r="B307" s="1" t="n">
        <v>45804.67081018518</v>
      </c>
      <c r="C307" s="1" t="n">
        <v>46163</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35174-2025</t>
        </is>
      </c>
      <c r="B308" s="1" t="n">
        <v>45852.90648148148</v>
      </c>
      <c r="C308" s="1" t="n">
        <v>46163</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47991-2023</t>
        </is>
      </c>
      <c r="B309" s="1" t="n">
        <v>45204.62655092592</v>
      </c>
      <c r="C309" s="1" t="n">
        <v>46163</v>
      </c>
      <c r="D309" t="inlineStr">
        <is>
          <t>ÖSTERGÖTLANDS LÄN</t>
        </is>
      </c>
      <c r="E309" t="inlineStr">
        <is>
          <t>LINKÖPING</t>
        </is>
      </c>
      <c r="F309" t="inlineStr">
        <is>
          <t>Allmännings- och besparingsskogar</t>
        </is>
      </c>
      <c r="G309" t="n">
        <v>7.3</v>
      </c>
      <c r="H309" t="n">
        <v>0</v>
      </c>
      <c r="I309" t="n">
        <v>0</v>
      </c>
      <c r="J309" t="n">
        <v>0</v>
      </c>
      <c r="K309" t="n">
        <v>0</v>
      </c>
      <c r="L309" t="n">
        <v>0</v>
      </c>
      <c r="M309" t="n">
        <v>0</v>
      </c>
      <c r="N309" t="n">
        <v>0</v>
      </c>
      <c r="O309" t="n">
        <v>0</v>
      </c>
      <c r="P309" t="n">
        <v>0</v>
      </c>
      <c r="Q309" t="n">
        <v>0</v>
      </c>
      <c r="R309" s="2" t="inlineStr"/>
    </row>
    <row r="310" ht="15" customHeight="1">
      <c r="A310" t="inlineStr">
        <is>
          <t>A 35179-2025</t>
        </is>
      </c>
      <c r="B310" s="1" t="n">
        <v>45852.93737268518</v>
      </c>
      <c r="C310" s="1" t="n">
        <v>46163</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35180-2025</t>
        </is>
      </c>
      <c r="B311" s="1" t="n">
        <v>45852.9413425926</v>
      </c>
      <c r="C311" s="1" t="n">
        <v>46163</v>
      </c>
      <c r="D311" t="inlineStr">
        <is>
          <t>ÖSTERGÖTLANDS LÄN</t>
        </is>
      </c>
      <c r="E311" t="inlineStr">
        <is>
          <t>LINKÖPING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6387-2022</t>
        </is>
      </c>
      <c r="B312" s="1" t="n">
        <v>44600</v>
      </c>
      <c r="C312" s="1" t="n">
        <v>46163</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46163</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35178-2025</t>
        </is>
      </c>
      <c r="B314" s="1" t="n">
        <v>45852.91939814815</v>
      </c>
      <c r="C314" s="1" t="n">
        <v>46163</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41511-2025</t>
        </is>
      </c>
      <c r="B315" s="1" t="n">
        <v>45901.53839120371</v>
      </c>
      <c r="C315" s="1" t="n">
        <v>46163</v>
      </c>
      <c r="D315" t="inlineStr">
        <is>
          <t>ÖSTERGÖTLANDS LÄN</t>
        </is>
      </c>
      <c r="E315" t="inlineStr">
        <is>
          <t>LINKÖPING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12089-2025</t>
        </is>
      </c>
      <c r="B316" s="1" t="n">
        <v>45729</v>
      </c>
      <c r="C316" s="1" t="n">
        <v>46163</v>
      </c>
      <c r="D316" t="inlineStr">
        <is>
          <t>ÖSTERGÖTLANDS LÄN</t>
        </is>
      </c>
      <c r="E316" t="inlineStr">
        <is>
          <t>LINKÖPING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41706-2025</t>
        </is>
      </c>
      <c r="B317" s="1" t="n">
        <v>45902.42209490741</v>
      </c>
      <c r="C317" s="1" t="n">
        <v>46163</v>
      </c>
      <c r="D317" t="inlineStr">
        <is>
          <t>ÖSTERGÖTLANDS LÄN</t>
        </is>
      </c>
      <c r="E317" t="inlineStr">
        <is>
          <t>LINKÖPING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35757-2025</t>
        </is>
      </c>
      <c r="B318" s="1" t="n">
        <v>45860.59876157407</v>
      </c>
      <c r="C318" s="1" t="n">
        <v>46163</v>
      </c>
      <c r="D318" t="inlineStr">
        <is>
          <t>ÖSTERGÖTLANDS LÄN</t>
        </is>
      </c>
      <c r="E318" t="inlineStr">
        <is>
          <t>LINKÖPING</t>
        </is>
      </c>
      <c r="G318" t="n">
        <v>5.7</v>
      </c>
      <c r="H318" t="n">
        <v>0</v>
      </c>
      <c r="I318" t="n">
        <v>0</v>
      </c>
      <c r="J318" t="n">
        <v>0</v>
      </c>
      <c r="K318" t="n">
        <v>0</v>
      </c>
      <c r="L318" t="n">
        <v>0</v>
      </c>
      <c r="M318" t="n">
        <v>0</v>
      </c>
      <c r="N318" t="n">
        <v>0</v>
      </c>
      <c r="O318" t="n">
        <v>0</v>
      </c>
      <c r="P318" t="n">
        <v>0</v>
      </c>
      <c r="Q318" t="n">
        <v>0</v>
      </c>
      <c r="R318" s="2" t="inlineStr"/>
    </row>
    <row r="319" ht="15" customHeight="1">
      <c r="A319" t="inlineStr">
        <is>
          <t>A 15658-2023</t>
        </is>
      </c>
      <c r="B319" s="1" t="n">
        <v>45021.41194444444</v>
      </c>
      <c r="C319" s="1" t="n">
        <v>46163</v>
      </c>
      <c r="D319" t="inlineStr">
        <is>
          <t>ÖSTERGÖTLANDS LÄN</t>
        </is>
      </c>
      <c r="E319" t="inlineStr">
        <is>
          <t>LINKÖPING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35745-2025</t>
        </is>
      </c>
      <c r="B320" s="1" t="n">
        <v>45860.54739583333</v>
      </c>
      <c r="C320" s="1" t="n">
        <v>46163</v>
      </c>
      <c r="D320" t="inlineStr">
        <is>
          <t>ÖSTERGÖTLANDS LÄN</t>
        </is>
      </c>
      <c r="E320" t="inlineStr">
        <is>
          <t>LINKÖPING</t>
        </is>
      </c>
      <c r="G320" t="n">
        <v>4.4</v>
      </c>
      <c r="H320" t="n">
        <v>0</v>
      </c>
      <c r="I320" t="n">
        <v>0</v>
      </c>
      <c r="J320" t="n">
        <v>0</v>
      </c>
      <c r="K320" t="n">
        <v>0</v>
      </c>
      <c r="L320" t="n">
        <v>0</v>
      </c>
      <c r="M320" t="n">
        <v>0</v>
      </c>
      <c r="N320" t="n">
        <v>0</v>
      </c>
      <c r="O320" t="n">
        <v>0</v>
      </c>
      <c r="P320" t="n">
        <v>0</v>
      </c>
      <c r="Q320" t="n">
        <v>0</v>
      </c>
      <c r="R320" s="2" t="inlineStr"/>
    </row>
    <row r="321" ht="15" customHeight="1">
      <c r="A321" t="inlineStr">
        <is>
          <t>A 35747-2025</t>
        </is>
      </c>
      <c r="B321" s="1" t="n">
        <v>45860.56385416666</v>
      </c>
      <c r="C321" s="1" t="n">
        <v>46163</v>
      </c>
      <c r="D321" t="inlineStr">
        <is>
          <t>ÖSTERGÖTLANDS LÄN</t>
        </is>
      </c>
      <c r="E321" t="inlineStr">
        <is>
          <t>LINKÖPING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3042-2024</t>
        </is>
      </c>
      <c r="B322" s="1" t="n">
        <v>45316.35028935185</v>
      </c>
      <c r="C322" s="1" t="n">
        <v>46163</v>
      </c>
      <c r="D322" t="inlineStr">
        <is>
          <t>ÖSTERGÖTLANDS LÄN</t>
        </is>
      </c>
      <c r="E322" t="inlineStr">
        <is>
          <t>LINKÖPING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35759-2025</t>
        </is>
      </c>
      <c r="B323" s="1" t="n">
        <v>45860</v>
      </c>
      <c r="C323" s="1" t="n">
        <v>46163</v>
      </c>
      <c r="D323" t="inlineStr">
        <is>
          <t>ÖSTERGÖTLANDS LÄN</t>
        </is>
      </c>
      <c r="E323" t="inlineStr">
        <is>
          <t>LINKÖPING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51583-2024</t>
        </is>
      </c>
      <c r="B324" s="1" t="n">
        <v>45604.6397337963</v>
      </c>
      <c r="C324" s="1" t="n">
        <v>46163</v>
      </c>
      <c r="D324" t="inlineStr">
        <is>
          <t>ÖSTERGÖTLANDS LÄN</t>
        </is>
      </c>
      <c r="E324" t="inlineStr">
        <is>
          <t>LINKÖPING</t>
        </is>
      </c>
      <c r="F324" t="inlineStr">
        <is>
          <t>Övriga Aktiebolag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29293-2025</t>
        </is>
      </c>
      <c r="B325" s="1" t="n">
        <v>45824</v>
      </c>
      <c r="C325" s="1" t="n">
        <v>46163</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42624-2025</t>
        </is>
      </c>
      <c r="B326" s="1" t="n">
        <v>45905</v>
      </c>
      <c r="C326" s="1" t="n">
        <v>46163</v>
      </c>
      <c r="D326" t="inlineStr">
        <is>
          <t>ÖSTERGÖTLANDS LÄN</t>
        </is>
      </c>
      <c r="E326" t="inlineStr">
        <is>
          <t>LINKÖPING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42626-2025</t>
        </is>
      </c>
      <c r="B327" s="1" t="n">
        <v>45905</v>
      </c>
      <c r="C327" s="1" t="n">
        <v>46163</v>
      </c>
      <c r="D327" t="inlineStr">
        <is>
          <t>ÖSTERGÖTLANDS LÄN</t>
        </is>
      </c>
      <c r="E327" t="inlineStr">
        <is>
          <t>LINKÖPING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64694-2023</t>
        </is>
      </c>
      <c r="B328" s="1" t="n">
        <v>45281</v>
      </c>
      <c r="C328" s="1" t="n">
        <v>46163</v>
      </c>
      <c r="D328" t="inlineStr">
        <is>
          <t>ÖSTERGÖTLANDS LÄN</t>
        </is>
      </c>
      <c r="E328" t="inlineStr">
        <is>
          <t>LINKÖPING</t>
        </is>
      </c>
      <c r="F328" t="inlineStr">
        <is>
          <t>Övriga statliga verk och myndigheter</t>
        </is>
      </c>
      <c r="G328" t="n">
        <v>4.9</v>
      </c>
      <c r="H328" t="n">
        <v>0</v>
      </c>
      <c r="I328" t="n">
        <v>0</v>
      </c>
      <c r="J328" t="n">
        <v>0</v>
      </c>
      <c r="K328" t="n">
        <v>0</v>
      </c>
      <c r="L328" t="n">
        <v>0</v>
      </c>
      <c r="M328" t="n">
        <v>0</v>
      </c>
      <c r="N328" t="n">
        <v>0</v>
      </c>
      <c r="O328" t="n">
        <v>0</v>
      </c>
      <c r="P328" t="n">
        <v>0</v>
      </c>
      <c r="Q328" t="n">
        <v>0</v>
      </c>
      <c r="R328" s="2" t="inlineStr"/>
    </row>
    <row r="329" ht="15" customHeight="1">
      <c r="A329" t="inlineStr">
        <is>
          <t>A 32602-2022</t>
        </is>
      </c>
      <c r="B329" s="1" t="n">
        <v>44783.43192129629</v>
      </c>
      <c r="C329" s="1" t="n">
        <v>46163</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42623-2025</t>
        </is>
      </c>
      <c r="B330" s="1" t="n">
        <v>45905</v>
      </c>
      <c r="C330" s="1" t="n">
        <v>46163</v>
      </c>
      <c r="D330" t="inlineStr">
        <is>
          <t>ÖSTERGÖTLANDS LÄN</t>
        </is>
      </c>
      <c r="E330" t="inlineStr">
        <is>
          <t>LINKÖPING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62321-2022</t>
        </is>
      </c>
      <c r="B331" s="1" t="n">
        <v>44916</v>
      </c>
      <c r="C331" s="1" t="n">
        <v>46163</v>
      </c>
      <c r="D331" t="inlineStr">
        <is>
          <t>ÖSTERGÖTLANDS LÄN</t>
        </is>
      </c>
      <c r="E331" t="inlineStr">
        <is>
          <t>LINKÖPING</t>
        </is>
      </c>
      <c r="F331" t="inlineStr">
        <is>
          <t>Kommuner</t>
        </is>
      </c>
      <c r="G331" t="n">
        <v>5.3</v>
      </c>
      <c r="H331" t="n">
        <v>0</v>
      </c>
      <c r="I331" t="n">
        <v>0</v>
      </c>
      <c r="J331" t="n">
        <v>0</v>
      </c>
      <c r="K331" t="n">
        <v>0</v>
      </c>
      <c r="L331" t="n">
        <v>0</v>
      </c>
      <c r="M331" t="n">
        <v>0</v>
      </c>
      <c r="N331" t="n">
        <v>0</v>
      </c>
      <c r="O331" t="n">
        <v>0</v>
      </c>
      <c r="P331" t="n">
        <v>0</v>
      </c>
      <c r="Q331" t="n">
        <v>0</v>
      </c>
      <c r="R331" s="2" t="inlineStr"/>
    </row>
    <row r="332" ht="15" customHeight="1">
      <c r="A332" t="inlineStr">
        <is>
          <t>A 1084-2023</t>
        </is>
      </c>
      <c r="B332" s="1" t="n">
        <v>44929</v>
      </c>
      <c r="C332" s="1" t="n">
        <v>46163</v>
      </c>
      <c r="D332" t="inlineStr">
        <is>
          <t>ÖSTERGÖTLANDS LÄN</t>
        </is>
      </c>
      <c r="E332" t="inlineStr">
        <is>
          <t>LINKÖPING</t>
        </is>
      </c>
      <c r="G332" t="n">
        <v>10.4</v>
      </c>
      <c r="H332" t="n">
        <v>0</v>
      </c>
      <c r="I332" t="n">
        <v>0</v>
      </c>
      <c r="J332" t="n">
        <v>0</v>
      </c>
      <c r="K332" t="n">
        <v>0</v>
      </c>
      <c r="L332" t="n">
        <v>0</v>
      </c>
      <c r="M332" t="n">
        <v>0</v>
      </c>
      <c r="N332" t="n">
        <v>0</v>
      </c>
      <c r="O332" t="n">
        <v>0</v>
      </c>
      <c r="P332" t="n">
        <v>0</v>
      </c>
      <c r="Q332" t="n">
        <v>0</v>
      </c>
      <c r="R332" s="2" t="inlineStr"/>
    </row>
    <row r="333" ht="15" customHeight="1">
      <c r="A333" t="inlineStr">
        <is>
          <t>A 267-2023</t>
        </is>
      </c>
      <c r="B333" s="1" t="n">
        <v>44928.80907407407</v>
      </c>
      <c r="C333" s="1" t="n">
        <v>46163</v>
      </c>
      <c r="D333" t="inlineStr">
        <is>
          <t>ÖSTERGÖTLANDS LÄN</t>
        </is>
      </c>
      <c r="E333" t="inlineStr">
        <is>
          <t>LINKÖPING</t>
        </is>
      </c>
      <c r="G333" t="n">
        <v>2.7</v>
      </c>
      <c r="H333" t="n">
        <v>0</v>
      </c>
      <c r="I333" t="n">
        <v>0</v>
      </c>
      <c r="J333" t="n">
        <v>0</v>
      </c>
      <c r="K333" t="n">
        <v>0</v>
      </c>
      <c r="L333" t="n">
        <v>0</v>
      </c>
      <c r="M333" t="n">
        <v>0</v>
      </c>
      <c r="N333" t="n">
        <v>0</v>
      </c>
      <c r="O333" t="n">
        <v>0</v>
      </c>
      <c r="P333" t="n">
        <v>0</v>
      </c>
      <c r="Q333" t="n">
        <v>0</v>
      </c>
      <c r="R333" s="2" t="inlineStr"/>
    </row>
    <row r="334" ht="15" customHeight="1">
      <c r="A334" t="inlineStr">
        <is>
          <t>A 940-2023</t>
        </is>
      </c>
      <c r="B334" s="1" t="n">
        <v>44933</v>
      </c>
      <c r="C334" s="1" t="n">
        <v>46163</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6369-2023</t>
        </is>
      </c>
      <c r="B335" s="1" t="n">
        <v>44965.61106481482</v>
      </c>
      <c r="C335" s="1" t="n">
        <v>46163</v>
      </c>
      <c r="D335" t="inlineStr">
        <is>
          <t>ÖSTERGÖTLANDS LÄN</t>
        </is>
      </c>
      <c r="E335" t="inlineStr">
        <is>
          <t>LINKÖPING</t>
        </is>
      </c>
      <c r="G335" t="n">
        <v>4</v>
      </c>
      <c r="H335" t="n">
        <v>0</v>
      </c>
      <c r="I335" t="n">
        <v>0</v>
      </c>
      <c r="J335" t="n">
        <v>0</v>
      </c>
      <c r="K335" t="n">
        <v>0</v>
      </c>
      <c r="L335" t="n">
        <v>0</v>
      </c>
      <c r="M335" t="n">
        <v>0</v>
      </c>
      <c r="N335" t="n">
        <v>0</v>
      </c>
      <c r="O335" t="n">
        <v>0</v>
      </c>
      <c r="P335" t="n">
        <v>0</v>
      </c>
      <c r="Q335" t="n">
        <v>0</v>
      </c>
      <c r="R335" s="2" t="inlineStr"/>
    </row>
    <row r="336" ht="15" customHeight="1">
      <c r="A336" t="inlineStr">
        <is>
          <t>A 30980-2022</t>
        </is>
      </c>
      <c r="B336" s="1" t="n">
        <v>44768</v>
      </c>
      <c r="C336" s="1" t="n">
        <v>46163</v>
      </c>
      <c r="D336" t="inlineStr">
        <is>
          <t>ÖSTERGÖTLANDS LÄN</t>
        </is>
      </c>
      <c r="E336" t="inlineStr">
        <is>
          <t>LINKÖPING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60007-2022</t>
        </is>
      </c>
      <c r="B337" s="1" t="n">
        <v>44909.47282407407</v>
      </c>
      <c r="C337" s="1" t="n">
        <v>46163</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50799-2022</t>
        </is>
      </c>
      <c r="B338" s="1" t="n">
        <v>44862</v>
      </c>
      <c r="C338" s="1" t="n">
        <v>46163</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56064-2022</t>
        </is>
      </c>
      <c r="B339" s="1" t="n">
        <v>44889.59107638889</v>
      </c>
      <c r="C339" s="1" t="n">
        <v>46163</v>
      </c>
      <c r="D339" t="inlineStr">
        <is>
          <t>ÖSTERGÖTLANDS LÄN</t>
        </is>
      </c>
      <c r="E339" t="inlineStr">
        <is>
          <t>LINKÖPING</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47703-2023</t>
        </is>
      </c>
      <c r="B340" s="1" t="n">
        <v>45203</v>
      </c>
      <c r="C340" s="1" t="n">
        <v>46163</v>
      </c>
      <c r="D340" t="inlineStr">
        <is>
          <t>ÖSTERGÖTLANDS LÄN</t>
        </is>
      </c>
      <c r="E340" t="inlineStr">
        <is>
          <t>LINKÖPING</t>
        </is>
      </c>
      <c r="G340" t="n">
        <v>4.1</v>
      </c>
      <c r="H340" t="n">
        <v>0</v>
      </c>
      <c r="I340" t="n">
        <v>0</v>
      </c>
      <c r="J340" t="n">
        <v>0</v>
      </c>
      <c r="K340" t="n">
        <v>0</v>
      </c>
      <c r="L340" t="n">
        <v>0</v>
      </c>
      <c r="M340" t="n">
        <v>0</v>
      </c>
      <c r="N340" t="n">
        <v>0</v>
      </c>
      <c r="O340" t="n">
        <v>0</v>
      </c>
      <c r="P340" t="n">
        <v>0</v>
      </c>
      <c r="Q340" t="n">
        <v>0</v>
      </c>
      <c r="R340" s="2" t="inlineStr"/>
    </row>
    <row r="341" ht="15" customHeight="1">
      <c r="A341" t="inlineStr">
        <is>
          <t>A 16111-2022</t>
        </is>
      </c>
      <c r="B341" s="1" t="n">
        <v>44665</v>
      </c>
      <c r="C341" s="1" t="n">
        <v>46163</v>
      </c>
      <c r="D341" t="inlineStr">
        <is>
          <t>ÖSTERGÖTLANDS LÄN</t>
        </is>
      </c>
      <c r="E341" t="inlineStr">
        <is>
          <t>LINKÖPING</t>
        </is>
      </c>
      <c r="F341" t="inlineStr">
        <is>
          <t>Övriga Aktiebolag</t>
        </is>
      </c>
      <c r="G341" t="n">
        <v>2.9</v>
      </c>
      <c r="H341" t="n">
        <v>0</v>
      </c>
      <c r="I341" t="n">
        <v>0</v>
      </c>
      <c r="J341" t="n">
        <v>0</v>
      </c>
      <c r="K341" t="n">
        <v>0</v>
      </c>
      <c r="L341" t="n">
        <v>0</v>
      </c>
      <c r="M341" t="n">
        <v>0</v>
      </c>
      <c r="N341" t="n">
        <v>0</v>
      </c>
      <c r="O341" t="n">
        <v>0</v>
      </c>
      <c r="P341" t="n">
        <v>0</v>
      </c>
      <c r="Q341" t="n">
        <v>0</v>
      </c>
      <c r="R341" s="2" t="inlineStr"/>
    </row>
    <row r="342" ht="15" customHeight="1">
      <c r="A342" t="inlineStr">
        <is>
          <t>A 48962-2022</t>
        </is>
      </c>
      <c r="B342" s="1" t="n">
        <v>44860.31635416667</v>
      </c>
      <c r="C342" s="1" t="n">
        <v>46163</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37057-2025</t>
        </is>
      </c>
      <c r="B343" s="1" t="n">
        <v>45875.37489583333</v>
      </c>
      <c r="C343" s="1" t="n">
        <v>46163</v>
      </c>
      <c r="D343" t="inlineStr">
        <is>
          <t>ÖSTERGÖTLANDS LÄN</t>
        </is>
      </c>
      <c r="E343" t="inlineStr">
        <is>
          <t>LINKÖPING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44170-2025</t>
        </is>
      </c>
      <c r="B344" s="1" t="n">
        <v>45915.59864583334</v>
      </c>
      <c r="C344" s="1" t="n">
        <v>46163</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27891-2021</t>
        </is>
      </c>
      <c r="B345" s="1" t="n">
        <v>44354.65108796296</v>
      </c>
      <c r="C345" s="1" t="n">
        <v>46163</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43755-2025</t>
        </is>
      </c>
      <c r="B346" s="1" t="n">
        <v>45912.47329861111</v>
      </c>
      <c r="C346" s="1" t="n">
        <v>46163</v>
      </c>
      <c r="D346" t="inlineStr">
        <is>
          <t>ÖSTERGÖTLANDS LÄN</t>
        </is>
      </c>
      <c r="E346" t="inlineStr">
        <is>
          <t>LINKÖPING</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43758-2025</t>
        </is>
      </c>
      <c r="B347" s="1" t="n">
        <v>45912.47711805555</v>
      </c>
      <c r="C347" s="1" t="n">
        <v>46163</v>
      </c>
      <c r="D347" t="inlineStr">
        <is>
          <t>ÖSTERGÖTLANDS LÄN</t>
        </is>
      </c>
      <c r="E347" t="inlineStr">
        <is>
          <t>LINKÖPING</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43753-2025</t>
        </is>
      </c>
      <c r="B348" s="1" t="n">
        <v>45912.4715625</v>
      </c>
      <c r="C348" s="1" t="n">
        <v>46163</v>
      </c>
      <c r="D348" t="inlineStr">
        <is>
          <t>ÖSTERGÖTLANDS LÄN</t>
        </is>
      </c>
      <c r="E348" t="inlineStr">
        <is>
          <t>LINKÖPING</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44759-2025</t>
        </is>
      </c>
      <c r="B349" s="1" t="n">
        <v>45917.7152662037</v>
      </c>
      <c r="C349" s="1" t="n">
        <v>46163</v>
      </c>
      <c r="D349" t="inlineStr">
        <is>
          <t>ÖSTERGÖTLANDS LÄN</t>
        </is>
      </c>
      <c r="E349" t="inlineStr">
        <is>
          <t>LINKÖPING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1268-2023</t>
        </is>
      </c>
      <c r="B350" s="1" t="n">
        <v>44936</v>
      </c>
      <c r="C350" s="1" t="n">
        <v>46163</v>
      </c>
      <c r="D350" t="inlineStr">
        <is>
          <t>ÖSTERGÖTLANDS LÄN</t>
        </is>
      </c>
      <c r="E350" t="inlineStr">
        <is>
          <t>LINKÖPING</t>
        </is>
      </c>
      <c r="G350" t="n">
        <v>4.6</v>
      </c>
      <c r="H350" t="n">
        <v>0</v>
      </c>
      <c r="I350" t="n">
        <v>0</v>
      </c>
      <c r="J350" t="n">
        <v>0</v>
      </c>
      <c r="K350" t="n">
        <v>0</v>
      </c>
      <c r="L350" t="n">
        <v>0</v>
      </c>
      <c r="M350" t="n">
        <v>0</v>
      </c>
      <c r="N350" t="n">
        <v>0</v>
      </c>
      <c r="O350" t="n">
        <v>0</v>
      </c>
      <c r="P350" t="n">
        <v>0</v>
      </c>
      <c r="Q350" t="n">
        <v>0</v>
      </c>
      <c r="R350" s="2" t="inlineStr"/>
    </row>
    <row r="351" ht="15" customHeight="1">
      <c r="A351" t="inlineStr">
        <is>
          <t>A 62687-2023</t>
        </is>
      </c>
      <c r="B351" s="1" t="n">
        <v>45271</v>
      </c>
      <c r="C351" s="1" t="n">
        <v>46163</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44764-2025</t>
        </is>
      </c>
      <c r="B352" s="1" t="n">
        <v>45917.72821759259</v>
      </c>
      <c r="C352" s="1" t="n">
        <v>46163</v>
      </c>
      <c r="D352" t="inlineStr">
        <is>
          <t>ÖSTERGÖTLANDS LÄN</t>
        </is>
      </c>
      <c r="E352" t="inlineStr">
        <is>
          <t>LINKÖPING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34641-2022</t>
        </is>
      </c>
      <c r="B353" s="1" t="n">
        <v>44795</v>
      </c>
      <c r="C353" s="1" t="n">
        <v>46163</v>
      </c>
      <c r="D353" t="inlineStr">
        <is>
          <t>ÖSTERGÖTLANDS LÄN</t>
        </is>
      </c>
      <c r="E353" t="inlineStr">
        <is>
          <t>LINKÖPING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45112-2025</t>
        </is>
      </c>
      <c r="B354" s="1" t="n">
        <v>45919</v>
      </c>
      <c r="C354" s="1" t="n">
        <v>46163</v>
      </c>
      <c r="D354" t="inlineStr">
        <is>
          <t>ÖSTERGÖTLANDS LÄN</t>
        </is>
      </c>
      <c r="E354" t="inlineStr">
        <is>
          <t>LINKÖPING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938-2023</t>
        </is>
      </c>
      <c r="B355" s="1" t="n">
        <v>44933</v>
      </c>
      <c r="C355" s="1" t="n">
        <v>46163</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2389-2023</t>
        </is>
      </c>
      <c r="B356" s="1" t="n">
        <v>44942</v>
      </c>
      <c r="C356" s="1" t="n">
        <v>46163</v>
      </c>
      <c r="D356" t="inlineStr">
        <is>
          <t>ÖSTERGÖTLANDS LÄN</t>
        </is>
      </c>
      <c r="E356" t="inlineStr">
        <is>
          <t>LINKÖPING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48-2024</t>
        </is>
      </c>
      <c r="B357" s="1" t="n">
        <v>45293</v>
      </c>
      <c r="C357" s="1" t="n">
        <v>46163</v>
      </c>
      <c r="D357" t="inlineStr">
        <is>
          <t>ÖSTERGÖTLANDS LÄN</t>
        </is>
      </c>
      <c r="E357" t="inlineStr">
        <is>
          <t>LINKÖPING</t>
        </is>
      </c>
      <c r="G357" t="n">
        <v>4.6</v>
      </c>
      <c r="H357" t="n">
        <v>0</v>
      </c>
      <c r="I357" t="n">
        <v>0</v>
      </c>
      <c r="J357" t="n">
        <v>0</v>
      </c>
      <c r="K357" t="n">
        <v>0</v>
      </c>
      <c r="L357" t="n">
        <v>0</v>
      </c>
      <c r="M357" t="n">
        <v>0</v>
      </c>
      <c r="N357" t="n">
        <v>0</v>
      </c>
      <c r="O357" t="n">
        <v>0</v>
      </c>
      <c r="P357" t="n">
        <v>0</v>
      </c>
      <c r="Q357" t="n">
        <v>0</v>
      </c>
      <c r="R357" s="2" t="inlineStr"/>
    </row>
    <row r="358" ht="15" customHeight="1">
      <c r="A358" t="inlineStr">
        <is>
          <t>A 25829-2025</t>
        </is>
      </c>
      <c r="B358" s="1" t="n">
        <v>45804.44505787037</v>
      </c>
      <c r="C358" s="1" t="n">
        <v>46163</v>
      </c>
      <c r="D358" t="inlineStr">
        <is>
          <t>ÖSTERGÖTLANDS LÄN</t>
        </is>
      </c>
      <c r="E358" t="inlineStr">
        <is>
          <t>LINKÖPING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38046-2025</t>
        </is>
      </c>
      <c r="B359" s="1" t="n">
        <v>45882.39939814815</v>
      </c>
      <c r="C359" s="1" t="n">
        <v>46163</v>
      </c>
      <c r="D359" t="inlineStr">
        <is>
          <t>ÖSTERGÖTLANDS LÄN</t>
        </is>
      </c>
      <c r="E359" t="inlineStr">
        <is>
          <t>LINKÖPING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45771-2023</t>
        </is>
      </c>
      <c r="B360" s="1" t="n">
        <v>45195.4384375</v>
      </c>
      <c r="C360" s="1" t="n">
        <v>46163</v>
      </c>
      <c r="D360" t="inlineStr">
        <is>
          <t>ÖSTERGÖTLANDS LÄN</t>
        </is>
      </c>
      <c r="E360" t="inlineStr">
        <is>
          <t>LINKÖPING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30547-2023</t>
        </is>
      </c>
      <c r="B361" s="1" t="n">
        <v>45111.75905092592</v>
      </c>
      <c r="C361" s="1" t="n">
        <v>46163</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40502-2024</t>
        </is>
      </c>
      <c r="B362" s="1" t="n">
        <v>45555.57263888889</v>
      </c>
      <c r="C362" s="1" t="n">
        <v>46163</v>
      </c>
      <c r="D362" t="inlineStr">
        <is>
          <t>ÖSTERGÖTLANDS LÄN</t>
        </is>
      </c>
      <c r="E362" t="inlineStr">
        <is>
          <t>LINKÖPING</t>
        </is>
      </c>
      <c r="F362" t="inlineStr">
        <is>
          <t>Allmännings- och besparingsskogar</t>
        </is>
      </c>
      <c r="G362" t="n">
        <v>17.5</v>
      </c>
      <c r="H362" t="n">
        <v>0</v>
      </c>
      <c r="I362" t="n">
        <v>0</v>
      </c>
      <c r="J362" t="n">
        <v>0</v>
      </c>
      <c r="K362" t="n">
        <v>0</v>
      </c>
      <c r="L362" t="n">
        <v>0</v>
      </c>
      <c r="M362" t="n">
        <v>0</v>
      </c>
      <c r="N362" t="n">
        <v>0</v>
      </c>
      <c r="O362" t="n">
        <v>0</v>
      </c>
      <c r="P362" t="n">
        <v>0</v>
      </c>
      <c r="Q362" t="n">
        <v>0</v>
      </c>
      <c r="R362" s="2" t="inlineStr"/>
    </row>
    <row r="363" ht="15" customHeight="1">
      <c r="A363" t="inlineStr">
        <is>
          <t>A 45634-2025</t>
        </is>
      </c>
      <c r="B363" s="1" t="n">
        <v>45922.85089120371</v>
      </c>
      <c r="C363" s="1" t="n">
        <v>46163</v>
      </c>
      <c r="D363" t="inlineStr">
        <is>
          <t>ÖSTERGÖTLANDS LÄN</t>
        </is>
      </c>
      <c r="E363" t="inlineStr">
        <is>
          <t>LINKÖPING</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24464-2023</t>
        </is>
      </c>
      <c r="B364" s="1" t="n">
        <v>45082.58068287037</v>
      </c>
      <c r="C364" s="1" t="n">
        <v>46163</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24467-2023</t>
        </is>
      </c>
      <c r="B365" s="1" t="n">
        <v>45082</v>
      </c>
      <c r="C365" s="1" t="n">
        <v>46163</v>
      </c>
      <c r="D365" t="inlineStr">
        <is>
          <t>ÖSTERGÖTLANDS LÄN</t>
        </is>
      </c>
      <c r="E365" t="inlineStr">
        <is>
          <t>LINKÖPING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48389-2024</t>
        </is>
      </c>
      <c r="B366" s="1" t="n">
        <v>45590.59991898148</v>
      </c>
      <c r="C366" s="1" t="n">
        <v>46163</v>
      </c>
      <c r="D366" t="inlineStr">
        <is>
          <t>ÖSTERGÖTLANDS LÄN</t>
        </is>
      </c>
      <c r="E366" t="inlineStr">
        <is>
          <t>LINKÖPING</t>
        </is>
      </c>
      <c r="G366" t="n">
        <v>2.6</v>
      </c>
      <c r="H366" t="n">
        <v>0</v>
      </c>
      <c r="I366" t="n">
        <v>0</v>
      </c>
      <c r="J366" t="n">
        <v>0</v>
      </c>
      <c r="K366" t="n">
        <v>0</v>
      </c>
      <c r="L366" t="n">
        <v>0</v>
      </c>
      <c r="M366" t="n">
        <v>0</v>
      </c>
      <c r="N366" t="n">
        <v>0</v>
      </c>
      <c r="O366" t="n">
        <v>0</v>
      </c>
      <c r="P366" t="n">
        <v>0</v>
      </c>
      <c r="Q366" t="n">
        <v>0</v>
      </c>
      <c r="R366" s="2" t="inlineStr"/>
    </row>
    <row r="367" ht="15" customHeight="1">
      <c r="A367" t="inlineStr">
        <is>
          <t>A 56792-2023</t>
        </is>
      </c>
      <c r="B367" s="1" t="n">
        <v>45244</v>
      </c>
      <c r="C367" s="1" t="n">
        <v>46163</v>
      </c>
      <c r="D367" t="inlineStr">
        <is>
          <t>ÖSTERGÖTLANDS LÄN</t>
        </is>
      </c>
      <c r="E367" t="inlineStr">
        <is>
          <t>LINKÖPING</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45792-2025</t>
        </is>
      </c>
      <c r="B368" s="1" t="n">
        <v>45923.56998842592</v>
      </c>
      <c r="C368" s="1" t="n">
        <v>46163</v>
      </c>
      <c r="D368" t="inlineStr">
        <is>
          <t>ÖSTERGÖTLANDS LÄN</t>
        </is>
      </c>
      <c r="E368" t="inlineStr">
        <is>
          <t>LINKÖPING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45804-2025</t>
        </is>
      </c>
      <c r="B369" s="1" t="n">
        <v>45923.5819675926</v>
      </c>
      <c r="C369" s="1" t="n">
        <v>46163</v>
      </c>
      <c r="D369" t="inlineStr">
        <is>
          <t>ÖSTERGÖTLANDS LÄN</t>
        </is>
      </c>
      <c r="E369" t="inlineStr">
        <is>
          <t>LINKÖPING</t>
        </is>
      </c>
      <c r="G369" t="n">
        <v>3.3</v>
      </c>
      <c r="H369" t="n">
        <v>0</v>
      </c>
      <c r="I369" t="n">
        <v>0</v>
      </c>
      <c r="J369" t="n">
        <v>0</v>
      </c>
      <c r="K369" t="n">
        <v>0</v>
      </c>
      <c r="L369" t="n">
        <v>0</v>
      </c>
      <c r="M369" t="n">
        <v>0</v>
      </c>
      <c r="N369" t="n">
        <v>0</v>
      </c>
      <c r="O369" t="n">
        <v>0</v>
      </c>
      <c r="P369" t="n">
        <v>0</v>
      </c>
      <c r="Q369" t="n">
        <v>0</v>
      </c>
      <c r="R369" s="2" t="inlineStr"/>
    </row>
    <row r="370" ht="15" customHeight="1">
      <c r="A370" t="inlineStr">
        <is>
          <t>A 46426-2025</t>
        </is>
      </c>
      <c r="B370" s="1" t="n">
        <v>45925.6012962963</v>
      </c>
      <c r="C370" s="1" t="n">
        <v>46163</v>
      </c>
      <c r="D370" t="inlineStr">
        <is>
          <t>ÖSTERGÖTLANDS LÄN</t>
        </is>
      </c>
      <c r="E370" t="inlineStr">
        <is>
          <t>LINKÖPING</t>
        </is>
      </c>
      <c r="G370" t="n">
        <v>4.4</v>
      </c>
      <c r="H370" t="n">
        <v>0</v>
      </c>
      <c r="I370" t="n">
        <v>0</v>
      </c>
      <c r="J370" t="n">
        <v>0</v>
      </c>
      <c r="K370" t="n">
        <v>0</v>
      </c>
      <c r="L370" t="n">
        <v>0</v>
      </c>
      <c r="M370" t="n">
        <v>0</v>
      </c>
      <c r="N370" t="n">
        <v>0</v>
      </c>
      <c r="O370" t="n">
        <v>0</v>
      </c>
      <c r="P370" t="n">
        <v>0</v>
      </c>
      <c r="Q370" t="n">
        <v>0</v>
      </c>
      <c r="R370" s="2" t="inlineStr"/>
    </row>
    <row r="371" ht="15" customHeight="1">
      <c r="A371" t="inlineStr">
        <is>
          <t>A 39017-2021</t>
        </is>
      </c>
      <c r="B371" s="1" t="n">
        <v>44412</v>
      </c>
      <c r="C371" s="1" t="n">
        <v>46163</v>
      </c>
      <c r="D371" t="inlineStr">
        <is>
          <t>ÖSTERGÖTLANDS LÄN</t>
        </is>
      </c>
      <c r="E371" t="inlineStr">
        <is>
          <t>LINKÖPING</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46428-2025</t>
        </is>
      </c>
      <c r="B372" s="1" t="n">
        <v>45925.60758101852</v>
      </c>
      <c r="C372" s="1" t="n">
        <v>46163</v>
      </c>
      <c r="D372" t="inlineStr">
        <is>
          <t>ÖSTERGÖTLANDS LÄN</t>
        </is>
      </c>
      <c r="E372" t="inlineStr">
        <is>
          <t>LINKÖPING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61281-2021</t>
        </is>
      </c>
      <c r="B373" s="1" t="n">
        <v>44498.60736111111</v>
      </c>
      <c r="C373" s="1" t="n">
        <v>46163</v>
      </c>
      <c r="D373" t="inlineStr">
        <is>
          <t>ÖSTERGÖTLANDS LÄN</t>
        </is>
      </c>
      <c r="E373" t="inlineStr">
        <is>
          <t>LINKÖPING</t>
        </is>
      </c>
      <c r="G373" t="n">
        <v>4.5</v>
      </c>
      <c r="H373" t="n">
        <v>0</v>
      </c>
      <c r="I373" t="n">
        <v>0</v>
      </c>
      <c r="J373" t="n">
        <v>0</v>
      </c>
      <c r="K373" t="n">
        <v>0</v>
      </c>
      <c r="L373" t="n">
        <v>0</v>
      </c>
      <c r="M373" t="n">
        <v>0</v>
      </c>
      <c r="N373" t="n">
        <v>0</v>
      </c>
      <c r="O373" t="n">
        <v>0</v>
      </c>
      <c r="P373" t="n">
        <v>0</v>
      </c>
      <c r="Q373" t="n">
        <v>0</v>
      </c>
      <c r="R373" s="2" t="inlineStr"/>
    </row>
    <row r="374" ht="15" customHeight="1">
      <c r="A374" t="inlineStr">
        <is>
          <t>A 25292-2021</t>
        </is>
      </c>
      <c r="B374" s="1" t="n">
        <v>44342</v>
      </c>
      <c r="C374" s="1" t="n">
        <v>46163</v>
      </c>
      <c r="D374" t="inlineStr">
        <is>
          <t>ÖSTERGÖTLANDS LÄN</t>
        </is>
      </c>
      <c r="E374" t="inlineStr">
        <is>
          <t>LINKÖPING</t>
        </is>
      </c>
      <c r="F374" t="inlineStr">
        <is>
          <t>Övriga Aktiebolag</t>
        </is>
      </c>
      <c r="G374" t="n">
        <v>12.8</v>
      </c>
      <c r="H374" t="n">
        <v>0</v>
      </c>
      <c r="I374" t="n">
        <v>0</v>
      </c>
      <c r="J374" t="n">
        <v>0</v>
      </c>
      <c r="K374" t="n">
        <v>0</v>
      </c>
      <c r="L374" t="n">
        <v>0</v>
      </c>
      <c r="M374" t="n">
        <v>0</v>
      </c>
      <c r="N374" t="n">
        <v>0</v>
      </c>
      <c r="O374" t="n">
        <v>0</v>
      </c>
      <c r="P374" t="n">
        <v>0</v>
      </c>
      <c r="Q374" t="n">
        <v>0</v>
      </c>
      <c r="R374" s="2" t="inlineStr"/>
    </row>
    <row r="375" ht="15" customHeight="1">
      <c r="A375" t="inlineStr">
        <is>
          <t>A 63935-2021</t>
        </is>
      </c>
      <c r="B375" s="1" t="n">
        <v>44509</v>
      </c>
      <c r="C375" s="1" t="n">
        <v>46163</v>
      </c>
      <c r="D375" t="inlineStr">
        <is>
          <t>ÖSTERGÖTLANDS LÄN</t>
        </is>
      </c>
      <c r="E375" t="inlineStr">
        <is>
          <t>LINKÖPING</t>
        </is>
      </c>
      <c r="F375" t="inlineStr">
        <is>
          <t>Övriga statliga verk och myndigheter</t>
        </is>
      </c>
      <c r="G375" t="n">
        <v>2.8</v>
      </c>
      <c r="H375" t="n">
        <v>0</v>
      </c>
      <c r="I375" t="n">
        <v>0</v>
      </c>
      <c r="J375" t="n">
        <v>0</v>
      </c>
      <c r="K375" t="n">
        <v>0</v>
      </c>
      <c r="L375" t="n">
        <v>0</v>
      </c>
      <c r="M375" t="n">
        <v>0</v>
      </c>
      <c r="N375" t="n">
        <v>0</v>
      </c>
      <c r="O375" t="n">
        <v>0</v>
      </c>
      <c r="P375" t="n">
        <v>0</v>
      </c>
      <c r="Q375" t="n">
        <v>0</v>
      </c>
      <c r="R375" s="2" t="inlineStr"/>
    </row>
    <row r="376" ht="15" customHeight="1">
      <c r="A376" t="inlineStr">
        <is>
          <t>A 38971-2025</t>
        </is>
      </c>
      <c r="B376" s="1" t="n">
        <v>45887.71827546296</v>
      </c>
      <c r="C376" s="1" t="n">
        <v>46163</v>
      </c>
      <c r="D376" t="inlineStr">
        <is>
          <t>ÖSTERGÖTLANDS LÄN</t>
        </is>
      </c>
      <c r="E376" t="inlineStr">
        <is>
          <t>LINKÖPING</t>
        </is>
      </c>
      <c r="G376" t="n">
        <v>3.9</v>
      </c>
      <c r="H376" t="n">
        <v>0</v>
      </c>
      <c r="I376" t="n">
        <v>0</v>
      </c>
      <c r="J376" t="n">
        <v>0</v>
      </c>
      <c r="K376" t="n">
        <v>0</v>
      </c>
      <c r="L376" t="n">
        <v>0</v>
      </c>
      <c r="M376" t="n">
        <v>0</v>
      </c>
      <c r="N376" t="n">
        <v>0</v>
      </c>
      <c r="O376" t="n">
        <v>0</v>
      </c>
      <c r="P376" t="n">
        <v>0</v>
      </c>
      <c r="Q376" t="n">
        <v>0</v>
      </c>
      <c r="R376" s="2" t="inlineStr"/>
    </row>
    <row r="377" ht="15" customHeight="1">
      <c r="A377" t="inlineStr">
        <is>
          <t>A 55345-2021</t>
        </is>
      </c>
      <c r="B377" s="1" t="n">
        <v>44475</v>
      </c>
      <c r="C377" s="1" t="n">
        <v>46163</v>
      </c>
      <c r="D377" t="inlineStr">
        <is>
          <t>ÖSTERGÖTLANDS LÄN</t>
        </is>
      </c>
      <c r="E377" t="inlineStr">
        <is>
          <t>LINKÖPING</t>
        </is>
      </c>
      <c r="G377" t="n">
        <v>5.7</v>
      </c>
      <c r="H377" t="n">
        <v>0</v>
      </c>
      <c r="I377" t="n">
        <v>0</v>
      </c>
      <c r="J377" t="n">
        <v>0</v>
      </c>
      <c r="K377" t="n">
        <v>0</v>
      </c>
      <c r="L377" t="n">
        <v>0</v>
      </c>
      <c r="M377" t="n">
        <v>0</v>
      </c>
      <c r="N377" t="n">
        <v>0</v>
      </c>
      <c r="O377" t="n">
        <v>0</v>
      </c>
      <c r="P377" t="n">
        <v>0</v>
      </c>
      <c r="Q377" t="n">
        <v>0</v>
      </c>
      <c r="R377" s="2" t="inlineStr"/>
    </row>
    <row r="378" ht="15" customHeight="1">
      <c r="A378" t="inlineStr">
        <is>
          <t>A 46377-2025</t>
        </is>
      </c>
      <c r="B378" s="1" t="n">
        <v>45925.51773148148</v>
      </c>
      <c r="C378" s="1" t="n">
        <v>46163</v>
      </c>
      <c r="D378" t="inlineStr">
        <is>
          <t>ÖSTERGÖTLANDS LÄN</t>
        </is>
      </c>
      <c r="E378" t="inlineStr">
        <is>
          <t>LINKÖPING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1260-2023</t>
        </is>
      </c>
      <c r="B379" s="1" t="n">
        <v>44936</v>
      </c>
      <c r="C379" s="1" t="n">
        <v>46163</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1355-2023</t>
        </is>
      </c>
      <c r="B380" s="1" t="n">
        <v>44931</v>
      </c>
      <c r="C380" s="1" t="n">
        <v>46163</v>
      </c>
      <c r="D380" t="inlineStr">
        <is>
          <t>ÖSTERGÖTLANDS LÄN</t>
        </is>
      </c>
      <c r="E380" t="inlineStr">
        <is>
          <t>LINKÖPING</t>
        </is>
      </c>
      <c r="G380" t="n">
        <v>4</v>
      </c>
      <c r="H380" t="n">
        <v>0</v>
      </c>
      <c r="I380" t="n">
        <v>0</v>
      </c>
      <c r="J380" t="n">
        <v>0</v>
      </c>
      <c r="K380" t="n">
        <v>0</v>
      </c>
      <c r="L380" t="n">
        <v>0</v>
      </c>
      <c r="M380" t="n">
        <v>0</v>
      </c>
      <c r="N380" t="n">
        <v>0</v>
      </c>
      <c r="O380" t="n">
        <v>0</v>
      </c>
      <c r="P380" t="n">
        <v>0</v>
      </c>
      <c r="Q380" t="n">
        <v>0</v>
      </c>
      <c r="R380" s="2" t="inlineStr"/>
    </row>
    <row r="381" ht="15" customHeight="1">
      <c r="A381" t="inlineStr">
        <is>
          <t>A 3007-2025</t>
        </is>
      </c>
      <c r="B381" s="1" t="n">
        <v>45678.56328703704</v>
      </c>
      <c r="C381" s="1" t="n">
        <v>46163</v>
      </c>
      <c r="D381" t="inlineStr">
        <is>
          <t>ÖSTERGÖTLANDS LÄN</t>
        </is>
      </c>
      <c r="E381" t="inlineStr">
        <is>
          <t>LINKÖPING</t>
        </is>
      </c>
      <c r="G381" t="n">
        <v>3.1</v>
      </c>
      <c r="H381" t="n">
        <v>0</v>
      </c>
      <c r="I381" t="n">
        <v>0</v>
      </c>
      <c r="J381" t="n">
        <v>0</v>
      </c>
      <c r="K381" t="n">
        <v>0</v>
      </c>
      <c r="L381" t="n">
        <v>0</v>
      </c>
      <c r="M381" t="n">
        <v>0</v>
      </c>
      <c r="N381" t="n">
        <v>0</v>
      </c>
      <c r="O381" t="n">
        <v>0</v>
      </c>
      <c r="P381" t="n">
        <v>0</v>
      </c>
      <c r="Q381" t="n">
        <v>0</v>
      </c>
      <c r="R381" s="2" t="inlineStr"/>
    </row>
    <row r="382" ht="15" customHeight="1">
      <c r="A382" t="inlineStr">
        <is>
          <t>A 10492-2022</t>
        </is>
      </c>
      <c r="B382" s="1" t="n">
        <v>44623.6377199074</v>
      </c>
      <c r="C382" s="1" t="n">
        <v>46163</v>
      </c>
      <c r="D382" t="inlineStr">
        <is>
          <t>ÖSTERGÖTLANDS LÄN</t>
        </is>
      </c>
      <c r="E382" t="inlineStr">
        <is>
          <t>LINKÖPING</t>
        </is>
      </c>
      <c r="G382" t="n">
        <v>2.1</v>
      </c>
      <c r="H382" t="n">
        <v>0</v>
      </c>
      <c r="I382" t="n">
        <v>0</v>
      </c>
      <c r="J382" t="n">
        <v>0</v>
      </c>
      <c r="K382" t="n">
        <v>0</v>
      </c>
      <c r="L382" t="n">
        <v>0</v>
      </c>
      <c r="M382" t="n">
        <v>0</v>
      </c>
      <c r="N382" t="n">
        <v>0</v>
      </c>
      <c r="O382" t="n">
        <v>0</v>
      </c>
      <c r="P382" t="n">
        <v>0</v>
      </c>
      <c r="Q382" t="n">
        <v>0</v>
      </c>
      <c r="R382" s="2" t="inlineStr"/>
    </row>
    <row r="383" ht="15" customHeight="1">
      <c r="A383" t="inlineStr">
        <is>
          <t>A 30465-2023</t>
        </is>
      </c>
      <c r="B383" s="1" t="n">
        <v>45111</v>
      </c>
      <c r="C383" s="1" t="n">
        <v>46163</v>
      </c>
      <c r="D383" t="inlineStr">
        <is>
          <t>ÖSTERGÖTLANDS LÄN</t>
        </is>
      </c>
      <c r="E383" t="inlineStr">
        <is>
          <t>LINKÖPING</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10479-2026</t>
        </is>
      </c>
      <c r="B384" s="1" t="n">
        <v>46077.49231481482</v>
      </c>
      <c r="C384" s="1" t="n">
        <v>46163</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39021-2021</t>
        </is>
      </c>
      <c r="B385" s="1" t="n">
        <v>44412</v>
      </c>
      <c r="C385" s="1" t="n">
        <v>46163</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62353-2022</t>
        </is>
      </c>
      <c r="B386" s="1" t="n">
        <v>44923</v>
      </c>
      <c r="C386" s="1" t="n">
        <v>46163</v>
      </c>
      <c r="D386" t="inlineStr">
        <is>
          <t>ÖSTERGÖTLANDS LÄN</t>
        </is>
      </c>
      <c r="E386" t="inlineStr">
        <is>
          <t>LINKÖPING</t>
        </is>
      </c>
      <c r="F386" t="inlineStr">
        <is>
          <t>Allmännings- och besparingsskogar</t>
        </is>
      </c>
      <c r="G386" t="n">
        <v>1.7</v>
      </c>
      <c r="H386" t="n">
        <v>0</v>
      </c>
      <c r="I386" t="n">
        <v>0</v>
      </c>
      <c r="J386" t="n">
        <v>0</v>
      </c>
      <c r="K386" t="n">
        <v>0</v>
      </c>
      <c r="L386" t="n">
        <v>0</v>
      </c>
      <c r="M386" t="n">
        <v>0</v>
      </c>
      <c r="N386" t="n">
        <v>0</v>
      </c>
      <c r="O386" t="n">
        <v>0</v>
      </c>
      <c r="P386" t="n">
        <v>0</v>
      </c>
      <c r="Q386" t="n">
        <v>0</v>
      </c>
      <c r="R386" s="2" t="inlineStr"/>
    </row>
    <row r="387" ht="15" customHeight="1">
      <c r="A387" t="inlineStr">
        <is>
          <t>A 30111-2024</t>
        </is>
      </c>
      <c r="B387" s="1" t="n">
        <v>45489.46947916667</v>
      </c>
      <c r="C387" s="1" t="n">
        <v>46163</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30119-2024</t>
        </is>
      </c>
      <c r="B388" s="1" t="n">
        <v>45489</v>
      </c>
      <c r="C388" s="1" t="n">
        <v>46163</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29411-2023</t>
        </is>
      </c>
      <c r="B389" s="1" t="n">
        <v>45106.46225694445</v>
      </c>
      <c r="C389" s="1" t="n">
        <v>46163</v>
      </c>
      <c r="D389" t="inlineStr">
        <is>
          <t>ÖSTERGÖTLANDS LÄN</t>
        </is>
      </c>
      <c r="E389" t="inlineStr">
        <is>
          <t>LINKÖPING</t>
        </is>
      </c>
      <c r="G389" t="n">
        <v>2.5</v>
      </c>
      <c r="H389" t="n">
        <v>0</v>
      </c>
      <c r="I389" t="n">
        <v>0</v>
      </c>
      <c r="J389" t="n">
        <v>0</v>
      </c>
      <c r="K389" t="n">
        <v>0</v>
      </c>
      <c r="L389" t="n">
        <v>0</v>
      </c>
      <c r="M389" t="n">
        <v>0</v>
      </c>
      <c r="N389" t="n">
        <v>0</v>
      </c>
      <c r="O389" t="n">
        <v>0</v>
      </c>
      <c r="P389" t="n">
        <v>0</v>
      </c>
      <c r="Q389" t="n">
        <v>0</v>
      </c>
      <c r="R389" s="2" t="inlineStr"/>
    </row>
    <row r="390" ht="15" customHeight="1">
      <c r="A390" t="inlineStr">
        <is>
          <t>A 29412-2023</t>
        </is>
      </c>
      <c r="B390" s="1" t="n">
        <v>45106.46359953703</v>
      </c>
      <c r="C390" s="1" t="n">
        <v>46163</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10756-2026</t>
        </is>
      </c>
      <c r="B391" s="1" t="n">
        <v>46078.55412037037</v>
      </c>
      <c r="C391" s="1" t="n">
        <v>46163</v>
      </c>
      <c r="D391" t="inlineStr">
        <is>
          <t>ÖSTERGÖTLANDS LÄN</t>
        </is>
      </c>
      <c r="E391" t="inlineStr">
        <is>
          <t>LINKÖPING</t>
        </is>
      </c>
      <c r="F391" t="inlineStr">
        <is>
          <t>Övriga Aktiebolag</t>
        </is>
      </c>
      <c r="G391" t="n">
        <v>1.2</v>
      </c>
      <c r="H391" t="n">
        <v>0</v>
      </c>
      <c r="I391" t="n">
        <v>0</v>
      </c>
      <c r="J391" t="n">
        <v>0</v>
      </c>
      <c r="K391" t="n">
        <v>0</v>
      </c>
      <c r="L391" t="n">
        <v>0</v>
      </c>
      <c r="M391" t="n">
        <v>0</v>
      </c>
      <c r="N391" t="n">
        <v>0</v>
      </c>
      <c r="O391" t="n">
        <v>0</v>
      </c>
      <c r="P391" t="n">
        <v>0</v>
      </c>
      <c r="Q391" t="n">
        <v>0</v>
      </c>
      <c r="R391" s="2" t="inlineStr"/>
    </row>
    <row r="392" ht="15" customHeight="1">
      <c r="A392" t="inlineStr">
        <is>
          <t>A 10764-2026</t>
        </is>
      </c>
      <c r="B392" s="1" t="n">
        <v>46078</v>
      </c>
      <c r="C392" s="1" t="n">
        <v>46163</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10477-2026</t>
        </is>
      </c>
      <c r="B393" s="1" t="n">
        <v>46077.4871875</v>
      </c>
      <c r="C393" s="1" t="n">
        <v>46163</v>
      </c>
      <c r="D393" t="inlineStr">
        <is>
          <t>ÖSTERGÖTLANDS LÄN</t>
        </is>
      </c>
      <c r="E393" t="inlineStr">
        <is>
          <t>LINKÖPING</t>
        </is>
      </c>
      <c r="G393" t="n">
        <v>9.6</v>
      </c>
      <c r="H393" t="n">
        <v>0</v>
      </c>
      <c r="I393" t="n">
        <v>0</v>
      </c>
      <c r="J393" t="n">
        <v>0</v>
      </c>
      <c r="K393" t="n">
        <v>0</v>
      </c>
      <c r="L393" t="n">
        <v>0</v>
      </c>
      <c r="M393" t="n">
        <v>0</v>
      </c>
      <c r="N393" t="n">
        <v>0</v>
      </c>
      <c r="O393" t="n">
        <v>0</v>
      </c>
      <c r="P393" t="n">
        <v>0</v>
      </c>
      <c r="Q393" t="n">
        <v>0</v>
      </c>
      <c r="R393" s="2" t="inlineStr"/>
    </row>
    <row r="394" ht="15" customHeight="1">
      <c r="A394" t="inlineStr">
        <is>
          <t>A 31792-2021</t>
        </is>
      </c>
      <c r="B394" s="1" t="n">
        <v>44369</v>
      </c>
      <c r="C394" s="1" t="n">
        <v>46163</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11169-2026</t>
        </is>
      </c>
      <c r="B395" s="1" t="n">
        <v>46080.37020833333</v>
      </c>
      <c r="C395" s="1" t="n">
        <v>46163</v>
      </c>
      <c r="D395" t="inlineStr">
        <is>
          <t>ÖSTERGÖTLANDS LÄN</t>
        </is>
      </c>
      <c r="E395" t="inlineStr">
        <is>
          <t>LINKÖPING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11033-2026</t>
        </is>
      </c>
      <c r="B396" s="1" t="n">
        <v>46079.57361111111</v>
      </c>
      <c r="C396" s="1" t="n">
        <v>46163</v>
      </c>
      <c r="D396" t="inlineStr">
        <is>
          <t>ÖSTERGÖTLANDS LÄN</t>
        </is>
      </c>
      <c r="E396" t="inlineStr">
        <is>
          <t>LINKÖPING</t>
        </is>
      </c>
      <c r="G396" t="n">
        <v>7.9</v>
      </c>
      <c r="H396" t="n">
        <v>0</v>
      </c>
      <c r="I396" t="n">
        <v>0</v>
      </c>
      <c r="J396" t="n">
        <v>0</v>
      </c>
      <c r="K396" t="n">
        <v>0</v>
      </c>
      <c r="L396" t="n">
        <v>0</v>
      </c>
      <c r="M396" t="n">
        <v>0</v>
      </c>
      <c r="N396" t="n">
        <v>0</v>
      </c>
      <c r="O396" t="n">
        <v>0</v>
      </c>
      <c r="P396" t="n">
        <v>0</v>
      </c>
      <c r="Q396" t="n">
        <v>0</v>
      </c>
      <c r="R396" s="2" t="inlineStr"/>
    </row>
    <row r="397" ht="15" customHeight="1">
      <c r="A397" t="inlineStr">
        <is>
          <t>A 11036-2026</t>
        </is>
      </c>
      <c r="B397" s="1" t="n">
        <v>46079.57836805555</v>
      </c>
      <c r="C397" s="1" t="n">
        <v>46163</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421-2024</t>
        </is>
      </c>
      <c r="B398" s="1" t="n">
        <v>45296.51877314815</v>
      </c>
      <c r="C398" s="1" t="n">
        <v>46163</v>
      </c>
      <c r="D398" t="inlineStr">
        <is>
          <t>ÖSTERGÖTLANDS LÄN</t>
        </is>
      </c>
      <c r="E398" t="inlineStr">
        <is>
          <t>LINKÖPING</t>
        </is>
      </c>
      <c r="G398" t="n">
        <v>3.7</v>
      </c>
      <c r="H398" t="n">
        <v>0</v>
      </c>
      <c r="I398" t="n">
        <v>0</v>
      </c>
      <c r="J398" t="n">
        <v>0</v>
      </c>
      <c r="K398" t="n">
        <v>0</v>
      </c>
      <c r="L398" t="n">
        <v>0</v>
      </c>
      <c r="M398" t="n">
        <v>0</v>
      </c>
      <c r="N398" t="n">
        <v>0</v>
      </c>
      <c r="O398" t="n">
        <v>0</v>
      </c>
      <c r="P398" t="n">
        <v>0</v>
      </c>
      <c r="Q398" t="n">
        <v>0</v>
      </c>
      <c r="R398" s="2" t="inlineStr"/>
    </row>
    <row r="399" ht="15" customHeight="1">
      <c r="A399" t="inlineStr">
        <is>
          <t>A 46847-2025</t>
        </is>
      </c>
      <c r="B399" s="1" t="n">
        <v>45928.69971064815</v>
      </c>
      <c r="C399" s="1" t="n">
        <v>46163</v>
      </c>
      <c r="D399" t="inlineStr">
        <is>
          <t>ÖSTERGÖTLANDS LÄN</t>
        </is>
      </c>
      <c r="E399" t="inlineStr">
        <is>
          <t>LINKÖPING</t>
        </is>
      </c>
      <c r="G399" t="n">
        <v>4.6</v>
      </c>
      <c r="H399" t="n">
        <v>0</v>
      </c>
      <c r="I399" t="n">
        <v>0</v>
      </c>
      <c r="J399" t="n">
        <v>0</v>
      </c>
      <c r="K399" t="n">
        <v>0</v>
      </c>
      <c r="L399" t="n">
        <v>0</v>
      </c>
      <c r="M399" t="n">
        <v>0</v>
      </c>
      <c r="N399" t="n">
        <v>0</v>
      </c>
      <c r="O399" t="n">
        <v>0</v>
      </c>
      <c r="P399" t="n">
        <v>0</v>
      </c>
      <c r="Q399" t="n">
        <v>0</v>
      </c>
      <c r="R399" s="2" t="inlineStr"/>
    </row>
    <row r="400" ht="15" customHeight="1">
      <c r="A400" t="inlineStr">
        <is>
          <t>A 22043-2023</t>
        </is>
      </c>
      <c r="B400" s="1" t="n">
        <v>45069.39050925926</v>
      </c>
      <c r="C400" s="1" t="n">
        <v>46163</v>
      </c>
      <c r="D400" t="inlineStr">
        <is>
          <t>ÖSTERGÖTLANDS LÄN</t>
        </is>
      </c>
      <c r="E400" t="inlineStr">
        <is>
          <t>LINKÖPING</t>
        </is>
      </c>
      <c r="G400" t="n">
        <v>5.9</v>
      </c>
      <c r="H400" t="n">
        <v>0</v>
      </c>
      <c r="I400" t="n">
        <v>0</v>
      </c>
      <c r="J400" t="n">
        <v>0</v>
      </c>
      <c r="K400" t="n">
        <v>0</v>
      </c>
      <c r="L400" t="n">
        <v>0</v>
      </c>
      <c r="M400" t="n">
        <v>0</v>
      </c>
      <c r="N400" t="n">
        <v>0</v>
      </c>
      <c r="O400" t="n">
        <v>0</v>
      </c>
      <c r="P400" t="n">
        <v>0</v>
      </c>
      <c r="Q400" t="n">
        <v>0</v>
      </c>
      <c r="R400" s="2" t="inlineStr"/>
    </row>
    <row r="401" ht="15" customHeight="1">
      <c r="A401" t="inlineStr">
        <is>
          <t>A 47233-2025</t>
        </is>
      </c>
      <c r="B401" s="1" t="n">
        <v>45930.40612268518</v>
      </c>
      <c r="C401" s="1" t="n">
        <v>46163</v>
      </c>
      <c r="D401" t="inlineStr">
        <is>
          <t>ÖSTERGÖTLANDS LÄN</t>
        </is>
      </c>
      <c r="E401" t="inlineStr">
        <is>
          <t>LINKÖPING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47606-2025</t>
        </is>
      </c>
      <c r="B402" s="1" t="n">
        <v>45931.46402777778</v>
      </c>
      <c r="C402" s="1" t="n">
        <v>46163</v>
      </c>
      <c r="D402" t="inlineStr">
        <is>
          <t>ÖSTERGÖTLANDS LÄN</t>
        </is>
      </c>
      <c r="E402" t="inlineStr">
        <is>
          <t>LINKÖPING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61532-2021</t>
        </is>
      </c>
      <c r="B403" s="1" t="n">
        <v>44501</v>
      </c>
      <c r="C403" s="1" t="n">
        <v>46163</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14028-2024</t>
        </is>
      </c>
      <c r="B404" s="1" t="n">
        <v>45392</v>
      </c>
      <c r="C404" s="1" t="n">
        <v>46163</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40431-2024</t>
        </is>
      </c>
      <c r="B405" s="1" t="n">
        <v>45555.47070601852</v>
      </c>
      <c r="C405" s="1" t="n">
        <v>46163</v>
      </c>
      <c r="D405" t="inlineStr">
        <is>
          <t>ÖSTERGÖTLANDS LÄN</t>
        </is>
      </c>
      <c r="E405" t="inlineStr">
        <is>
          <t>LINKÖPING</t>
        </is>
      </c>
      <c r="F405" t="inlineStr">
        <is>
          <t>Allmännings- och besparingsskogar</t>
        </is>
      </c>
      <c r="G405" t="n">
        <v>2.9</v>
      </c>
      <c r="H405" t="n">
        <v>0</v>
      </c>
      <c r="I405" t="n">
        <v>0</v>
      </c>
      <c r="J405" t="n">
        <v>0</v>
      </c>
      <c r="K405" t="n">
        <v>0</v>
      </c>
      <c r="L405" t="n">
        <v>0</v>
      </c>
      <c r="M405" t="n">
        <v>0</v>
      </c>
      <c r="N405" t="n">
        <v>0</v>
      </c>
      <c r="O405" t="n">
        <v>0</v>
      </c>
      <c r="P405" t="n">
        <v>0</v>
      </c>
      <c r="Q405" t="n">
        <v>0</v>
      </c>
      <c r="R405" s="2" t="inlineStr"/>
    </row>
    <row r="406" ht="15" customHeight="1">
      <c r="A406" t="inlineStr">
        <is>
          <t>A 11057-2026</t>
        </is>
      </c>
      <c r="B406" s="1" t="n">
        <v>46079.59515046296</v>
      </c>
      <c r="C406" s="1" t="n">
        <v>46163</v>
      </c>
      <c r="D406" t="inlineStr">
        <is>
          <t>ÖSTERGÖTLANDS LÄN</t>
        </is>
      </c>
      <c r="E406" t="inlineStr">
        <is>
          <t>LINKÖPING</t>
        </is>
      </c>
      <c r="G406" t="n">
        <v>2.9</v>
      </c>
      <c r="H406" t="n">
        <v>0</v>
      </c>
      <c r="I406" t="n">
        <v>0</v>
      </c>
      <c r="J406" t="n">
        <v>0</v>
      </c>
      <c r="K406" t="n">
        <v>0</v>
      </c>
      <c r="L406" t="n">
        <v>0</v>
      </c>
      <c r="M406" t="n">
        <v>0</v>
      </c>
      <c r="N406" t="n">
        <v>0</v>
      </c>
      <c r="O406" t="n">
        <v>0</v>
      </c>
      <c r="P406" t="n">
        <v>0</v>
      </c>
      <c r="Q406" t="n">
        <v>0</v>
      </c>
      <c r="R406" s="2" t="inlineStr"/>
    </row>
    <row r="407" ht="15" customHeight="1">
      <c r="A407" t="inlineStr">
        <is>
          <t>A 47304-2025</t>
        </is>
      </c>
      <c r="B407" s="1" t="n">
        <v>45930.52037037037</v>
      </c>
      <c r="C407" s="1" t="n">
        <v>46163</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60860-2024</t>
        </is>
      </c>
      <c r="B408" s="1" t="n">
        <v>45644.6893287037</v>
      </c>
      <c r="C408" s="1" t="n">
        <v>46163</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18183-2026</t>
        </is>
      </c>
      <c r="B409" s="1" t="n">
        <v>46125</v>
      </c>
      <c r="C409" s="1" t="n">
        <v>46163</v>
      </c>
      <c r="D409" t="inlineStr">
        <is>
          <t>ÖSTERGÖTLANDS LÄN</t>
        </is>
      </c>
      <c r="E409" t="inlineStr">
        <is>
          <t>LINKÖPING</t>
        </is>
      </c>
      <c r="G409" t="n">
        <v>3.6</v>
      </c>
      <c r="H409" t="n">
        <v>0</v>
      </c>
      <c r="I409" t="n">
        <v>0</v>
      </c>
      <c r="J409" t="n">
        <v>0</v>
      </c>
      <c r="K409" t="n">
        <v>0</v>
      </c>
      <c r="L409" t="n">
        <v>0</v>
      </c>
      <c r="M409" t="n">
        <v>0</v>
      </c>
      <c r="N409" t="n">
        <v>0</v>
      </c>
      <c r="O409" t="n">
        <v>0</v>
      </c>
      <c r="P409" t="n">
        <v>0</v>
      </c>
      <c r="Q409" t="n">
        <v>0</v>
      </c>
      <c r="R409" s="2" t="inlineStr"/>
    </row>
    <row r="410" ht="15" customHeight="1">
      <c r="A410" t="inlineStr">
        <is>
          <t>A 2697-2023</t>
        </is>
      </c>
      <c r="B410" s="1" t="n">
        <v>44944</v>
      </c>
      <c r="C410" s="1" t="n">
        <v>46163</v>
      </c>
      <c r="D410" t="inlineStr">
        <is>
          <t>ÖSTERGÖTLANDS LÄN</t>
        </is>
      </c>
      <c r="E410" t="inlineStr">
        <is>
          <t>LINKÖPING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45806-2024</t>
        </is>
      </c>
      <c r="B411" s="1" t="n">
        <v>45579.69619212963</v>
      </c>
      <c r="C411" s="1" t="n">
        <v>46163</v>
      </c>
      <c r="D411" t="inlineStr">
        <is>
          <t>ÖSTERGÖTLANDS LÄN</t>
        </is>
      </c>
      <c r="E411" t="inlineStr">
        <is>
          <t>LINKÖPING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56756-2023</t>
        </is>
      </c>
      <c r="B412" s="1" t="n">
        <v>45244</v>
      </c>
      <c r="C412" s="1" t="n">
        <v>46163</v>
      </c>
      <c r="D412" t="inlineStr">
        <is>
          <t>ÖSTERGÖTLANDS LÄN</t>
        </is>
      </c>
      <c r="E412" t="inlineStr">
        <is>
          <t>LINKÖPING</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48343-2025</t>
        </is>
      </c>
      <c r="B413" s="1" t="n">
        <v>45932</v>
      </c>
      <c r="C413" s="1" t="n">
        <v>46163</v>
      </c>
      <c r="D413" t="inlineStr">
        <is>
          <t>ÖSTERGÖTLANDS LÄN</t>
        </is>
      </c>
      <c r="E413" t="inlineStr">
        <is>
          <t>LINKÖPING</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48266-2025</t>
        </is>
      </c>
      <c r="B414" s="1" t="n">
        <v>45932</v>
      </c>
      <c r="C414" s="1" t="n">
        <v>46163</v>
      </c>
      <c r="D414" t="inlineStr">
        <is>
          <t>ÖSTERGÖTLANDS LÄN</t>
        </is>
      </c>
      <c r="E414" t="inlineStr">
        <is>
          <t>LINKÖPING</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11891-2026</t>
        </is>
      </c>
      <c r="B415" s="1" t="n">
        <v>46085.5197800926</v>
      </c>
      <c r="C415" s="1" t="n">
        <v>46163</v>
      </c>
      <c r="D415" t="inlineStr">
        <is>
          <t>ÖSTERGÖTLANDS LÄN</t>
        </is>
      </c>
      <c r="E415" t="inlineStr">
        <is>
          <t>LINKÖPING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60985-2023</t>
        </is>
      </c>
      <c r="B416" s="1" t="n">
        <v>45261.48429398148</v>
      </c>
      <c r="C416" s="1" t="n">
        <v>46163</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48254-2025</t>
        </is>
      </c>
      <c r="B417" s="1" t="n">
        <v>45932</v>
      </c>
      <c r="C417" s="1" t="n">
        <v>46163</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24904-2024</t>
        </is>
      </c>
      <c r="B418" s="1" t="n">
        <v>45461</v>
      </c>
      <c r="C418" s="1" t="n">
        <v>46163</v>
      </c>
      <c r="D418" t="inlineStr">
        <is>
          <t>ÖSTERGÖTLANDS LÄN</t>
        </is>
      </c>
      <c r="E418" t="inlineStr">
        <is>
          <t>LINKÖPING</t>
        </is>
      </c>
      <c r="G418" t="n">
        <v>3.8</v>
      </c>
      <c r="H418" t="n">
        <v>0</v>
      </c>
      <c r="I418" t="n">
        <v>0</v>
      </c>
      <c r="J418" t="n">
        <v>0</v>
      </c>
      <c r="K418" t="n">
        <v>0</v>
      </c>
      <c r="L418" t="n">
        <v>0</v>
      </c>
      <c r="M418" t="n">
        <v>0</v>
      </c>
      <c r="N418" t="n">
        <v>0</v>
      </c>
      <c r="O418" t="n">
        <v>0</v>
      </c>
      <c r="P418" t="n">
        <v>0</v>
      </c>
      <c r="Q418" t="n">
        <v>0</v>
      </c>
      <c r="R418" s="2" t="inlineStr"/>
    </row>
    <row r="419" ht="15" customHeight="1">
      <c r="A419" t="inlineStr">
        <is>
          <t>A 55009-2023</t>
        </is>
      </c>
      <c r="B419" s="1" t="n">
        <v>45237</v>
      </c>
      <c r="C419" s="1" t="n">
        <v>46163</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34872-2023</t>
        </is>
      </c>
      <c r="B420" s="1" t="n">
        <v>45140</v>
      </c>
      <c r="C420" s="1" t="n">
        <v>46163</v>
      </c>
      <c r="D420" t="inlineStr">
        <is>
          <t>ÖSTERGÖTLANDS LÄN</t>
        </is>
      </c>
      <c r="E420" t="inlineStr">
        <is>
          <t>LINKÖPING</t>
        </is>
      </c>
      <c r="G420" t="n">
        <v>4.8</v>
      </c>
      <c r="H420" t="n">
        <v>0</v>
      </c>
      <c r="I420" t="n">
        <v>0</v>
      </c>
      <c r="J420" t="n">
        <v>0</v>
      </c>
      <c r="K420" t="n">
        <v>0</v>
      </c>
      <c r="L420" t="n">
        <v>0</v>
      </c>
      <c r="M420" t="n">
        <v>0</v>
      </c>
      <c r="N420" t="n">
        <v>0</v>
      </c>
      <c r="O420" t="n">
        <v>0</v>
      </c>
      <c r="P420" t="n">
        <v>0</v>
      </c>
      <c r="Q420" t="n">
        <v>0</v>
      </c>
      <c r="R420" s="2" t="inlineStr"/>
    </row>
    <row r="421" ht="15" customHeight="1">
      <c r="A421" t="inlineStr">
        <is>
          <t>A 11888-2026</t>
        </is>
      </c>
      <c r="B421" s="1" t="n">
        <v>46085.51813657407</v>
      </c>
      <c r="C421" s="1" t="n">
        <v>46163</v>
      </c>
      <c r="D421" t="inlineStr">
        <is>
          <t>ÖSTERGÖTLANDS LÄN</t>
        </is>
      </c>
      <c r="E421" t="inlineStr">
        <is>
          <t>LINKÖPING</t>
        </is>
      </c>
      <c r="G421" t="n">
        <v>3.6</v>
      </c>
      <c r="H421" t="n">
        <v>0</v>
      </c>
      <c r="I421" t="n">
        <v>0</v>
      </c>
      <c r="J421" t="n">
        <v>0</v>
      </c>
      <c r="K421" t="n">
        <v>0</v>
      </c>
      <c r="L421" t="n">
        <v>0</v>
      </c>
      <c r="M421" t="n">
        <v>0</v>
      </c>
      <c r="N421" t="n">
        <v>0</v>
      </c>
      <c r="O421" t="n">
        <v>0</v>
      </c>
      <c r="P421" t="n">
        <v>0</v>
      </c>
      <c r="Q421" t="n">
        <v>0</v>
      </c>
      <c r="R421" s="2" t="inlineStr"/>
    </row>
    <row r="422" ht="15" customHeight="1">
      <c r="A422" t="inlineStr">
        <is>
          <t>A 12251-2026</t>
        </is>
      </c>
      <c r="B422" s="1" t="n">
        <v>46087.45278935185</v>
      </c>
      <c r="C422" s="1" t="n">
        <v>46163</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36336-2022</t>
        </is>
      </c>
      <c r="B423" s="1" t="n">
        <v>44803</v>
      </c>
      <c r="C423" s="1" t="n">
        <v>46163</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25097-2023</t>
        </is>
      </c>
      <c r="B424" s="1" t="n">
        <v>45086</v>
      </c>
      <c r="C424" s="1" t="n">
        <v>46163</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12254-2026</t>
        </is>
      </c>
      <c r="B425" s="1" t="n">
        <v>46087.46196759259</v>
      </c>
      <c r="C425" s="1" t="n">
        <v>46163</v>
      </c>
      <c r="D425" t="inlineStr">
        <is>
          <t>ÖSTERGÖTLANDS LÄN</t>
        </is>
      </c>
      <c r="E425" t="inlineStr">
        <is>
          <t>LINKÖPING</t>
        </is>
      </c>
      <c r="G425" t="n">
        <v>10.4</v>
      </c>
      <c r="H425" t="n">
        <v>0</v>
      </c>
      <c r="I425" t="n">
        <v>0</v>
      </c>
      <c r="J425" t="n">
        <v>0</v>
      </c>
      <c r="K425" t="n">
        <v>0</v>
      </c>
      <c r="L425" t="n">
        <v>0</v>
      </c>
      <c r="M425" t="n">
        <v>0</v>
      </c>
      <c r="N425" t="n">
        <v>0</v>
      </c>
      <c r="O425" t="n">
        <v>0</v>
      </c>
      <c r="P425" t="n">
        <v>0</v>
      </c>
      <c r="Q425" t="n">
        <v>0</v>
      </c>
      <c r="R425" s="2" t="inlineStr"/>
    </row>
    <row r="426" ht="15" customHeight="1">
      <c r="A426" t="inlineStr">
        <is>
          <t>A 49455-2025</t>
        </is>
      </c>
      <c r="B426" s="1" t="n">
        <v>45938</v>
      </c>
      <c r="C426" s="1" t="n">
        <v>46163</v>
      </c>
      <c r="D426" t="inlineStr">
        <is>
          <t>ÖSTERGÖTLANDS LÄN</t>
        </is>
      </c>
      <c r="E426" t="inlineStr">
        <is>
          <t>LINKÖPING</t>
        </is>
      </c>
      <c r="F426" t="inlineStr">
        <is>
          <t>Övriga Aktiebolag</t>
        </is>
      </c>
      <c r="G426" t="n">
        <v>5.9</v>
      </c>
      <c r="H426" t="n">
        <v>0</v>
      </c>
      <c r="I426" t="n">
        <v>0</v>
      </c>
      <c r="J426" t="n">
        <v>0</v>
      </c>
      <c r="K426" t="n">
        <v>0</v>
      </c>
      <c r="L426" t="n">
        <v>0</v>
      </c>
      <c r="M426" t="n">
        <v>0</v>
      </c>
      <c r="N426" t="n">
        <v>0</v>
      </c>
      <c r="O426" t="n">
        <v>0</v>
      </c>
      <c r="P426" t="n">
        <v>0</v>
      </c>
      <c r="Q426" t="n">
        <v>0</v>
      </c>
      <c r="R426" s="2" t="inlineStr"/>
    </row>
    <row r="427" ht="15" customHeight="1">
      <c r="A427" t="inlineStr">
        <is>
          <t>A 10461-2023</t>
        </is>
      </c>
      <c r="B427" s="1" t="n">
        <v>44987.5969212963</v>
      </c>
      <c r="C427" s="1" t="n">
        <v>46163</v>
      </c>
      <c r="D427" t="inlineStr">
        <is>
          <t>ÖSTERGÖTLANDS LÄN</t>
        </is>
      </c>
      <c r="E427" t="inlineStr">
        <is>
          <t>LINKÖPING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12482-2026</t>
        </is>
      </c>
      <c r="B428" s="1" t="n">
        <v>46090.56292824074</v>
      </c>
      <c r="C428" s="1" t="n">
        <v>46163</v>
      </c>
      <c r="D428" t="inlineStr">
        <is>
          <t>ÖSTERGÖTLANDS LÄN</t>
        </is>
      </c>
      <c r="E428" t="inlineStr">
        <is>
          <t>LINKÖPING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12486-2026</t>
        </is>
      </c>
      <c r="B429" s="1" t="n">
        <v>46090.56501157407</v>
      </c>
      <c r="C429" s="1" t="n">
        <v>46163</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49605-2025</t>
        </is>
      </c>
      <c r="B430" s="1" t="n">
        <v>45938</v>
      </c>
      <c r="C430" s="1" t="n">
        <v>46163</v>
      </c>
      <c r="D430" t="inlineStr">
        <is>
          <t>ÖSTERGÖTLANDS LÄN</t>
        </is>
      </c>
      <c r="E430" t="inlineStr">
        <is>
          <t>LINKÖPING</t>
        </is>
      </c>
      <c r="F430" t="inlineStr">
        <is>
          <t>Övriga Aktiebolag</t>
        </is>
      </c>
      <c r="G430" t="n">
        <v>3.3</v>
      </c>
      <c r="H430" t="n">
        <v>0</v>
      </c>
      <c r="I430" t="n">
        <v>0</v>
      </c>
      <c r="J430" t="n">
        <v>0</v>
      </c>
      <c r="K430" t="n">
        <v>0</v>
      </c>
      <c r="L430" t="n">
        <v>0</v>
      </c>
      <c r="M430" t="n">
        <v>0</v>
      </c>
      <c r="N430" t="n">
        <v>0</v>
      </c>
      <c r="O430" t="n">
        <v>0</v>
      </c>
      <c r="P430" t="n">
        <v>0</v>
      </c>
      <c r="Q430" t="n">
        <v>0</v>
      </c>
      <c r="R430" s="2" t="inlineStr"/>
    </row>
    <row r="431" ht="15" customHeight="1">
      <c r="A431" t="inlineStr">
        <is>
          <t>A 49663-2025</t>
        </is>
      </c>
      <c r="B431" s="1" t="n">
        <v>45938</v>
      </c>
      <c r="C431" s="1" t="n">
        <v>46163</v>
      </c>
      <c r="D431" t="inlineStr">
        <is>
          <t>ÖSTERGÖTLANDS LÄN</t>
        </is>
      </c>
      <c r="E431" t="inlineStr">
        <is>
          <t>LINKÖPING</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50386-2021</t>
        </is>
      </c>
      <c r="B432" s="1" t="n">
        <v>44459</v>
      </c>
      <c r="C432" s="1" t="n">
        <v>46163</v>
      </c>
      <c r="D432" t="inlineStr">
        <is>
          <t>ÖSTERGÖTLANDS LÄN</t>
        </is>
      </c>
      <c r="E432" t="inlineStr">
        <is>
          <t>LINKÖPING</t>
        </is>
      </c>
      <c r="G432" t="n">
        <v>2.3</v>
      </c>
      <c r="H432" t="n">
        <v>0</v>
      </c>
      <c r="I432" t="n">
        <v>0</v>
      </c>
      <c r="J432" t="n">
        <v>0</v>
      </c>
      <c r="K432" t="n">
        <v>0</v>
      </c>
      <c r="L432" t="n">
        <v>0</v>
      </c>
      <c r="M432" t="n">
        <v>0</v>
      </c>
      <c r="N432" t="n">
        <v>0</v>
      </c>
      <c r="O432" t="n">
        <v>0</v>
      </c>
      <c r="P432" t="n">
        <v>0</v>
      </c>
      <c r="Q432" t="n">
        <v>0</v>
      </c>
      <c r="R432" s="2" t="inlineStr"/>
    </row>
    <row r="433" ht="15" customHeight="1">
      <c r="A433" t="inlineStr">
        <is>
          <t>A 49632-2025</t>
        </is>
      </c>
      <c r="B433" s="1" t="n">
        <v>45938</v>
      </c>
      <c r="C433" s="1" t="n">
        <v>46163</v>
      </c>
      <c r="D433" t="inlineStr">
        <is>
          <t>ÖSTERGÖTLANDS LÄN</t>
        </is>
      </c>
      <c r="E433" t="inlineStr">
        <is>
          <t>LINKÖPING</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49647-2025</t>
        </is>
      </c>
      <c r="B434" s="1" t="n">
        <v>45938</v>
      </c>
      <c r="C434" s="1" t="n">
        <v>46163</v>
      </c>
      <c r="D434" t="inlineStr">
        <is>
          <t>ÖSTERGÖTLANDS LÄN</t>
        </is>
      </c>
      <c r="E434" t="inlineStr">
        <is>
          <t>LINKÖPING</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49652-2025</t>
        </is>
      </c>
      <c r="B435" s="1" t="n">
        <v>45938</v>
      </c>
      <c r="C435" s="1" t="n">
        <v>46163</v>
      </c>
      <c r="D435" t="inlineStr">
        <is>
          <t>ÖSTERGÖTLANDS LÄN</t>
        </is>
      </c>
      <c r="E435" t="inlineStr">
        <is>
          <t>LINKÖPING</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49654-2025</t>
        </is>
      </c>
      <c r="B436" s="1" t="n">
        <v>45938</v>
      </c>
      <c r="C436" s="1" t="n">
        <v>46163</v>
      </c>
      <c r="D436" t="inlineStr">
        <is>
          <t>ÖSTERGÖTLANDS LÄN</t>
        </is>
      </c>
      <c r="E436" t="inlineStr">
        <is>
          <t>LINKÖPING</t>
        </is>
      </c>
      <c r="F436" t="inlineStr">
        <is>
          <t>Övriga Aktiebolag</t>
        </is>
      </c>
      <c r="G436" t="n">
        <v>3.1</v>
      </c>
      <c r="H436" t="n">
        <v>0</v>
      </c>
      <c r="I436" t="n">
        <v>0</v>
      </c>
      <c r="J436" t="n">
        <v>0</v>
      </c>
      <c r="K436" t="n">
        <v>0</v>
      </c>
      <c r="L436" t="n">
        <v>0</v>
      </c>
      <c r="M436" t="n">
        <v>0</v>
      </c>
      <c r="N436" t="n">
        <v>0</v>
      </c>
      <c r="O436" t="n">
        <v>0</v>
      </c>
      <c r="P436" t="n">
        <v>0</v>
      </c>
      <c r="Q436" t="n">
        <v>0</v>
      </c>
      <c r="R436" s="2" t="inlineStr"/>
    </row>
    <row r="437" ht="15" customHeight="1">
      <c r="A437" t="inlineStr">
        <is>
          <t>A 350-2022</t>
        </is>
      </c>
      <c r="B437" s="1" t="n">
        <v>44565</v>
      </c>
      <c r="C437" s="1" t="n">
        <v>46163</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49615-2025</t>
        </is>
      </c>
      <c r="B438" s="1" t="n">
        <v>45938</v>
      </c>
      <c r="C438" s="1" t="n">
        <v>46163</v>
      </c>
      <c r="D438" t="inlineStr">
        <is>
          <t>ÖSTERGÖTLANDS LÄN</t>
        </is>
      </c>
      <c r="E438" t="inlineStr">
        <is>
          <t>LINKÖPING</t>
        </is>
      </c>
      <c r="F438" t="inlineStr">
        <is>
          <t>Övriga Aktiebolag</t>
        </is>
      </c>
      <c r="G438" t="n">
        <v>1.6</v>
      </c>
      <c r="H438" t="n">
        <v>0</v>
      </c>
      <c r="I438" t="n">
        <v>0</v>
      </c>
      <c r="J438" t="n">
        <v>0</v>
      </c>
      <c r="K438" t="n">
        <v>0</v>
      </c>
      <c r="L438" t="n">
        <v>0</v>
      </c>
      <c r="M438" t="n">
        <v>0</v>
      </c>
      <c r="N438" t="n">
        <v>0</v>
      </c>
      <c r="O438" t="n">
        <v>0</v>
      </c>
      <c r="P438" t="n">
        <v>0</v>
      </c>
      <c r="Q438" t="n">
        <v>0</v>
      </c>
      <c r="R438" s="2" t="inlineStr"/>
    </row>
    <row r="439" ht="15" customHeight="1">
      <c r="A439" t="inlineStr">
        <is>
          <t>A 49619-2025</t>
        </is>
      </c>
      <c r="B439" s="1" t="n">
        <v>45938</v>
      </c>
      <c r="C439" s="1" t="n">
        <v>46163</v>
      </c>
      <c r="D439" t="inlineStr">
        <is>
          <t>ÖSTERGÖTLANDS LÄN</t>
        </is>
      </c>
      <c r="E439" t="inlineStr">
        <is>
          <t>LINKÖPING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49629-2025</t>
        </is>
      </c>
      <c r="B440" s="1" t="n">
        <v>45938</v>
      </c>
      <c r="C440" s="1" t="n">
        <v>46163</v>
      </c>
      <c r="D440" t="inlineStr">
        <is>
          <t>ÖSTERGÖTLANDS LÄN</t>
        </is>
      </c>
      <c r="E440" t="inlineStr">
        <is>
          <t>LINKÖPING</t>
        </is>
      </c>
      <c r="F440" t="inlineStr">
        <is>
          <t>Övriga Aktiebolag</t>
        </is>
      </c>
      <c r="G440" t="n">
        <v>4.5</v>
      </c>
      <c r="H440" t="n">
        <v>0</v>
      </c>
      <c r="I440" t="n">
        <v>0</v>
      </c>
      <c r="J440" t="n">
        <v>0</v>
      </c>
      <c r="K440" t="n">
        <v>0</v>
      </c>
      <c r="L440" t="n">
        <v>0</v>
      </c>
      <c r="M440" t="n">
        <v>0</v>
      </c>
      <c r="N440" t="n">
        <v>0</v>
      </c>
      <c r="O440" t="n">
        <v>0</v>
      </c>
      <c r="P440" t="n">
        <v>0</v>
      </c>
      <c r="Q440" t="n">
        <v>0</v>
      </c>
      <c r="R440" s="2" t="inlineStr"/>
    </row>
    <row r="441" ht="15" customHeight="1">
      <c r="A441" t="inlineStr">
        <is>
          <t>A 49650-2025</t>
        </is>
      </c>
      <c r="B441" s="1" t="n">
        <v>45938</v>
      </c>
      <c r="C441" s="1" t="n">
        <v>46163</v>
      </c>
      <c r="D441" t="inlineStr">
        <is>
          <t>ÖSTERGÖTLANDS LÄN</t>
        </is>
      </c>
      <c r="E441" t="inlineStr">
        <is>
          <t>LINKÖPING</t>
        </is>
      </c>
      <c r="F441" t="inlineStr">
        <is>
          <t>Övriga Aktiebolag</t>
        </is>
      </c>
      <c r="G441" t="n">
        <v>1.5</v>
      </c>
      <c r="H441" t="n">
        <v>0</v>
      </c>
      <c r="I441" t="n">
        <v>0</v>
      </c>
      <c r="J441" t="n">
        <v>0</v>
      </c>
      <c r="K441" t="n">
        <v>0</v>
      </c>
      <c r="L441" t="n">
        <v>0</v>
      </c>
      <c r="M441" t="n">
        <v>0</v>
      </c>
      <c r="N441" t="n">
        <v>0</v>
      </c>
      <c r="O441" t="n">
        <v>0</v>
      </c>
      <c r="P441" t="n">
        <v>0</v>
      </c>
      <c r="Q441" t="n">
        <v>0</v>
      </c>
      <c r="R441" s="2" t="inlineStr"/>
    </row>
    <row r="442" ht="15" customHeight="1">
      <c r="A442" t="inlineStr">
        <is>
          <t>A 49633-2025</t>
        </is>
      </c>
      <c r="B442" s="1" t="n">
        <v>45938</v>
      </c>
      <c r="C442" s="1" t="n">
        <v>46163</v>
      </c>
      <c r="D442" t="inlineStr">
        <is>
          <t>ÖSTERGÖTLANDS LÄN</t>
        </is>
      </c>
      <c r="E442" t="inlineStr">
        <is>
          <t>LINKÖPING</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18891-2022</t>
        </is>
      </c>
      <c r="B443" s="1" t="n">
        <v>44690</v>
      </c>
      <c r="C443" s="1" t="n">
        <v>46163</v>
      </c>
      <c r="D443" t="inlineStr">
        <is>
          <t>ÖSTERGÖTLANDS LÄN</t>
        </is>
      </c>
      <c r="E443" t="inlineStr">
        <is>
          <t>LINKÖPING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19523-2026</t>
        </is>
      </c>
      <c r="B444" s="1" t="n">
        <v>46134.35099537037</v>
      </c>
      <c r="C444" s="1" t="n">
        <v>46163</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40983-2025</t>
        </is>
      </c>
      <c r="B445" s="1" t="n">
        <v>45898</v>
      </c>
      <c r="C445" s="1" t="n">
        <v>46163</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50056-2025</t>
        </is>
      </c>
      <c r="B446" s="1" t="n">
        <v>45941</v>
      </c>
      <c r="C446" s="1" t="n">
        <v>46163</v>
      </c>
      <c r="D446" t="inlineStr">
        <is>
          <t>ÖSTERGÖTLANDS LÄN</t>
        </is>
      </c>
      <c r="E446" t="inlineStr">
        <is>
          <t>LINKÖPING</t>
        </is>
      </c>
      <c r="G446" t="n">
        <v>0.3</v>
      </c>
      <c r="H446" t="n">
        <v>0</v>
      </c>
      <c r="I446" t="n">
        <v>0</v>
      </c>
      <c r="J446" t="n">
        <v>0</v>
      </c>
      <c r="K446" t="n">
        <v>0</v>
      </c>
      <c r="L446" t="n">
        <v>0</v>
      </c>
      <c r="M446" t="n">
        <v>0</v>
      </c>
      <c r="N446" t="n">
        <v>0</v>
      </c>
      <c r="O446" t="n">
        <v>0</v>
      </c>
      <c r="P446" t="n">
        <v>0</v>
      </c>
      <c r="Q446" t="n">
        <v>0</v>
      </c>
      <c r="R446" s="2" t="inlineStr"/>
    </row>
    <row r="447" ht="15" customHeight="1">
      <c r="A447" t="inlineStr">
        <is>
          <t>A 30976-2022</t>
        </is>
      </c>
      <c r="B447" s="1" t="n">
        <v>44768</v>
      </c>
      <c r="C447" s="1" t="n">
        <v>46163</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50667-2025</t>
        </is>
      </c>
      <c r="B448" s="1" t="n">
        <v>45945</v>
      </c>
      <c r="C448" s="1" t="n">
        <v>46163</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55736-2022</t>
        </is>
      </c>
      <c r="B449" s="1" t="n">
        <v>44888</v>
      </c>
      <c r="C449" s="1" t="n">
        <v>46163</v>
      </c>
      <c r="D449" t="inlineStr">
        <is>
          <t>ÖSTERGÖTLANDS LÄN</t>
        </is>
      </c>
      <c r="E449" t="inlineStr">
        <is>
          <t>LINKÖPING</t>
        </is>
      </c>
      <c r="G449" t="n">
        <v>5.5</v>
      </c>
      <c r="H449" t="n">
        <v>0</v>
      </c>
      <c r="I449" t="n">
        <v>0</v>
      </c>
      <c r="J449" t="n">
        <v>0</v>
      </c>
      <c r="K449" t="n">
        <v>0</v>
      </c>
      <c r="L449" t="n">
        <v>0</v>
      </c>
      <c r="M449" t="n">
        <v>0</v>
      </c>
      <c r="N449" t="n">
        <v>0</v>
      </c>
      <c r="O449" t="n">
        <v>0</v>
      </c>
      <c r="P449" t="n">
        <v>0</v>
      </c>
      <c r="Q449" t="n">
        <v>0</v>
      </c>
      <c r="R449" s="2" t="inlineStr"/>
    </row>
    <row r="450" ht="15" customHeight="1">
      <c r="A450" t="inlineStr">
        <is>
          <t>A 10194-2023</t>
        </is>
      </c>
      <c r="B450" s="1" t="n">
        <v>44986.52277777778</v>
      </c>
      <c r="C450" s="1" t="n">
        <v>46163</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7702-2023</t>
        </is>
      </c>
      <c r="B451" s="1" t="n">
        <v>44967</v>
      </c>
      <c r="C451" s="1" t="n">
        <v>46163</v>
      </c>
      <c r="D451" t="inlineStr">
        <is>
          <t>ÖSTERGÖTLANDS LÄN</t>
        </is>
      </c>
      <c r="E451" t="inlineStr">
        <is>
          <t>LINKÖPING</t>
        </is>
      </c>
      <c r="F451" t="inlineStr">
        <is>
          <t>Övriga statliga verk och myndigheter</t>
        </is>
      </c>
      <c r="G451" t="n">
        <v>8</v>
      </c>
      <c r="H451" t="n">
        <v>0</v>
      </c>
      <c r="I451" t="n">
        <v>0</v>
      </c>
      <c r="J451" t="n">
        <v>0</v>
      </c>
      <c r="K451" t="n">
        <v>0</v>
      </c>
      <c r="L451" t="n">
        <v>0</v>
      </c>
      <c r="M451" t="n">
        <v>0</v>
      </c>
      <c r="N451" t="n">
        <v>0</v>
      </c>
      <c r="O451" t="n">
        <v>0</v>
      </c>
      <c r="P451" t="n">
        <v>0</v>
      </c>
      <c r="Q451" t="n">
        <v>0</v>
      </c>
      <c r="R451" s="2" t="inlineStr"/>
    </row>
    <row r="452" ht="15" customHeight="1">
      <c r="A452" t="inlineStr">
        <is>
          <t>A 51802-2025</t>
        </is>
      </c>
      <c r="B452" s="1" t="n">
        <v>45950</v>
      </c>
      <c r="C452" s="1" t="n">
        <v>46163</v>
      </c>
      <c r="D452" t="inlineStr">
        <is>
          <t>ÖSTERGÖTLANDS LÄN</t>
        </is>
      </c>
      <c r="E452" t="inlineStr">
        <is>
          <t>LINKÖPING</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42000-2023</t>
        </is>
      </c>
      <c r="B453" s="1" t="n">
        <v>45177</v>
      </c>
      <c r="C453" s="1" t="n">
        <v>46163</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31534-2023</t>
        </is>
      </c>
      <c r="B454" s="1" t="n">
        <v>45116</v>
      </c>
      <c r="C454" s="1" t="n">
        <v>46163</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35427-2023</t>
        </is>
      </c>
      <c r="B455" s="1" t="n">
        <v>45146</v>
      </c>
      <c r="C455" s="1" t="n">
        <v>46163</v>
      </c>
      <c r="D455" t="inlineStr">
        <is>
          <t>ÖSTERGÖTLANDS LÄN</t>
        </is>
      </c>
      <c r="E455" t="inlineStr">
        <is>
          <t>LINKÖPING</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52111-2025</t>
        </is>
      </c>
      <c r="B456" s="1" t="n">
        <v>45952.69527777778</v>
      </c>
      <c r="C456" s="1" t="n">
        <v>46163</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36725-2023</t>
        </is>
      </c>
      <c r="B457" s="1" t="n">
        <v>45153.68471064815</v>
      </c>
      <c r="C457" s="1" t="n">
        <v>46163</v>
      </c>
      <c r="D457" t="inlineStr">
        <is>
          <t>ÖSTERGÖTLANDS LÄN</t>
        </is>
      </c>
      <c r="E457" t="inlineStr">
        <is>
          <t>LINKÖPING</t>
        </is>
      </c>
      <c r="F457" t="inlineStr">
        <is>
          <t>Allmännings- och besparingsskogar</t>
        </is>
      </c>
      <c r="G457" t="n">
        <v>2.6</v>
      </c>
      <c r="H457" t="n">
        <v>0</v>
      </c>
      <c r="I457" t="n">
        <v>0</v>
      </c>
      <c r="J457" t="n">
        <v>0</v>
      </c>
      <c r="K457" t="n">
        <v>0</v>
      </c>
      <c r="L457" t="n">
        <v>0</v>
      </c>
      <c r="M457" t="n">
        <v>0</v>
      </c>
      <c r="N457" t="n">
        <v>0</v>
      </c>
      <c r="O457" t="n">
        <v>0</v>
      </c>
      <c r="P457" t="n">
        <v>0</v>
      </c>
      <c r="Q457" t="n">
        <v>0</v>
      </c>
      <c r="R457" s="2" t="inlineStr"/>
    </row>
    <row r="458" ht="15" customHeight="1">
      <c r="A458" t="inlineStr">
        <is>
          <t>A 53639-2023</t>
        </is>
      </c>
      <c r="B458" s="1" t="n">
        <v>45230.59686342593</v>
      </c>
      <c r="C458" s="1" t="n">
        <v>46163</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1657-2024</t>
        </is>
      </c>
      <c r="B459" s="1" t="n">
        <v>45306.82501157407</v>
      </c>
      <c r="C459" s="1" t="n">
        <v>46163</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52740-2025</t>
        </is>
      </c>
      <c r="B460" s="1" t="n">
        <v>45957.37747685185</v>
      </c>
      <c r="C460" s="1" t="n">
        <v>46163</v>
      </c>
      <c r="D460" t="inlineStr">
        <is>
          <t>ÖSTERGÖTLANDS LÄN</t>
        </is>
      </c>
      <c r="E460" t="inlineStr">
        <is>
          <t>LINKÖPING</t>
        </is>
      </c>
      <c r="G460" t="n">
        <v>3.7</v>
      </c>
      <c r="H460" t="n">
        <v>0</v>
      </c>
      <c r="I460" t="n">
        <v>0</v>
      </c>
      <c r="J460" t="n">
        <v>0</v>
      </c>
      <c r="K460" t="n">
        <v>0</v>
      </c>
      <c r="L460" t="n">
        <v>0</v>
      </c>
      <c r="M460" t="n">
        <v>0</v>
      </c>
      <c r="N460" t="n">
        <v>0</v>
      </c>
      <c r="O460" t="n">
        <v>0</v>
      </c>
      <c r="P460" t="n">
        <v>0</v>
      </c>
      <c r="Q460" t="n">
        <v>0</v>
      </c>
      <c r="R460" s="2" t="inlineStr"/>
    </row>
    <row r="461" ht="15" customHeight="1">
      <c r="A461" t="inlineStr">
        <is>
          <t>A 50784-2022</t>
        </is>
      </c>
      <c r="B461" s="1" t="n">
        <v>44862</v>
      </c>
      <c r="C461" s="1" t="n">
        <v>46163</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26803-2024</t>
        </is>
      </c>
      <c r="B462" s="1" t="n">
        <v>45470</v>
      </c>
      <c r="C462" s="1" t="n">
        <v>46163</v>
      </c>
      <c r="D462" t="inlineStr">
        <is>
          <t>ÖSTERGÖTLANDS LÄN</t>
        </is>
      </c>
      <c r="E462" t="inlineStr">
        <is>
          <t>LINKÖPING</t>
        </is>
      </c>
      <c r="F462" t="inlineStr">
        <is>
          <t>Allmännings- och besparingsskogar</t>
        </is>
      </c>
      <c r="G462" t="n">
        <v>4.5</v>
      </c>
      <c r="H462" t="n">
        <v>0</v>
      </c>
      <c r="I462" t="n">
        <v>0</v>
      </c>
      <c r="J462" t="n">
        <v>0</v>
      </c>
      <c r="K462" t="n">
        <v>0</v>
      </c>
      <c r="L462" t="n">
        <v>0</v>
      </c>
      <c r="M462" t="n">
        <v>0</v>
      </c>
      <c r="N462" t="n">
        <v>0</v>
      </c>
      <c r="O462" t="n">
        <v>0</v>
      </c>
      <c r="P462" t="n">
        <v>0</v>
      </c>
      <c r="Q462" t="n">
        <v>0</v>
      </c>
      <c r="R462" s="2" t="inlineStr"/>
    </row>
    <row r="463" ht="15" customHeight="1">
      <c r="A463" t="inlineStr">
        <is>
          <t>A 52800-2025</t>
        </is>
      </c>
      <c r="B463" s="1" t="n">
        <v>45957.44152777778</v>
      </c>
      <c r="C463" s="1" t="n">
        <v>46163</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52802-2025</t>
        </is>
      </c>
      <c r="B464" s="1" t="n">
        <v>45957.44295138889</v>
      </c>
      <c r="C464" s="1" t="n">
        <v>46163</v>
      </c>
      <c r="D464" t="inlineStr">
        <is>
          <t>ÖSTERGÖTLANDS LÄN</t>
        </is>
      </c>
      <c r="E464" t="inlineStr">
        <is>
          <t>LINKÖPING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46163</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46163</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60472-2022</t>
        </is>
      </c>
      <c r="B467" s="1" t="n">
        <v>44911.41037037037</v>
      </c>
      <c r="C467" s="1" t="n">
        <v>46163</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43934-2023</t>
        </is>
      </c>
      <c r="B468" s="1" t="n">
        <v>45187</v>
      </c>
      <c r="C468" s="1" t="n">
        <v>46163</v>
      </c>
      <c r="D468" t="inlineStr">
        <is>
          <t>ÖSTERGÖTLANDS LÄN</t>
        </is>
      </c>
      <c r="E468" t="inlineStr">
        <is>
          <t>LINKÖPING</t>
        </is>
      </c>
      <c r="F468" t="inlineStr">
        <is>
          <t>Övriga Aktiebolag</t>
        </is>
      </c>
      <c r="G468" t="n">
        <v>3.8</v>
      </c>
      <c r="H468" t="n">
        <v>0</v>
      </c>
      <c r="I468" t="n">
        <v>0</v>
      </c>
      <c r="J468" t="n">
        <v>0</v>
      </c>
      <c r="K468" t="n">
        <v>0</v>
      </c>
      <c r="L468" t="n">
        <v>0</v>
      </c>
      <c r="M468" t="n">
        <v>0</v>
      </c>
      <c r="N468" t="n">
        <v>0</v>
      </c>
      <c r="O468" t="n">
        <v>0</v>
      </c>
      <c r="P468" t="n">
        <v>0</v>
      </c>
      <c r="Q468" t="n">
        <v>0</v>
      </c>
      <c r="R468" s="2" t="inlineStr"/>
    </row>
    <row r="469" ht="15" customHeight="1">
      <c r="A469" t="inlineStr">
        <is>
          <t>A 22774-2024</t>
        </is>
      </c>
      <c r="B469" s="1" t="n">
        <v>45448.46924768519</v>
      </c>
      <c r="C469" s="1" t="n">
        <v>46163</v>
      </c>
      <c r="D469" t="inlineStr">
        <is>
          <t>ÖSTERGÖTLANDS LÄN</t>
        </is>
      </c>
      <c r="E469" t="inlineStr">
        <is>
          <t>LINKÖPING</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22778-2024</t>
        </is>
      </c>
      <c r="B470" s="1" t="n">
        <v>45448.47233796296</v>
      </c>
      <c r="C470" s="1" t="n">
        <v>46163</v>
      </c>
      <c r="D470" t="inlineStr">
        <is>
          <t>ÖSTERGÖTLANDS LÄN</t>
        </is>
      </c>
      <c r="E470" t="inlineStr">
        <is>
          <t>LINKÖPING</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1209-2023</t>
        </is>
      </c>
      <c r="B471" s="1" t="n">
        <v>44930</v>
      </c>
      <c r="C471" s="1" t="n">
        <v>46163</v>
      </c>
      <c r="D471" t="inlineStr">
        <is>
          <t>ÖSTERGÖTLANDS LÄN</t>
        </is>
      </c>
      <c r="E471" t="inlineStr">
        <is>
          <t>LINKÖPING</t>
        </is>
      </c>
      <c r="F471" t="inlineStr">
        <is>
          <t>Övriga statliga verk och myndigheter</t>
        </is>
      </c>
      <c r="G471" t="n">
        <v>25.8</v>
      </c>
      <c r="H471" t="n">
        <v>0</v>
      </c>
      <c r="I471" t="n">
        <v>0</v>
      </c>
      <c r="J471" t="n">
        <v>0</v>
      </c>
      <c r="K471" t="n">
        <v>0</v>
      </c>
      <c r="L471" t="n">
        <v>0</v>
      </c>
      <c r="M471" t="n">
        <v>0</v>
      </c>
      <c r="N471" t="n">
        <v>0</v>
      </c>
      <c r="O471" t="n">
        <v>0</v>
      </c>
      <c r="P471" t="n">
        <v>0</v>
      </c>
      <c r="Q471" t="n">
        <v>0</v>
      </c>
      <c r="R471" s="2" t="inlineStr"/>
    </row>
    <row r="472" ht="15" customHeight="1">
      <c r="A472" t="inlineStr">
        <is>
          <t>A 13927-2026</t>
        </is>
      </c>
      <c r="B472" s="1" t="n">
        <v>46098</v>
      </c>
      <c r="C472" s="1" t="n">
        <v>46163</v>
      </c>
      <c r="D472" t="inlineStr">
        <is>
          <t>ÖSTERGÖTLANDS LÄN</t>
        </is>
      </c>
      <c r="E472" t="inlineStr">
        <is>
          <t>LINKÖPING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10407-2025</t>
        </is>
      </c>
      <c r="B473" s="1" t="n">
        <v>45720.62863425926</v>
      </c>
      <c r="C473" s="1" t="n">
        <v>46163</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5099-2026</t>
        </is>
      </c>
      <c r="B474" s="1" t="n">
        <v>46049.56158564815</v>
      </c>
      <c r="C474" s="1" t="n">
        <v>46163</v>
      </c>
      <c r="D474" t="inlineStr">
        <is>
          <t>ÖSTERGÖTLANDS LÄN</t>
        </is>
      </c>
      <c r="E474" t="inlineStr">
        <is>
          <t>LINKÖPING</t>
        </is>
      </c>
      <c r="G474" t="n">
        <v>5</v>
      </c>
      <c r="H474" t="n">
        <v>0</v>
      </c>
      <c r="I474" t="n">
        <v>0</v>
      </c>
      <c r="J474" t="n">
        <v>0</v>
      </c>
      <c r="K474" t="n">
        <v>0</v>
      </c>
      <c r="L474" t="n">
        <v>0</v>
      </c>
      <c r="M474" t="n">
        <v>0</v>
      </c>
      <c r="N474" t="n">
        <v>0</v>
      </c>
      <c r="O474" t="n">
        <v>0</v>
      </c>
      <c r="P474" t="n">
        <v>0</v>
      </c>
      <c r="Q474" t="n">
        <v>0</v>
      </c>
      <c r="R474" s="2" t="inlineStr"/>
    </row>
    <row r="475" ht="15" customHeight="1">
      <c r="A475" t="inlineStr">
        <is>
          <t>A 11590-2023</t>
        </is>
      </c>
      <c r="B475" s="1" t="n">
        <v>44994.36689814815</v>
      </c>
      <c r="C475" s="1" t="n">
        <v>46163</v>
      </c>
      <c r="D475" t="inlineStr">
        <is>
          <t>ÖSTERGÖTLANDS LÄN</t>
        </is>
      </c>
      <c r="E475" t="inlineStr">
        <is>
          <t>LINKÖPING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54332-2025</t>
        </is>
      </c>
      <c r="B476" s="1" t="n">
        <v>45965.34915509259</v>
      </c>
      <c r="C476" s="1" t="n">
        <v>46163</v>
      </c>
      <c r="D476" t="inlineStr">
        <is>
          <t>ÖSTERGÖTLANDS LÄN</t>
        </is>
      </c>
      <c r="E476" t="inlineStr">
        <is>
          <t>LINKÖPING</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19169-2023</t>
        </is>
      </c>
      <c r="B477" s="1" t="n">
        <v>45044</v>
      </c>
      <c r="C477" s="1" t="n">
        <v>46163</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54329-2025</t>
        </is>
      </c>
      <c r="B478" s="1" t="n">
        <v>45965.34706018519</v>
      </c>
      <c r="C478" s="1" t="n">
        <v>46163</v>
      </c>
      <c r="D478" t="inlineStr">
        <is>
          <t>ÖSTERGÖTLANDS LÄN</t>
        </is>
      </c>
      <c r="E478" t="inlineStr">
        <is>
          <t>LINKÖPING</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14135-2026</t>
        </is>
      </c>
      <c r="B479" s="1" t="n">
        <v>46099</v>
      </c>
      <c r="C479" s="1" t="n">
        <v>46163</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672-2024</t>
        </is>
      </c>
      <c r="B480" s="1" t="n">
        <v>45300</v>
      </c>
      <c r="C480" s="1" t="n">
        <v>46163</v>
      </c>
      <c r="D480" t="inlineStr">
        <is>
          <t>ÖSTERGÖTLANDS LÄN</t>
        </is>
      </c>
      <c r="E480" t="inlineStr">
        <is>
          <t>LINKÖPING</t>
        </is>
      </c>
      <c r="F480" t="inlineStr">
        <is>
          <t>Sveaskog</t>
        </is>
      </c>
      <c r="G480" t="n">
        <v>4.5</v>
      </c>
      <c r="H480" t="n">
        <v>0</v>
      </c>
      <c r="I480" t="n">
        <v>0</v>
      </c>
      <c r="J480" t="n">
        <v>0</v>
      </c>
      <c r="K480" t="n">
        <v>0</v>
      </c>
      <c r="L480" t="n">
        <v>0</v>
      </c>
      <c r="M480" t="n">
        <v>0</v>
      </c>
      <c r="N480" t="n">
        <v>0</v>
      </c>
      <c r="O480" t="n">
        <v>0</v>
      </c>
      <c r="P480" t="n">
        <v>0</v>
      </c>
      <c r="Q480" t="n">
        <v>0</v>
      </c>
      <c r="R480" s="2" t="inlineStr"/>
    </row>
    <row r="481" ht="15" customHeight="1">
      <c r="A481" t="inlineStr">
        <is>
          <t>A 55493-2021</t>
        </is>
      </c>
      <c r="B481" s="1" t="n">
        <v>44475.61988425926</v>
      </c>
      <c r="C481" s="1" t="n">
        <v>46163</v>
      </c>
      <c r="D481" t="inlineStr">
        <is>
          <t>ÖSTERGÖTLANDS LÄN</t>
        </is>
      </c>
      <c r="E481" t="inlineStr">
        <is>
          <t>LINKÖPING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54333-2025</t>
        </is>
      </c>
      <c r="B482" s="1" t="n">
        <v>45965.35090277778</v>
      </c>
      <c r="C482" s="1" t="n">
        <v>46163</v>
      </c>
      <c r="D482" t="inlineStr">
        <is>
          <t>ÖSTERGÖTLANDS LÄN</t>
        </is>
      </c>
      <c r="E482" t="inlineStr">
        <is>
          <t>LINKÖPING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14093-2024</t>
        </is>
      </c>
      <c r="B483" s="1" t="n">
        <v>45392.60278935185</v>
      </c>
      <c r="C483" s="1" t="n">
        <v>46163</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62019-2024</t>
        </is>
      </c>
      <c r="B484" s="1" t="n">
        <v>45655.82</v>
      </c>
      <c r="C484" s="1" t="n">
        <v>46163</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13565-2026</t>
        </is>
      </c>
      <c r="B485" s="1" t="n">
        <v>46094.80006944444</v>
      </c>
      <c r="C485" s="1" t="n">
        <v>46163</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25119-2023</t>
        </is>
      </c>
      <c r="B486" s="1" t="n">
        <v>45086.42326388889</v>
      </c>
      <c r="C486" s="1" t="n">
        <v>46163</v>
      </c>
      <c r="D486" t="inlineStr">
        <is>
          <t>ÖSTERGÖTLANDS LÄN</t>
        </is>
      </c>
      <c r="E486" t="inlineStr">
        <is>
          <t>LINKÖPING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12174-2026</t>
        </is>
      </c>
      <c r="B487" s="1" t="n">
        <v>46086</v>
      </c>
      <c r="C487" s="1" t="n">
        <v>46163</v>
      </c>
      <c r="D487" t="inlineStr">
        <is>
          <t>ÖSTERGÖTLANDS LÄN</t>
        </is>
      </c>
      <c r="E487" t="inlineStr">
        <is>
          <t>LINKÖPING</t>
        </is>
      </c>
      <c r="G487" t="n">
        <v>7.2</v>
      </c>
      <c r="H487" t="n">
        <v>0</v>
      </c>
      <c r="I487" t="n">
        <v>0</v>
      </c>
      <c r="J487" t="n">
        <v>0</v>
      </c>
      <c r="K487" t="n">
        <v>0</v>
      </c>
      <c r="L487" t="n">
        <v>0</v>
      </c>
      <c r="M487" t="n">
        <v>0</v>
      </c>
      <c r="N487" t="n">
        <v>0</v>
      </c>
      <c r="O487" t="n">
        <v>0</v>
      </c>
      <c r="P487" t="n">
        <v>0</v>
      </c>
      <c r="Q487" t="n">
        <v>0</v>
      </c>
      <c r="R487" s="2" t="inlineStr"/>
    </row>
    <row r="488" ht="15" customHeight="1">
      <c r="A488" t="inlineStr">
        <is>
          <t>A 12175-2026</t>
        </is>
      </c>
      <c r="B488" s="1" t="n">
        <v>46086</v>
      </c>
      <c r="C488" s="1" t="n">
        <v>46163</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57396-2021</t>
        </is>
      </c>
      <c r="B489" s="1" t="n">
        <v>44483.56151620371</v>
      </c>
      <c r="C489" s="1" t="n">
        <v>46163</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12181-2026</t>
        </is>
      </c>
      <c r="B490" s="1" t="n">
        <v>46086</v>
      </c>
      <c r="C490" s="1" t="n">
        <v>46163</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51571-2024</t>
        </is>
      </c>
      <c r="B491" s="1" t="n">
        <v>45604</v>
      </c>
      <c r="C491" s="1" t="n">
        <v>46163</v>
      </c>
      <c r="D491" t="inlineStr">
        <is>
          <t>ÖSTERGÖTLANDS LÄN</t>
        </is>
      </c>
      <c r="E491" t="inlineStr">
        <is>
          <t>LINKÖPING</t>
        </is>
      </c>
      <c r="F491" t="inlineStr">
        <is>
          <t>Övriga Aktiebolag</t>
        </is>
      </c>
      <c r="G491" t="n">
        <v>1.4</v>
      </c>
      <c r="H491" t="n">
        <v>0</v>
      </c>
      <c r="I491" t="n">
        <v>0</v>
      </c>
      <c r="J491" t="n">
        <v>0</v>
      </c>
      <c r="K491" t="n">
        <v>0</v>
      </c>
      <c r="L491" t="n">
        <v>0</v>
      </c>
      <c r="M491" t="n">
        <v>0</v>
      </c>
      <c r="N491" t="n">
        <v>0</v>
      </c>
      <c r="O491" t="n">
        <v>0</v>
      </c>
      <c r="P491" t="n">
        <v>0</v>
      </c>
      <c r="Q491" t="n">
        <v>0</v>
      </c>
      <c r="R491" s="2" t="inlineStr"/>
    </row>
    <row r="492" ht="15" customHeight="1">
      <c r="A492" t="inlineStr">
        <is>
          <t>A 17143-2025</t>
        </is>
      </c>
      <c r="B492" s="1" t="n">
        <v>45755.92731481481</v>
      </c>
      <c r="C492" s="1" t="n">
        <v>46163</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17124-2025</t>
        </is>
      </c>
      <c r="B493" s="1" t="n">
        <v>45755.69678240741</v>
      </c>
      <c r="C493" s="1" t="n">
        <v>46163</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17126-2025</t>
        </is>
      </c>
      <c r="B494" s="1" t="n">
        <v>45755.70814814815</v>
      </c>
      <c r="C494" s="1" t="n">
        <v>46163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55102-2025</t>
        </is>
      </c>
      <c r="B495" s="1" t="n">
        <v>45968.35410879629</v>
      </c>
      <c r="C495" s="1" t="n">
        <v>46163</v>
      </c>
      <c r="D495" t="inlineStr">
        <is>
          <t>ÖSTERGÖTLANDS LÄN</t>
        </is>
      </c>
      <c r="E495" t="inlineStr">
        <is>
          <t>LINKÖPING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55132-2025</t>
        </is>
      </c>
      <c r="B496" s="1" t="n">
        <v>45968.41912037037</v>
      </c>
      <c r="C496" s="1" t="n">
        <v>46163</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55109-2025</t>
        </is>
      </c>
      <c r="B497" s="1" t="n">
        <v>45968.37731481482</v>
      </c>
      <c r="C497" s="1" t="n">
        <v>46163</v>
      </c>
      <c r="D497" t="inlineStr">
        <is>
          <t>ÖSTERGÖTLANDS LÄN</t>
        </is>
      </c>
      <c r="E497" t="inlineStr">
        <is>
          <t>LINKÖPING</t>
        </is>
      </c>
      <c r="G497" t="n">
        <v>3.2</v>
      </c>
      <c r="H497" t="n">
        <v>0</v>
      </c>
      <c r="I497" t="n">
        <v>0</v>
      </c>
      <c r="J497" t="n">
        <v>0</v>
      </c>
      <c r="K497" t="n">
        <v>0</v>
      </c>
      <c r="L497" t="n">
        <v>0</v>
      </c>
      <c r="M497" t="n">
        <v>0</v>
      </c>
      <c r="N497" t="n">
        <v>0</v>
      </c>
      <c r="O497" t="n">
        <v>0</v>
      </c>
      <c r="P497" t="n">
        <v>0</v>
      </c>
      <c r="Q497" t="n">
        <v>0</v>
      </c>
      <c r="R497" s="2" t="inlineStr"/>
    </row>
    <row r="498" ht="15" customHeight="1">
      <c r="A498" t="inlineStr">
        <is>
          <t>A 31640-2023</t>
        </is>
      </c>
      <c r="B498" s="1" t="n">
        <v>45117</v>
      </c>
      <c r="C498" s="1" t="n">
        <v>46163</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55165-2025</t>
        </is>
      </c>
      <c r="B499" s="1" t="n">
        <v>45968.48194444444</v>
      </c>
      <c r="C499" s="1" t="n">
        <v>46163</v>
      </c>
      <c r="D499" t="inlineStr">
        <is>
          <t>ÖSTERGÖTLANDS LÄN</t>
        </is>
      </c>
      <c r="E499" t="inlineStr">
        <is>
          <t>LINKÖPING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11790-2024</t>
        </is>
      </c>
      <c r="B500" s="1" t="n">
        <v>45374</v>
      </c>
      <c r="C500" s="1" t="n">
        <v>46163</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61281-2021</t>
        </is>
      </c>
      <c r="B501" s="1" t="n">
        <v>44498.60736111111</v>
      </c>
      <c r="C501" s="1" t="n">
        <v>46163</v>
      </c>
      <c r="D501" t="inlineStr">
        <is>
          <t>ÖSTERGÖTLANDS LÄN</t>
        </is>
      </c>
      <c r="E501" t="inlineStr">
        <is>
          <t>LINKÖPING</t>
        </is>
      </c>
      <c r="G501" t="n">
        <v>4.5</v>
      </c>
      <c r="H501" t="n">
        <v>0</v>
      </c>
      <c r="I501" t="n">
        <v>0</v>
      </c>
      <c r="J501" t="n">
        <v>0</v>
      </c>
      <c r="K501" t="n">
        <v>0</v>
      </c>
      <c r="L501" t="n">
        <v>0</v>
      </c>
      <c r="M501" t="n">
        <v>0</v>
      </c>
      <c r="N501" t="n">
        <v>0</v>
      </c>
      <c r="O501" t="n">
        <v>0</v>
      </c>
      <c r="P501" t="n">
        <v>0</v>
      </c>
      <c r="Q501" t="n">
        <v>0</v>
      </c>
      <c r="R501" s="2" t="inlineStr"/>
    </row>
    <row r="502" ht="15" customHeight="1">
      <c r="A502" t="inlineStr">
        <is>
          <t>A 56113-2025</t>
        </is>
      </c>
      <c r="B502" s="1" t="n">
        <v>45973.73924768518</v>
      </c>
      <c r="C502" s="1" t="n">
        <v>46163</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56105-2025</t>
        </is>
      </c>
      <c r="B503" s="1" t="n">
        <v>45973.72855324074</v>
      </c>
      <c r="C503" s="1" t="n">
        <v>46163</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56403-2025</t>
        </is>
      </c>
      <c r="B504" s="1" t="n">
        <v>45974</v>
      </c>
      <c r="C504" s="1" t="n">
        <v>46163</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6206-2024</t>
        </is>
      </c>
      <c r="B505" s="1" t="n">
        <v>45337.5977662037</v>
      </c>
      <c r="C505" s="1" t="n">
        <v>46163</v>
      </c>
      <c r="D505" t="inlineStr">
        <is>
          <t>ÖSTERGÖTLANDS LÄN</t>
        </is>
      </c>
      <c r="E505" t="inlineStr">
        <is>
          <t>LINKÖPING</t>
        </is>
      </c>
      <c r="G505" t="n">
        <v>2</v>
      </c>
      <c r="H505" t="n">
        <v>0</v>
      </c>
      <c r="I505" t="n">
        <v>0</v>
      </c>
      <c r="J505" t="n">
        <v>0</v>
      </c>
      <c r="K505" t="n">
        <v>0</v>
      </c>
      <c r="L505" t="n">
        <v>0</v>
      </c>
      <c r="M505" t="n">
        <v>0</v>
      </c>
      <c r="N505" t="n">
        <v>0</v>
      </c>
      <c r="O505" t="n">
        <v>0</v>
      </c>
      <c r="P505" t="n">
        <v>0</v>
      </c>
      <c r="Q505" t="n">
        <v>0</v>
      </c>
      <c r="R505" s="2" t="inlineStr"/>
    </row>
    <row r="506" ht="15" customHeight="1">
      <c r="A506" t="inlineStr">
        <is>
          <t>A 14157-2026</t>
        </is>
      </c>
      <c r="B506" s="1" t="n">
        <v>46099.46829861111</v>
      </c>
      <c r="C506" s="1" t="n">
        <v>46163</v>
      </c>
      <c r="D506" t="inlineStr">
        <is>
          <t>ÖSTERGÖTLANDS LÄN</t>
        </is>
      </c>
      <c r="E506" t="inlineStr">
        <is>
          <t>LINKÖPING</t>
        </is>
      </c>
      <c r="F506" t="inlineStr">
        <is>
          <t>Allmännings- och besparingsskogar</t>
        </is>
      </c>
      <c r="G506" t="n">
        <v>1.6</v>
      </c>
      <c r="H506" t="n">
        <v>0</v>
      </c>
      <c r="I506" t="n">
        <v>0</v>
      </c>
      <c r="J506" t="n">
        <v>0</v>
      </c>
      <c r="K506" t="n">
        <v>0</v>
      </c>
      <c r="L506" t="n">
        <v>0</v>
      </c>
      <c r="M506" t="n">
        <v>0</v>
      </c>
      <c r="N506" t="n">
        <v>0</v>
      </c>
      <c r="O506" t="n">
        <v>0</v>
      </c>
      <c r="P506" t="n">
        <v>0</v>
      </c>
      <c r="Q506" t="n">
        <v>0</v>
      </c>
      <c r="R506" s="2" t="inlineStr"/>
    </row>
    <row r="507" ht="15" customHeight="1">
      <c r="A507" t="inlineStr">
        <is>
          <t>A 168-2024</t>
        </is>
      </c>
      <c r="B507" s="1" t="n">
        <v>45294</v>
      </c>
      <c r="C507" s="1" t="n">
        <v>46163</v>
      </c>
      <c r="D507" t="inlineStr">
        <is>
          <t>ÖSTERGÖTLANDS LÄN</t>
        </is>
      </c>
      <c r="E507" t="inlineStr">
        <is>
          <t>LINKÖPING</t>
        </is>
      </c>
      <c r="F507" t="inlineStr">
        <is>
          <t>Allmännings- och besparingsskogar</t>
        </is>
      </c>
      <c r="G507" t="n">
        <v>8.9</v>
      </c>
      <c r="H507" t="n">
        <v>0</v>
      </c>
      <c r="I507" t="n">
        <v>0</v>
      </c>
      <c r="J507" t="n">
        <v>0</v>
      </c>
      <c r="K507" t="n">
        <v>0</v>
      </c>
      <c r="L507" t="n">
        <v>0</v>
      </c>
      <c r="M507" t="n">
        <v>0</v>
      </c>
      <c r="N507" t="n">
        <v>0</v>
      </c>
      <c r="O507" t="n">
        <v>0</v>
      </c>
      <c r="P507" t="n">
        <v>0</v>
      </c>
      <c r="Q507" t="n">
        <v>0</v>
      </c>
      <c r="R507" s="2" t="inlineStr"/>
    </row>
    <row r="508" ht="15" customHeight="1">
      <c r="A508" t="inlineStr">
        <is>
          <t>A 51919-2024</t>
        </is>
      </c>
      <c r="B508" s="1" t="n">
        <v>45607.60791666667</v>
      </c>
      <c r="C508" s="1" t="n">
        <v>46163</v>
      </c>
      <c r="D508" t="inlineStr">
        <is>
          <t>ÖSTERGÖTLANDS LÄN</t>
        </is>
      </c>
      <c r="E508" t="inlineStr">
        <is>
          <t>LINKÖPING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56623-2024</t>
        </is>
      </c>
      <c r="B509" s="1" t="n">
        <v>45625</v>
      </c>
      <c r="C509" s="1" t="n">
        <v>46163</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11330-2023</t>
        </is>
      </c>
      <c r="B510" s="1" t="n">
        <v>44993.24648148148</v>
      </c>
      <c r="C510" s="1" t="n">
        <v>46163</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63304-2021</t>
        </is>
      </c>
      <c r="B511" s="1" t="n">
        <v>44508.4396412037</v>
      </c>
      <c r="C511" s="1" t="n">
        <v>46163</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56704-2025</t>
        </is>
      </c>
      <c r="B512" s="1" t="n">
        <v>45977.50608796296</v>
      </c>
      <c r="C512" s="1" t="n">
        <v>46163</v>
      </c>
      <c r="D512" t="inlineStr">
        <is>
          <t>ÖSTERGÖTLANDS LÄN</t>
        </is>
      </c>
      <c r="E512" t="inlineStr">
        <is>
          <t>LINKÖPING</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14528-2025</t>
        </is>
      </c>
      <c r="B513" s="1" t="n">
        <v>45741</v>
      </c>
      <c r="C513" s="1" t="n">
        <v>46163</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3530-2024</t>
        </is>
      </c>
      <c r="B514" s="1" t="n">
        <v>45320.54717592592</v>
      </c>
      <c r="C514" s="1" t="n">
        <v>46163</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62073-2023</t>
        </is>
      </c>
      <c r="B515" s="1" t="n">
        <v>45266.73844907407</v>
      </c>
      <c r="C515" s="1" t="n">
        <v>46163</v>
      </c>
      <c r="D515" t="inlineStr">
        <is>
          <t>ÖSTERGÖTLANDS LÄN</t>
        </is>
      </c>
      <c r="E515" t="inlineStr">
        <is>
          <t>LINKÖPING</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5872-2025</t>
        </is>
      </c>
      <c r="B516" s="1" t="n">
        <v>45695.36659722222</v>
      </c>
      <c r="C516" s="1" t="n">
        <v>46163</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53814-2023</t>
        </is>
      </c>
      <c r="B517" s="1" t="n">
        <v>45231</v>
      </c>
      <c r="C517" s="1" t="n">
        <v>46163</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3432-2023</t>
        </is>
      </c>
      <c r="B518" s="1" t="n">
        <v>44949</v>
      </c>
      <c r="C518" s="1" t="n">
        <v>46163</v>
      </c>
      <c r="D518" t="inlineStr">
        <is>
          <t>ÖSTERGÖTLANDS LÄN</t>
        </is>
      </c>
      <c r="E518" t="inlineStr">
        <is>
          <t>LINKÖPING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54425-2022</t>
        </is>
      </c>
      <c r="B519" s="1" t="n">
        <v>44882.57453703704</v>
      </c>
      <c r="C519" s="1" t="n">
        <v>46163</v>
      </c>
      <c r="D519" t="inlineStr">
        <is>
          <t>ÖSTERGÖTLANDS LÄN</t>
        </is>
      </c>
      <c r="E519" t="inlineStr">
        <is>
          <t>LINKÖPING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54428-2022</t>
        </is>
      </c>
      <c r="B520" s="1" t="n">
        <v>44882.57643518518</v>
      </c>
      <c r="C520" s="1" t="n">
        <v>46163</v>
      </c>
      <c r="D520" t="inlineStr">
        <is>
          <t>ÖSTERGÖTLANDS LÄN</t>
        </is>
      </c>
      <c r="E520" t="inlineStr">
        <is>
          <t>LINKÖPING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660-2023</t>
        </is>
      </c>
      <c r="B521" s="1" t="n">
        <v>44930</v>
      </c>
      <c r="C521" s="1" t="n">
        <v>46163</v>
      </c>
      <c r="D521" t="inlineStr">
        <is>
          <t>ÖSTERGÖTLANDS LÄN</t>
        </is>
      </c>
      <c r="E521" t="inlineStr">
        <is>
          <t>LINKÖPING</t>
        </is>
      </c>
      <c r="F521" t="inlineStr">
        <is>
          <t>Kyrkan</t>
        </is>
      </c>
      <c r="G521" t="n">
        <v>1.6</v>
      </c>
      <c r="H521" t="n">
        <v>0</v>
      </c>
      <c r="I521" t="n">
        <v>0</v>
      </c>
      <c r="J521" t="n">
        <v>0</v>
      </c>
      <c r="K521" t="n">
        <v>0</v>
      </c>
      <c r="L521" t="n">
        <v>0</v>
      </c>
      <c r="M521" t="n">
        <v>0</v>
      </c>
      <c r="N521" t="n">
        <v>0</v>
      </c>
      <c r="O521" t="n">
        <v>0</v>
      </c>
      <c r="P521" t="n">
        <v>0</v>
      </c>
      <c r="Q521" t="n">
        <v>0</v>
      </c>
      <c r="R521" s="2" t="inlineStr"/>
    </row>
    <row r="522" ht="15" customHeight="1">
      <c r="A522" t="inlineStr">
        <is>
          <t>A 62501-2023</t>
        </is>
      </c>
      <c r="B522" s="1" t="n">
        <v>45268</v>
      </c>
      <c r="C522" s="1" t="n">
        <v>46163</v>
      </c>
      <c r="D522" t="inlineStr">
        <is>
          <t>ÖSTERGÖTLANDS LÄN</t>
        </is>
      </c>
      <c r="E522" t="inlineStr">
        <is>
          <t>LINKÖPING</t>
        </is>
      </c>
      <c r="G522" t="n">
        <v>7.4</v>
      </c>
      <c r="H522" t="n">
        <v>0</v>
      </c>
      <c r="I522" t="n">
        <v>0</v>
      </c>
      <c r="J522" t="n">
        <v>0</v>
      </c>
      <c r="K522" t="n">
        <v>0</v>
      </c>
      <c r="L522" t="n">
        <v>0</v>
      </c>
      <c r="M522" t="n">
        <v>0</v>
      </c>
      <c r="N522" t="n">
        <v>0</v>
      </c>
      <c r="O522" t="n">
        <v>0</v>
      </c>
      <c r="P522" t="n">
        <v>0</v>
      </c>
      <c r="Q522" t="n">
        <v>0</v>
      </c>
      <c r="R522" s="2" t="inlineStr"/>
    </row>
    <row r="523" ht="15" customHeight="1">
      <c r="A523" t="inlineStr">
        <is>
          <t>A 13413-2023</t>
        </is>
      </c>
      <c r="B523" s="1" t="n">
        <v>45005.58341435185</v>
      </c>
      <c r="C523" s="1" t="n">
        <v>46163</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26620-2023</t>
        </is>
      </c>
      <c r="B524" s="1" t="n">
        <v>45092.70390046296</v>
      </c>
      <c r="C524" s="1" t="n">
        <v>46163</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58802-2025</t>
        </is>
      </c>
      <c r="B525" s="1" t="n">
        <v>45986.8768287037</v>
      </c>
      <c r="C525" s="1" t="n">
        <v>46163</v>
      </c>
      <c r="D525" t="inlineStr">
        <is>
          <t>ÖSTERGÖTLANDS LÄN</t>
        </is>
      </c>
      <c r="E525" t="inlineStr">
        <is>
          <t>LINKÖPING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55004-2025</t>
        </is>
      </c>
      <c r="B526" s="1" t="n">
        <v>45967</v>
      </c>
      <c r="C526" s="1" t="n">
        <v>46163</v>
      </c>
      <c r="D526" t="inlineStr">
        <is>
          <t>ÖSTERGÖTLANDS LÄN</t>
        </is>
      </c>
      <c r="E526" t="inlineStr">
        <is>
          <t>LINKÖPING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21246-2026</t>
        </is>
      </c>
      <c r="B527" s="1" t="n">
        <v>46147.36642361111</v>
      </c>
      <c r="C527" s="1" t="n">
        <v>46163</v>
      </c>
      <c r="D527" t="inlineStr">
        <is>
          <t>ÖSTERGÖTLANDS LÄN</t>
        </is>
      </c>
      <c r="E527" t="inlineStr">
        <is>
          <t>LINKÖPING</t>
        </is>
      </c>
      <c r="F527" t="inlineStr">
        <is>
          <t>Sveaskog</t>
        </is>
      </c>
      <c r="G527" t="n">
        <v>6.5</v>
      </c>
      <c r="H527" t="n">
        <v>0</v>
      </c>
      <c r="I527" t="n">
        <v>0</v>
      </c>
      <c r="J527" t="n">
        <v>0</v>
      </c>
      <c r="K527" t="n">
        <v>0</v>
      </c>
      <c r="L527" t="n">
        <v>0</v>
      </c>
      <c r="M527" t="n">
        <v>0</v>
      </c>
      <c r="N527" t="n">
        <v>0</v>
      </c>
      <c r="O527" t="n">
        <v>0</v>
      </c>
      <c r="P527" t="n">
        <v>0</v>
      </c>
      <c r="Q527" t="n">
        <v>0</v>
      </c>
      <c r="R527" s="2" t="inlineStr"/>
    </row>
    <row r="528" ht="15" customHeight="1">
      <c r="A528" t="inlineStr">
        <is>
          <t>A 21248-2026</t>
        </is>
      </c>
      <c r="B528" s="1" t="n">
        <v>46147.36969907407</v>
      </c>
      <c r="C528" s="1" t="n">
        <v>46163</v>
      </c>
      <c r="D528" t="inlineStr">
        <is>
          <t>ÖSTERGÖTLANDS LÄN</t>
        </is>
      </c>
      <c r="E528" t="inlineStr">
        <is>
          <t>LINKÖPING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59205-2025</t>
        </is>
      </c>
      <c r="B529" s="1" t="n">
        <v>45988.60721064815</v>
      </c>
      <c r="C529" s="1" t="n">
        <v>46163</v>
      </c>
      <c r="D529" t="inlineStr">
        <is>
          <t>ÖSTERGÖTLANDS LÄN</t>
        </is>
      </c>
      <c r="E529" t="inlineStr">
        <is>
          <t>LINKÖPING</t>
        </is>
      </c>
      <c r="F529" t="inlineStr">
        <is>
          <t>Sveaskog</t>
        </is>
      </c>
      <c r="G529" t="n">
        <v>11.3</v>
      </c>
      <c r="H529" t="n">
        <v>0</v>
      </c>
      <c r="I529" t="n">
        <v>0</v>
      </c>
      <c r="J529" t="n">
        <v>0</v>
      </c>
      <c r="K529" t="n">
        <v>0</v>
      </c>
      <c r="L529" t="n">
        <v>0</v>
      </c>
      <c r="M529" t="n">
        <v>0</v>
      </c>
      <c r="N529" t="n">
        <v>0</v>
      </c>
      <c r="O529" t="n">
        <v>0</v>
      </c>
      <c r="P529" t="n">
        <v>0</v>
      </c>
      <c r="Q529" t="n">
        <v>0</v>
      </c>
      <c r="R529" s="2" t="inlineStr"/>
    </row>
    <row r="530" ht="15" customHeight="1">
      <c r="A530" t="inlineStr">
        <is>
          <t>A 59472-2025</t>
        </is>
      </c>
      <c r="B530" s="1" t="n">
        <v>45989.58321759259</v>
      </c>
      <c r="C530" s="1" t="n">
        <v>46163</v>
      </c>
      <c r="D530" t="inlineStr">
        <is>
          <t>ÖSTERGÖTLANDS LÄN</t>
        </is>
      </c>
      <c r="E530" t="inlineStr">
        <is>
          <t>LINKÖPING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63554-2023</t>
        </is>
      </c>
      <c r="B531" s="1" t="n">
        <v>45275</v>
      </c>
      <c r="C531" s="1" t="n">
        <v>46163</v>
      </c>
      <c r="D531" t="inlineStr">
        <is>
          <t>ÖSTERGÖTLANDS LÄN</t>
        </is>
      </c>
      <c r="E531" t="inlineStr">
        <is>
          <t>LINKÖPING</t>
        </is>
      </c>
      <c r="G531" t="n">
        <v>4.3</v>
      </c>
      <c r="H531" t="n">
        <v>0</v>
      </c>
      <c r="I531" t="n">
        <v>0</v>
      </c>
      <c r="J531" t="n">
        <v>0</v>
      </c>
      <c r="K531" t="n">
        <v>0</v>
      </c>
      <c r="L531" t="n">
        <v>0</v>
      </c>
      <c r="M531" t="n">
        <v>0</v>
      </c>
      <c r="N531" t="n">
        <v>0</v>
      </c>
      <c r="O531" t="n">
        <v>0</v>
      </c>
      <c r="P531" t="n">
        <v>0</v>
      </c>
      <c r="Q531" t="n">
        <v>0</v>
      </c>
      <c r="R531" s="2" t="inlineStr"/>
    </row>
    <row r="532" ht="15" customHeight="1">
      <c r="A532" t="inlineStr">
        <is>
          <t>A 21247-2026</t>
        </is>
      </c>
      <c r="B532" s="1" t="n">
        <v>46147.36827546296</v>
      </c>
      <c r="C532" s="1" t="n">
        <v>46163</v>
      </c>
      <c r="D532" t="inlineStr">
        <is>
          <t>ÖSTERGÖTLANDS LÄN</t>
        </is>
      </c>
      <c r="E532" t="inlineStr">
        <is>
          <t>LINKÖPING</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63638-2023</t>
        </is>
      </c>
      <c r="B533" s="1" t="n">
        <v>45275</v>
      </c>
      <c r="C533" s="1" t="n">
        <v>46163</v>
      </c>
      <c r="D533" t="inlineStr">
        <is>
          <t>ÖSTERGÖTLANDS LÄN</t>
        </is>
      </c>
      <c r="E533" t="inlineStr">
        <is>
          <t>LINKÖPING</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63658-2023</t>
        </is>
      </c>
      <c r="B534" s="1" t="n">
        <v>45275</v>
      </c>
      <c r="C534" s="1" t="n">
        <v>46163</v>
      </c>
      <c r="D534" t="inlineStr">
        <is>
          <t>ÖSTERGÖTLANDS LÄN</t>
        </is>
      </c>
      <c r="E534" t="inlineStr">
        <is>
          <t>LINKÖPING</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60087-2025</t>
        </is>
      </c>
      <c r="B535" s="1" t="n">
        <v>45993.71726851852</v>
      </c>
      <c r="C535" s="1" t="n">
        <v>46163</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16820-2024</t>
        </is>
      </c>
      <c r="B536" s="1" t="n">
        <v>45411.46809027778</v>
      </c>
      <c r="C536" s="1" t="n">
        <v>46163</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4456-2024</t>
        </is>
      </c>
      <c r="B537" s="1" t="n">
        <v>45327.52847222222</v>
      </c>
      <c r="C537" s="1" t="n">
        <v>46163</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60306-2025</t>
        </is>
      </c>
      <c r="B538" s="1" t="n">
        <v>45994.68326388889</v>
      </c>
      <c r="C538" s="1" t="n">
        <v>46163</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20298-2025</t>
        </is>
      </c>
      <c r="B539" s="1" t="n">
        <v>45774.75024305555</v>
      </c>
      <c r="C539" s="1" t="n">
        <v>46163</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60284-2025</t>
        </is>
      </c>
      <c r="B540" s="1" t="n">
        <v>45994.64373842593</v>
      </c>
      <c r="C540" s="1" t="n">
        <v>46163</v>
      </c>
      <c r="D540" t="inlineStr">
        <is>
          <t>ÖSTERGÖTLANDS LÄN</t>
        </is>
      </c>
      <c r="E540" t="inlineStr">
        <is>
          <t>LINKÖPING</t>
        </is>
      </c>
      <c r="G540" t="n">
        <v>3.5</v>
      </c>
      <c r="H540" t="n">
        <v>0</v>
      </c>
      <c r="I540" t="n">
        <v>0</v>
      </c>
      <c r="J540" t="n">
        <v>0</v>
      </c>
      <c r="K540" t="n">
        <v>0</v>
      </c>
      <c r="L540" t="n">
        <v>0</v>
      </c>
      <c r="M540" t="n">
        <v>0</v>
      </c>
      <c r="N540" t="n">
        <v>0</v>
      </c>
      <c r="O540" t="n">
        <v>0</v>
      </c>
      <c r="P540" t="n">
        <v>0</v>
      </c>
      <c r="Q540" t="n">
        <v>0</v>
      </c>
      <c r="R540" s="2" t="inlineStr"/>
    </row>
    <row r="541" ht="15" customHeight="1">
      <c r="A541" t="inlineStr">
        <is>
          <t>A 21374-2026</t>
        </is>
      </c>
      <c r="B541" s="1" t="n">
        <v>46145</v>
      </c>
      <c r="C541" s="1" t="n">
        <v>46163</v>
      </c>
      <c r="D541" t="inlineStr">
        <is>
          <t>ÖSTERGÖTLANDS LÄN</t>
        </is>
      </c>
      <c r="E541" t="inlineStr">
        <is>
          <t>LINKÖPING</t>
        </is>
      </c>
      <c r="G541" t="n">
        <v>3.7</v>
      </c>
      <c r="H541" t="n">
        <v>0</v>
      </c>
      <c r="I541" t="n">
        <v>0</v>
      </c>
      <c r="J541" t="n">
        <v>0</v>
      </c>
      <c r="K541" t="n">
        <v>0</v>
      </c>
      <c r="L541" t="n">
        <v>0</v>
      </c>
      <c r="M541" t="n">
        <v>0</v>
      </c>
      <c r="N541" t="n">
        <v>0</v>
      </c>
      <c r="O541" t="n">
        <v>0</v>
      </c>
      <c r="P541" t="n">
        <v>0</v>
      </c>
      <c r="Q541" t="n">
        <v>0</v>
      </c>
      <c r="R541" s="2" t="inlineStr"/>
    </row>
    <row r="542" ht="15" customHeight="1">
      <c r="A542" t="inlineStr">
        <is>
          <t>A 15121-2022</t>
        </is>
      </c>
      <c r="B542" s="1" t="n">
        <v>44658</v>
      </c>
      <c r="C542" s="1" t="n">
        <v>46163</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50743-2023</t>
        </is>
      </c>
      <c r="B543" s="1" t="n">
        <v>45217</v>
      </c>
      <c r="C543" s="1" t="n">
        <v>46163</v>
      </c>
      <c r="D543" t="inlineStr">
        <is>
          <t>ÖSTERGÖTLANDS LÄN</t>
        </is>
      </c>
      <c r="E543" t="inlineStr">
        <is>
          <t>LINKÖPING</t>
        </is>
      </c>
      <c r="G543" t="n">
        <v>2.7</v>
      </c>
      <c r="H543" t="n">
        <v>0</v>
      </c>
      <c r="I543" t="n">
        <v>0</v>
      </c>
      <c r="J543" t="n">
        <v>0</v>
      </c>
      <c r="K543" t="n">
        <v>0</v>
      </c>
      <c r="L543" t="n">
        <v>0</v>
      </c>
      <c r="M543" t="n">
        <v>0</v>
      </c>
      <c r="N543" t="n">
        <v>0</v>
      </c>
      <c r="O543" t="n">
        <v>0</v>
      </c>
      <c r="P543" t="n">
        <v>0</v>
      </c>
      <c r="Q543" t="n">
        <v>0</v>
      </c>
      <c r="R543" s="2" t="inlineStr"/>
    </row>
    <row r="544" ht="15" customHeight="1">
      <c r="A544" t="inlineStr">
        <is>
          <t>A 13687-2025</t>
        </is>
      </c>
      <c r="B544" s="1" t="n">
        <v>45737.31425925926</v>
      </c>
      <c r="C544" s="1" t="n">
        <v>46163</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13695-2025</t>
        </is>
      </c>
      <c r="B545" s="1" t="n">
        <v>45737.32219907407</v>
      </c>
      <c r="C545" s="1" t="n">
        <v>46163</v>
      </c>
      <c r="D545" t="inlineStr">
        <is>
          <t>ÖSTERGÖTLANDS LÄN</t>
        </is>
      </c>
      <c r="E545" t="inlineStr">
        <is>
          <t>LINKÖPING</t>
        </is>
      </c>
      <c r="G545" t="n">
        <v>5.3</v>
      </c>
      <c r="H545" t="n">
        <v>0</v>
      </c>
      <c r="I545" t="n">
        <v>0</v>
      </c>
      <c r="J545" t="n">
        <v>0</v>
      </c>
      <c r="K545" t="n">
        <v>0</v>
      </c>
      <c r="L545" t="n">
        <v>0</v>
      </c>
      <c r="M545" t="n">
        <v>0</v>
      </c>
      <c r="N545" t="n">
        <v>0</v>
      </c>
      <c r="O545" t="n">
        <v>0</v>
      </c>
      <c r="P545" t="n">
        <v>0</v>
      </c>
      <c r="Q545" t="n">
        <v>0</v>
      </c>
      <c r="R545" s="2" t="inlineStr"/>
    </row>
    <row r="546" ht="15" customHeight="1">
      <c r="A546" t="inlineStr">
        <is>
          <t>A 20294-2025</t>
        </is>
      </c>
      <c r="B546" s="1" t="n">
        <v>45774.74667824074</v>
      </c>
      <c r="C546" s="1" t="n">
        <v>46163</v>
      </c>
      <c r="D546" t="inlineStr">
        <is>
          <t>ÖSTERGÖTLANDS LÄN</t>
        </is>
      </c>
      <c r="E546" t="inlineStr">
        <is>
          <t>LINKÖPING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60703-2025</t>
        </is>
      </c>
      <c r="B547" s="1" t="n">
        <v>45996.6052662037</v>
      </c>
      <c r="C547" s="1" t="n">
        <v>46163</v>
      </c>
      <c r="D547" t="inlineStr">
        <is>
          <t>ÖSTERGÖTLANDS LÄN</t>
        </is>
      </c>
      <c r="E547" t="inlineStr">
        <is>
          <t>LINKÖPING</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60866-2025</t>
        </is>
      </c>
      <c r="B548" s="1" t="n">
        <v>45999</v>
      </c>
      <c r="C548" s="1" t="n">
        <v>46163</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17128-2025</t>
        </is>
      </c>
      <c r="B549" s="1" t="n">
        <v>45755.72622685185</v>
      </c>
      <c r="C549" s="1" t="n">
        <v>46163</v>
      </c>
      <c r="D549" t="inlineStr">
        <is>
          <t>ÖSTERGÖTLANDS LÄN</t>
        </is>
      </c>
      <c r="E549" t="inlineStr">
        <is>
          <t>LINKÖPING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52125-2022</t>
        </is>
      </c>
      <c r="B550" s="1" t="n">
        <v>44873</v>
      </c>
      <c r="C550" s="1" t="n">
        <v>46163</v>
      </c>
      <c r="D550" t="inlineStr">
        <is>
          <t>ÖSTERGÖTLANDS LÄN</t>
        </is>
      </c>
      <c r="E550" t="inlineStr">
        <is>
          <t>LINKÖPING</t>
        </is>
      </c>
      <c r="F550" t="inlineStr">
        <is>
          <t>Övriga Aktiebolag</t>
        </is>
      </c>
      <c r="G550" t="n">
        <v>0.7</v>
      </c>
      <c r="H550" t="n">
        <v>0</v>
      </c>
      <c r="I550" t="n">
        <v>0</v>
      </c>
      <c r="J550" t="n">
        <v>0</v>
      </c>
      <c r="K550" t="n">
        <v>0</v>
      </c>
      <c r="L550" t="n">
        <v>0</v>
      </c>
      <c r="M550" t="n">
        <v>0</v>
      </c>
      <c r="N550" t="n">
        <v>0</v>
      </c>
      <c r="O550" t="n">
        <v>0</v>
      </c>
      <c r="P550" t="n">
        <v>0</v>
      </c>
      <c r="Q550" t="n">
        <v>0</v>
      </c>
      <c r="R550" s="2" t="inlineStr"/>
    </row>
    <row r="551" ht="15" customHeight="1">
      <c r="A551" t="inlineStr">
        <is>
          <t>A 61230-2025</t>
        </is>
      </c>
      <c r="B551" s="1" t="n">
        <v>46000.63111111111</v>
      </c>
      <c r="C551" s="1" t="n">
        <v>46163</v>
      </c>
      <c r="D551" t="inlineStr">
        <is>
          <t>ÖSTERGÖTLANDS LÄN</t>
        </is>
      </c>
      <c r="E551" t="inlineStr">
        <is>
          <t>LINKÖPING</t>
        </is>
      </c>
      <c r="F551" t="inlineStr">
        <is>
          <t>Kyrkan</t>
        </is>
      </c>
      <c r="G551" t="n">
        <v>2.1</v>
      </c>
      <c r="H551" t="n">
        <v>0</v>
      </c>
      <c r="I551" t="n">
        <v>0</v>
      </c>
      <c r="J551" t="n">
        <v>0</v>
      </c>
      <c r="K551" t="n">
        <v>0</v>
      </c>
      <c r="L551" t="n">
        <v>0</v>
      </c>
      <c r="M551" t="n">
        <v>0</v>
      </c>
      <c r="N551" t="n">
        <v>0</v>
      </c>
      <c r="O551" t="n">
        <v>0</v>
      </c>
      <c r="P551" t="n">
        <v>0</v>
      </c>
      <c r="Q551" t="n">
        <v>0</v>
      </c>
      <c r="R551" s="2" t="inlineStr"/>
    </row>
    <row r="552" ht="15" customHeight="1">
      <c r="A552" t="inlineStr">
        <is>
          <t>A 27343-2023</t>
        </is>
      </c>
      <c r="B552" s="1" t="n">
        <v>45096</v>
      </c>
      <c r="C552" s="1" t="n">
        <v>46163</v>
      </c>
      <c r="D552" t="inlineStr">
        <is>
          <t>ÖSTERGÖTLANDS LÄN</t>
        </is>
      </c>
      <c r="E552" t="inlineStr">
        <is>
          <t>LINKÖPING</t>
        </is>
      </c>
      <c r="F552" t="inlineStr">
        <is>
          <t>Allmännings- och besparingsskogar</t>
        </is>
      </c>
      <c r="G552" t="n">
        <v>6.9</v>
      </c>
      <c r="H552" t="n">
        <v>0</v>
      </c>
      <c r="I552" t="n">
        <v>0</v>
      </c>
      <c r="J552" t="n">
        <v>0</v>
      </c>
      <c r="K552" t="n">
        <v>0</v>
      </c>
      <c r="L552" t="n">
        <v>0</v>
      </c>
      <c r="M552" t="n">
        <v>0</v>
      </c>
      <c r="N552" t="n">
        <v>0</v>
      </c>
      <c r="O552" t="n">
        <v>0</v>
      </c>
      <c r="P552" t="n">
        <v>0</v>
      </c>
      <c r="Q552" t="n">
        <v>0</v>
      </c>
      <c r="R552" s="2" t="inlineStr"/>
    </row>
    <row r="553" ht="15" customHeight="1">
      <c r="A553" t="inlineStr">
        <is>
          <t>A 61447-2025</t>
        </is>
      </c>
      <c r="B553" s="1" t="n">
        <v>46001.57554398148</v>
      </c>
      <c r="C553" s="1" t="n">
        <v>46163</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61899-2025</t>
        </is>
      </c>
      <c r="B554" s="1" t="n">
        <v>46003.46635416667</v>
      </c>
      <c r="C554" s="1" t="n">
        <v>46163</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15850-2026</t>
        </is>
      </c>
      <c r="B555" s="1" t="n">
        <v>46107.57224537037</v>
      </c>
      <c r="C555" s="1" t="n">
        <v>46163</v>
      </c>
      <c r="D555" t="inlineStr">
        <is>
          <t>ÖSTERGÖTLANDS LÄN</t>
        </is>
      </c>
      <c r="E555" t="inlineStr">
        <is>
          <t>LINKÖPING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22842-2023</t>
        </is>
      </c>
      <c r="B556" s="1" t="n">
        <v>45071</v>
      </c>
      <c r="C556" s="1" t="n">
        <v>46163</v>
      </c>
      <c r="D556" t="inlineStr">
        <is>
          <t>ÖSTERGÖTLANDS LÄN</t>
        </is>
      </c>
      <c r="E556" t="inlineStr">
        <is>
          <t>LINKÖPING</t>
        </is>
      </c>
      <c r="F556" t="inlineStr">
        <is>
          <t>Kommuner</t>
        </is>
      </c>
      <c r="G556" t="n">
        <v>1.3</v>
      </c>
      <c r="H556" t="n">
        <v>0</v>
      </c>
      <c r="I556" t="n">
        <v>0</v>
      </c>
      <c r="J556" t="n">
        <v>0</v>
      </c>
      <c r="K556" t="n">
        <v>0</v>
      </c>
      <c r="L556" t="n">
        <v>0</v>
      </c>
      <c r="M556" t="n">
        <v>0</v>
      </c>
      <c r="N556" t="n">
        <v>0</v>
      </c>
      <c r="O556" t="n">
        <v>0</v>
      </c>
      <c r="P556" t="n">
        <v>0</v>
      </c>
      <c r="Q556" t="n">
        <v>0</v>
      </c>
      <c r="R556" s="2" t="inlineStr"/>
    </row>
    <row r="557" ht="15" customHeight="1">
      <c r="A557" t="inlineStr">
        <is>
          <t>A 14520-2025</t>
        </is>
      </c>
      <c r="B557" s="1" t="n">
        <v>45741</v>
      </c>
      <c r="C557" s="1" t="n">
        <v>46163</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31548-2022</t>
        </is>
      </c>
      <c r="B558" s="1" t="n">
        <v>44775.39832175926</v>
      </c>
      <c r="C558" s="1" t="n">
        <v>46163</v>
      </c>
      <c r="D558" t="inlineStr">
        <is>
          <t>ÖSTERGÖTLANDS LÄN</t>
        </is>
      </c>
      <c r="E558" t="inlineStr">
        <is>
          <t>LINKÖPING</t>
        </is>
      </c>
      <c r="G558" t="n">
        <v>0.9</v>
      </c>
      <c r="H558" t="n">
        <v>0</v>
      </c>
      <c r="I558" t="n">
        <v>0</v>
      </c>
      <c r="J558" t="n">
        <v>0</v>
      </c>
      <c r="K558" t="n">
        <v>0</v>
      </c>
      <c r="L558" t="n">
        <v>0</v>
      </c>
      <c r="M558" t="n">
        <v>0</v>
      </c>
      <c r="N558" t="n">
        <v>0</v>
      </c>
      <c r="O558" t="n">
        <v>0</v>
      </c>
      <c r="P558" t="n">
        <v>0</v>
      </c>
      <c r="Q558" t="n">
        <v>0</v>
      </c>
      <c r="R558" s="2" t="inlineStr"/>
    </row>
    <row r="559" ht="15" customHeight="1">
      <c r="A559" t="inlineStr">
        <is>
          <t>A 61643-2025</t>
        </is>
      </c>
      <c r="B559" s="1" t="n">
        <v>46002.43575231481</v>
      </c>
      <c r="C559" s="1" t="n">
        <v>46163</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61645-2025</t>
        </is>
      </c>
      <c r="B560" s="1" t="n">
        <v>46002.43697916667</v>
      </c>
      <c r="C560" s="1" t="n">
        <v>46163</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62017-2024</t>
        </is>
      </c>
      <c r="B561" s="1" t="n">
        <v>45655.81140046296</v>
      </c>
      <c r="C561" s="1" t="n">
        <v>46163</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17785-2023</t>
        </is>
      </c>
      <c r="B562" s="1" t="n">
        <v>45037.55094907407</v>
      </c>
      <c r="C562" s="1" t="n">
        <v>46163</v>
      </c>
      <c r="D562" t="inlineStr">
        <is>
          <t>ÖSTERGÖTLANDS LÄN</t>
        </is>
      </c>
      <c r="E562" t="inlineStr">
        <is>
          <t>LINKÖPING</t>
        </is>
      </c>
      <c r="F562" t="inlineStr">
        <is>
          <t>Allmännings- och besparingsskogar</t>
        </is>
      </c>
      <c r="G562" t="n">
        <v>3.1</v>
      </c>
      <c r="H562" t="n">
        <v>0</v>
      </c>
      <c r="I562" t="n">
        <v>0</v>
      </c>
      <c r="J562" t="n">
        <v>0</v>
      </c>
      <c r="K562" t="n">
        <v>0</v>
      </c>
      <c r="L562" t="n">
        <v>0</v>
      </c>
      <c r="M562" t="n">
        <v>0</v>
      </c>
      <c r="N562" t="n">
        <v>0</v>
      </c>
      <c r="O562" t="n">
        <v>0</v>
      </c>
      <c r="P562" t="n">
        <v>0</v>
      </c>
      <c r="Q562" t="n">
        <v>0</v>
      </c>
      <c r="R562" s="2" t="inlineStr"/>
    </row>
    <row r="563" ht="15" customHeight="1">
      <c r="A563" t="inlineStr">
        <is>
          <t>A 22289-2026</t>
        </is>
      </c>
      <c r="B563" s="1" t="n">
        <v>46154.43842592592</v>
      </c>
      <c r="C563" s="1" t="n">
        <v>46163</v>
      </c>
      <c r="D563" t="inlineStr">
        <is>
          <t>ÖSTERGÖTLANDS LÄN</t>
        </is>
      </c>
      <c r="E563" t="inlineStr">
        <is>
          <t>LINKÖPING</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62515-2025</t>
        </is>
      </c>
      <c r="B564" s="1" t="n">
        <v>46007.60548611111</v>
      </c>
      <c r="C564" s="1" t="n">
        <v>46163</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22271-2026</t>
        </is>
      </c>
      <c r="B565" s="1" t="n">
        <v>46154.41280092593</v>
      </c>
      <c r="C565" s="1" t="n">
        <v>46163</v>
      </c>
      <c r="D565" t="inlineStr">
        <is>
          <t>ÖSTERGÖTLANDS LÄN</t>
        </is>
      </c>
      <c r="E565" t="inlineStr">
        <is>
          <t>LINKÖPING</t>
        </is>
      </c>
      <c r="F565" t="inlineStr">
        <is>
          <t>Sveaskog</t>
        </is>
      </c>
      <c r="G565" t="n">
        <v>6.5</v>
      </c>
      <c r="H565" t="n">
        <v>0</v>
      </c>
      <c r="I565" t="n">
        <v>0</v>
      </c>
      <c r="J565" t="n">
        <v>0</v>
      </c>
      <c r="K565" t="n">
        <v>0</v>
      </c>
      <c r="L565" t="n">
        <v>0</v>
      </c>
      <c r="M565" t="n">
        <v>0</v>
      </c>
      <c r="N565" t="n">
        <v>0</v>
      </c>
      <c r="O565" t="n">
        <v>0</v>
      </c>
      <c r="P565" t="n">
        <v>0</v>
      </c>
      <c r="Q565" t="n">
        <v>0</v>
      </c>
      <c r="R565" s="2" t="inlineStr"/>
    </row>
    <row r="566" ht="15" customHeight="1">
      <c r="A566" t="inlineStr">
        <is>
          <t>A 62686-2023</t>
        </is>
      </c>
      <c r="B566" s="1" t="n">
        <v>45271</v>
      </c>
      <c r="C566" s="1" t="n">
        <v>46163</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42044-2023</t>
        </is>
      </c>
      <c r="B567" s="1" t="n">
        <v>45177</v>
      </c>
      <c r="C567" s="1" t="n">
        <v>46163</v>
      </c>
      <c r="D567" t="inlineStr">
        <is>
          <t>ÖSTERGÖTLANDS LÄN</t>
        </is>
      </c>
      <c r="E567" t="inlineStr">
        <is>
          <t>LINKÖPING</t>
        </is>
      </c>
      <c r="G567" t="n">
        <v>3.9</v>
      </c>
      <c r="H567" t="n">
        <v>0</v>
      </c>
      <c r="I567" t="n">
        <v>0</v>
      </c>
      <c r="J567" t="n">
        <v>0</v>
      </c>
      <c r="K567" t="n">
        <v>0</v>
      </c>
      <c r="L567" t="n">
        <v>0</v>
      </c>
      <c r="M567" t="n">
        <v>0</v>
      </c>
      <c r="N567" t="n">
        <v>0</v>
      </c>
      <c r="O567" t="n">
        <v>0</v>
      </c>
      <c r="P567" t="n">
        <v>0</v>
      </c>
      <c r="Q567" t="n">
        <v>0</v>
      </c>
      <c r="R567" s="2" t="inlineStr"/>
    </row>
    <row r="568" ht="15" customHeight="1">
      <c r="A568" t="inlineStr">
        <is>
          <t>A 49656-2021</t>
        </is>
      </c>
      <c r="B568" s="1" t="n">
        <v>44454</v>
      </c>
      <c r="C568" s="1" t="n">
        <v>46163</v>
      </c>
      <c r="D568" t="inlineStr">
        <is>
          <t>ÖSTERGÖTLANDS LÄN</t>
        </is>
      </c>
      <c r="E568" t="inlineStr">
        <is>
          <t>LINKÖPING</t>
        </is>
      </c>
      <c r="G568" t="n">
        <v>2.3</v>
      </c>
      <c r="H568" t="n">
        <v>0</v>
      </c>
      <c r="I568" t="n">
        <v>0</v>
      </c>
      <c r="J568" t="n">
        <v>0</v>
      </c>
      <c r="K568" t="n">
        <v>0</v>
      </c>
      <c r="L568" t="n">
        <v>0</v>
      </c>
      <c r="M568" t="n">
        <v>0</v>
      </c>
      <c r="N568" t="n">
        <v>0</v>
      </c>
      <c r="O568" t="n">
        <v>0</v>
      </c>
      <c r="P568" t="n">
        <v>0</v>
      </c>
      <c r="Q568" t="n">
        <v>0</v>
      </c>
      <c r="R568" s="2" t="inlineStr"/>
    </row>
    <row r="569" ht="15" customHeight="1">
      <c r="A569" t="inlineStr">
        <is>
          <t>A 22272-2026</t>
        </is>
      </c>
      <c r="B569" s="1" t="n">
        <v>46154.41445601852</v>
      </c>
      <c r="C569" s="1" t="n">
        <v>46163</v>
      </c>
      <c r="D569" t="inlineStr">
        <is>
          <t>ÖSTERGÖTLANDS LÄN</t>
        </is>
      </c>
      <c r="E569" t="inlineStr">
        <is>
          <t>LINKÖPING</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22286-2026</t>
        </is>
      </c>
      <c r="B570" s="1" t="n">
        <v>46154.43436342593</v>
      </c>
      <c r="C570" s="1" t="n">
        <v>46163</v>
      </c>
      <c r="D570" t="inlineStr">
        <is>
          <t>ÖSTERGÖTLANDS LÄN</t>
        </is>
      </c>
      <c r="E570" t="inlineStr">
        <is>
          <t>LINKÖPING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62791-2025</t>
        </is>
      </c>
      <c r="B571" s="1" t="n">
        <v>46008.63266203704</v>
      </c>
      <c r="C571" s="1" t="n">
        <v>46163</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62686-2025</t>
        </is>
      </c>
      <c r="B572" s="1" t="n">
        <v>46008.46769675926</v>
      </c>
      <c r="C572" s="1" t="n">
        <v>46163</v>
      </c>
      <c r="D572" t="inlineStr">
        <is>
          <t>ÖSTERGÖTLANDS LÄN</t>
        </is>
      </c>
      <c r="E572" t="inlineStr">
        <is>
          <t>LINKÖPING</t>
        </is>
      </c>
      <c r="G572" t="n">
        <v>7.6</v>
      </c>
      <c r="H572" t="n">
        <v>0</v>
      </c>
      <c r="I572" t="n">
        <v>0</v>
      </c>
      <c r="J572" t="n">
        <v>0</v>
      </c>
      <c r="K572" t="n">
        <v>0</v>
      </c>
      <c r="L572" t="n">
        <v>0</v>
      </c>
      <c r="M572" t="n">
        <v>0</v>
      </c>
      <c r="N572" t="n">
        <v>0</v>
      </c>
      <c r="O572" t="n">
        <v>0</v>
      </c>
      <c r="P572" t="n">
        <v>0</v>
      </c>
      <c r="Q572" t="n">
        <v>0</v>
      </c>
      <c r="R572" s="2" t="inlineStr"/>
    </row>
    <row r="573" ht="15" customHeight="1">
      <c r="A573" t="inlineStr">
        <is>
          <t>A 22070-2026</t>
        </is>
      </c>
      <c r="B573" s="1" t="n">
        <v>46153.49255787037</v>
      </c>
      <c r="C573" s="1" t="n">
        <v>46163</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63147-2025</t>
        </is>
      </c>
      <c r="B574" s="1" t="n">
        <v>46010.35003472222</v>
      </c>
      <c r="C574" s="1" t="n">
        <v>46163</v>
      </c>
      <c r="D574" t="inlineStr">
        <is>
          <t>ÖSTERGÖTLANDS LÄN</t>
        </is>
      </c>
      <c r="E574" t="inlineStr">
        <is>
          <t>LINKÖPING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22284-2026</t>
        </is>
      </c>
      <c r="B575" s="1" t="n">
        <v>46154.4333449074</v>
      </c>
      <c r="C575" s="1" t="n">
        <v>46163</v>
      </c>
      <c r="D575" t="inlineStr">
        <is>
          <t>ÖSTERGÖTLANDS LÄN</t>
        </is>
      </c>
      <c r="E575" t="inlineStr">
        <is>
          <t>LINKÖPING</t>
        </is>
      </c>
      <c r="F575" t="inlineStr">
        <is>
          <t>Sveaskog</t>
        </is>
      </c>
      <c r="G575" t="n">
        <v>4.4</v>
      </c>
      <c r="H575" t="n">
        <v>0</v>
      </c>
      <c r="I575" t="n">
        <v>0</v>
      </c>
      <c r="J575" t="n">
        <v>0</v>
      </c>
      <c r="K575" t="n">
        <v>0</v>
      </c>
      <c r="L575" t="n">
        <v>0</v>
      </c>
      <c r="M575" t="n">
        <v>0</v>
      </c>
      <c r="N575" t="n">
        <v>0</v>
      </c>
      <c r="O575" t="n">
        <v>0</v>
      </c>
      <c r="P575" t="n">
        <v>0</v>
      </c>
      <c r="Q575" t="n">
        <v>0</v>
      </c>
      <c r="R575" s="2" t="inlineStr"/>
    </row>
    <row r="576" ht="15" customHeight="1">
      <c r="A576" t="inlineStr">
        <is>
          <t>A 22282-2026</t>
        </is>
      </c>
      <c r="B576" s="1" t="n">
        <v>46154.42961805555</v>
      </c>
      <c r="C576" s="1" t="n">
        <v>46163</v>
      </c>
      <c r="D576" t="inlineStr">
        <is>
          <t>ÖSTERGÖTLANDS LÄN</t>
        </is>
      </c>
      <c r="E576" t="inlineStr">
        <is>
          <t>LINKÖPING</t>
        </is>
      </c>
      <c r="F576" t="inlineStr">
        <is>
          <t>Sveaskog</t>
        </is>
      </c>
      <c r="G576" t="n">
        <v>6.7</v>
      </c>
      <c r="H576" t="n">
        <v>0</v>
      </c>
      <c r="I576" t="n">
        <v>0</v>
      </c>
      <c r="J576" t="n">
        <v>0</v>
      </c>
      <c r="K576" t="n">
        <v>0</v>
      </c>
      <c r="L576" t="n">
        <v>0</v>
      </c>
      <c r="M576" t="n">
        <v>0</v>
      </c>
      <c r="N576" t="n">
        <v>0</v>
      </c>
      <c r="O576" t="n">
        <v>0</v>
      </c>
      <c r="P576" t="n">
        <v>0</v>
      </c>
      <c r="Q576" t="n">
        <v>0</v>
      </c>
      <c r="R576" s="2" t="inlineStr"/>
    </row>
    <row r="577" ht="15" customHeight="1">
      <c r="A577" t="inlineStr">
        <is>
          <t>A 38230-2023</t>
        </is>
      </c>
      <c r="B577" s="1" t="n">
        <v>45161.55373842592</v>
      </c>
      <c r="C577" s="1" t="n">
        <v>46163</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45442-2024</t>
        </is>
      </c>
      <c r="B578" s="1" t="n">
        <v>45576.64189814815</v>
      </c>
      <c r="C578" s="1" t="n">
        <v>46163</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4908-2023</t>
        </is>
      </c>
      <c r="B579" s="1" t="n">
        <v>44958</v>
      </c>
      <c r="C579" s="1" t="n">
        <v>46163</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1265-2023</t>
        </is>
      </c>
      <c r="B580" s="1" t="n">
        <v>44936</v>
      </c>
      <c r="C580" s="1" t="n">
        <v>46163</v>
      </c>
      <c r="D580" t="inlineStr">
        <is>
          <t>ÖSTERGÖTLANDS LÄN</t>
        </is>
      </c>
      <c r="E580" t="inlineStr">
        <is>
          <t>LINKÖPING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63144-2025</t>
        </is>
      </c>
      <c r="B581" s="1" t="n">
        <v>46010.34716435185</v>
      </c>
      <c r="C581" s="1" t="n">
        <v>46163</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12411-2022</t>
        </is>
      </c>
      <c r="B582" s="1" t="n">
        <v>44638.21601851852</v>
      </c>
      <c r="C582" s="1" t="n">
        <v>46163</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23491-2024</t>
        </is>
      </c>
      <c r="B583" s="1" t="n">
        <v>45453</v>
      </c>
      <c r="C583" s="1" t="n">
        <v>46163</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70-2024</t>
        </is>
      </c>
      <c r="B584" s="1" t="n">
        <v>45293</v>
      </c>
      <c r="C584" s="1" t="n">
        <v>46163</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6054-2022</t>
        </is>
      </c>
      <c r="B585" s="1" t="n">
        <v>44599.53623842593</v>
      </c>
      <c r="C585" s="1" t="n">
        <v>46163</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31725-2022</t>
        </is>
      </c>
      <c r="B586" s="1" t="n">
        <v>44776.48541666667</v>
      </c>
      <c r="C586" s="1" t="n">
        <v>46163</v>
      </c>
      <c r="D586" t="inlineStr">
        <is>
          <t>ÖSTERGÖTLANDS LÄN</t>
        </is>
      </c>
      <c r="E586" t="inlineStr">
        <is>
          <t>LINKÖPING</t>
        </is>
      </c>
      <c r="G586" t="n">
        <v>2.6</v>
      </c>
      <c r="H586" t="n">
        <v>0</v>
      </c>
      <c r="I586" t="n">
        <v>0</v>
      </c>
      <c r="J586" t="n">
        <v>0</v>
      </c>
      <c r="K586" t="n">
        <v>0</v>
      </c>
      <c r="L586" t="n">
        <v>0</v>
      </c>
      <c r="M586" t="n">
        <v>0</v>
      </c>
      <c r="N586" t="n">
        <v>0</v>
      </c>
      <c r="O586" t="n">
        <v>0</v>
      </c>
      <c r="P586" t="n">
        <v>0</v>
      </c>
      <c r="Q586" t="n">
        <v>0</v>
      </c>
      <c r="R586" s="2" t="inlineStr"/>
    </row>
    <row r="587" ht="15" customHeight="1">
      <c r="A587" t="inlineStr">
        <is>
          <t>A 16967-2026</t>
        </is>
      </c>
      <c r="B587" s="1" t="n">
        <v>46114.36207175926</v>
      </c>
      <c r="C587" s="1" t="n">
        <v>46163</v>
      </c>
      <c r="D587" t="inlineStr">
        <is>
          <t>ÖSTERGÖTLANDS LÄN</t>
        </is>
      </c>
      <c r="E587" t="inlineStr">
        <is>
          <t>LINKÖPING</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1223-2026</t>
        </is>
      </c>
      <c r="B588" s="1" t="n">
        <v>46031.40233796297</v>
      </c>
      <c r="C588" s="1" t="n">
        <v>46163</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858-2026</t>
        </is>
      </c>
      <c r="B589" s="1" t="n">
        <v>46030.41200231481</v>
      </c>
      <c r="C589" s="1" t="n">
        <v>46163</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873-2026</t>
        </is>
      </c>
      <c r="B590" s="1" t="n">
        <v>46030.43818287037</v>
      </c>
      <c r="C590" s="1" t="n">
        <v>46163</v>
      </c>
      <c r="D590" t="inlineStr">
        <is>
          <t>ÖSTERGÖTLANDS LÄN</t>
        </is>
      </c>
      <c r="E590" t="inlineStr">
        <is>
          <t>LINKÖPING</t>
        </is>
      </c>
      <c r="G590" t="n">
        <v>4.1</v>
      </c>
      <c r="H590" t="n">
        <v>0</v>
      </c>
      <c r="I590" t="n">
        <v>0</v>
      </c>
      <c r="J590" t="n">
        <v>0</v>
      </c>
      <c r="K590" t="n">
        <v>0</v>
      </c>
      <c r="L590" t="n">
        <v>0</v>
      </c>
      <c r="M590" t="n">
        <v>0</v>
      </c>
      <c r="N590" t="n">
        <v>0</v>
      </c>
      <c r="O590" t="n">
        <v>0</v>
      </c>
      <c r="P590" t="n">
        <v>0</v>
      </c>
      <c r="Q590" t="n">
        <v>0</v>
      </c>
      <c r="R590" s="2" t="inlineStr"/>
    </row>
    <row r="591" ht="15" customHeight="1">
      <c r="A591" t="inlineStr">
        <is>
          <t>A 856-2026</t>
        </is>
      </c>
      <c r="B591" s="1" t="n">
        <v>46030.40644675926</v>
      </c>
      <c r="C591" s="1" t="n">
        <v>46163</v>
      </c>
      <c r="D591" t="inlineStr">
        <is>
          <t>ÖSTERGÖTLANDS LÄN</t>
        </is>
      </c>
      <c r="E591" t="inlineStr">
        <is>
          <t>LINKÖPING</t>
        </is>
      </c>
      <c r="G591" t="n">
        <v>6.4</v>
      </c>
      <c r="H591" t="n">
        <v>0</v>
      </c>
      <c r="I591" t="n">
        <v>0</v>
      </c>
      <c r="J591" t="n">
        <v>0</v>
      </c>
      <c r="K591" t="n">
        <v>0</v>
      </c>
      <c r="L591" t="n">
        <v>0</v>
      </c>
      <c r="M591" t="n">
        <v>0</v>
      </c>
      <c r="N591" t="n">
        <v>0</v>
      </c>
      <c r="O591" t="n">
        <v>0</v>
      </c>
      <c r="P591" t="n">
        <v>0</v>
      </c>
      <c r="Q591" t="n">
        <v>0</v>
      </c>
      <c r="R591" s="2" t="inlineStr"/>
    </row>
    <row r="592" ht="15" customHeight="1">
      <c r="A592" t="inlineStr">
        <is>
          <t>A 57391-2023</t>
        </is>
      </c>
      <c r="B592" s="1" t="n">
        <v>45245</v>
      </c>
      <c r="C592" s="1" t="n">
        <v>46163</v>
      </c>
      <c r="D592" t="inlineStr">
        <is>
          <t>ÖSTERGÖTLANDS LÄN</t>
        </is>
      </c>
      <c r="E592" t="inlineStr">
        <is>
          <t>LINKÖPING</t>
        </is>
      </c>
      <c r="F592" t="inlineStr">
        <is>
          <t>Övriga Aktiebolag</t>
        </is>
      </c>
      <c r="G592" t="n">
        <v>1.7</v>
      </c>
      <c r="H592" t="n">
        <v>0</v>
      </c>
      <c r="I592" t="n">
        <v>0</v>
      </c>
      <c r="J592" t="n">
        <v>0</v>
      </c>
      <c r="K592" t="n">
        <v>0</v>
      </c>
      <c r="L592" t="n">
        <v>0</v>
      </c>
      <c r="M592" t="n">
        <v>0</v>
      </c>
      <c r="N592" t="n">
        <v>0</v>
      </c>
      <c r="O592" t="n">
        <v>0</v>
      </c>
      <c r="P592" t="n">
        <v>0</v>
      </c>
      <c r="Q592" t="n">
        <v>0</v>
      </c>
      <c r="R592" s="2" t="inlineStr"/>
    </row>
    <row r="593" ht="15" customHeight="1">
      <c r="A593" t="inlineStr">
        <is>
          <t>A 7992-2023</t>
        </is>
      </c>
      <c r="B593" s="1" t="n">
        <v>44970</v>
      </c>
      <c r="C593" s="1" t="n">
        <v>46163</v>
      </c>
      <c r="D593" t="inlineStr">
        <is>
          <t>ÖSTERGÖTLANDS LÄN</t>
        </is>
      </c>
      <c r="E593" t="inlineStr">
        <is>
          <t>LINKÖPING</t>
        </is>
      </c>
      <c r="F593" t="inlineStr">
        <is>
          <t>Kommuner</t>
        </is>
      </c>
      <c r="G593" t="n">
        <v>1</v>
      </c>
      <c r="H593" t="n">
        <v>0</v>
      </c>
      <c r="I593" t="n">
        <v>0</v>
      </c>
      <c r="J593" t="n">
        <v>0</v>
      </c>
      <c r="K593" t="n">
        <v>0</v>
      </c>
      <c r="L593" t="n">
        <v>0</v>
      </c>
      <c r="M593" t="n">
        <v>0</v>
      </c>
      <c r="N593" t="n">
        <v>0</v>
      </c>
      <c r="O593" t="n">
        <v>0</v>
      </c>
      <c r="P593" t="n">
        <v>0</v>
      </c>
      <c r="Q593" t="n">
        <v>0</v>
      </c>
      <c r="R593" s="2" t="inlineStr"/>
    </row>
    <row r="594" ht="15" customHeight="1">
      <c r="A594" t="inlineStr">
        <is>
          <t>A 860-2026</t>
        </is>
      </c>
      <c r="B594" s="1" t="n">
        <v>46030.41974537037</v>
      </c>
      <c r="C594" s="1" t="n">
        <v>46163</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13689-2025</t>
        </is>
      </c>
      <c r="B595" s="1" t="n">
        <v>45737.31590277778</v>
      </c>
      <c r="C595" s="1" t="n">
        <v>46163</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13696-2025</t>
        </is>
      </c>
      <c r="B596" s="1" t="n">
        <v>45737.32273148148</v>
      </c>
      <c r="C596" s="1" t="n">
        <v>46163</v>
      </c>
      <c r="D596" t="inlineStr">
        <is>
          <t>ÖSTERGÖTLANDS LÄN</t>
        </is>
      </c>
      <c r="E596" t="inlineStr">
        <is>
          <t>LINKÖPING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1924-2024</t>
        </is>
      </c>
      <c r="B597" s="1" t="n">
        <v>45308</v>
      </c>
      <c r="C597" s="1" t="n">
        <v>46163</v>
      </c>
      <c r="D597" t="inlineStr">
        <is>
          <t>ÖSTERGÖTLANDS LÄN</t>
        </is>
      </c>
      <c r="E597" t="inlineStr">
        <is>
          <t>LINKÖPING</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940-2026</t>
        </is>
      </c>
      <c r="B598" s="1" t="n">
        <v>46030.53052083333</v>
      </c>
      <c r="C598" s="1" t="n">
        <v>46163</v>
      </c>
      <c r="D598" t="inlineStr">
        <is>
          <t>ÖSTERGÖTLANDS LÄN</t>
        </is>
      </c>
      <c r="E598" t="inlineStr">
        <is>
          <t>LINKÖPING</t>
        </is>
      </c>
      <c r="F598" t="inlineStr">
        <is>
          <t>Allmännings- och besparingsskogar</t>
        </is>
      </c>
      <c r="G598" t="n">
        <v>2.9</v>
      </c>
      <c r="H598" t="n">
        <v>0</v>
      </c>
      <c r="I598" t="n">
        <v>0</v>
      </c>
      <c r="J598" t="n">
        <v>0</v>
      </c>
      <c r="K598" t="n">
        <v>0</v>
      </c>
      <c r="L598" t="n">
        <v>0</v>
      </c>
      <c r="M598" t="n">
        <v>0</v>
      </c>
      <c r="N598" t="n">
        <v>0</v>
      </c>
      <c r="O598" t="n">
        <v>0</v>
      </c>
      <c r="P598" t="n">
        <v>0</v>
      </c>
      <c r="Q598" t="n">
        <v>0</v>
      </c>
      <c r="R598" s="2" t="inlineStr"/>
    </row>
    <row r="599" ht="15" customHeight="1">
      <c r="A599" t="inlineStr">
        <is>
          <t>A 944-2026</t>
        </is>
      </c>
      <c r="B599" s="1" t="n">
        <v>46030.53461805556</v>
      </c>
      <c r="C599" s="1" t="n">
        <v>46163</v>
      </c>
      <c r="D599" t="inlineStr">
        <is>
          <t>ÖSTERGÖTLANDS LÄN</t>
        </is>
      </c>
      <c r="E599" t="inlineStr">
        <is>
          <t>LINKÖPING</t>
        </is>
      </c>
      <c r="F599" t="inlineStr">
        <is>
          <t>Allmännings- och besparingsskogar</t>
        </is>
      </c>
      <c r="G599" t="n">
        <v>0.9</v>
      </c>
      <c r="H599" t="n">
        <v>0</v>
      </c>
      <c r="I599" t="n">
        <v>0</v>
      </c>
      <c r="J599" t="n">
        <v>0</v>
      </c>
      <c r="K599" t="n">
        <v>0</v>
      </c>
      <c r="L599" t="n">
        <v>0</v>
      </c>
      <c r="M599" t="n">
        <v>0</v>
      </c>
      <c r="N599" t="n">
        <v>0</v>
      </c>
      <c r="O599" t="n">
        <v>0</v>
      </c>
      <c r="P599" t="n">
        <v>0</v>
      </c>
      <c r="Q599" t="n">
        <v>0</v>
      </c>
      <c r="R599" s="2" t="inlineStr"/>
    </row>
    <row r="600" ht="15" customHeight="1">
      <c r="A600" t="inlineStr">
        <is>
          <t>A 32346-2023</t>
        </is>
      </c>
      <c r="B600" s="1" t="n">
        <v>45120</v>
      </c>
      <c r="C600" s="1" t="n">
        <v>46163</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927-2026</t>
        </is>
      </c>
      <c r="B601" s="1" t="n">
        <v>46030.50560185185</v>
      </c>
      <c r="C601" s="1" t="n">
        <v>46163</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859-2026</t>
        </is>
      </c>
      <c r="B602" s="1" t="n">
        <v>46030.41450231482</v>
      </c>
      <c r="C602" s="1" t="n">
        <v>46163</v>
      </c>
      <c r="D602" t="inlineStr">
        <is>
          <t>ÖSTERGÖTLANDS LÄN</t>
        </is>
      </c>
      <c r="E602" t="inlineStr">
        <is>
          <t>LINKÖPING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50508-2024</t>
        </is>
      </c>
      <c r="B603" s="1" t="n">
        <v>45601.53907407408</v>
      </c>
      <c r="C603" s="1" t="n">
        <v>46163</v>
      </c>
      <c r="D603" t="inlineStr">
        <is>
          <t>ÖSTERGÖTLANDS LÄN</t>
        </is>
      </c>
      <c r="E603" t="inlineStr">
        <is>
          <t>LINKÖPING</t>
        </is>
      </c>
      <c r="F603" t="inlineStr">
        <is>
          <t>Övriga Aktiebolag</t>
        </is>
      </c>
      <c r="G603" t="n">
        <v>2</v>
      </c>
      <c r="H603" t="n">
        <v>0</v>
      </c>
      <c r="I603" t="n">
        <v>0</v>
      </c>
      <c r="J603" t="n">
        <v>0</v>
      </c>
      <c r="K603" t="n">
        <v>0</v>
      </c>
      <c r="L603" t="n">
        <v>0</v>
      </c>
      <c r="M603" t="n">
        <v>0</v>
      </c>
      <c r="N603" t="n">
        <v>0</v>
      </c>
      <c r="O603" t="n">
        <v>0</v>
      </c>
      <c r="P603" t="n">
        <v>0</v>
      </c>
      <c r="Q603" t="n">
        <v>0</v>
      </c>
      <c r="R603" s="2" t="inlineStr"/>
    </row>
    <row r="604" ht="15" customHeight="1">
      <c r="A604" t="inlineStr">
        <is>
          <t>A 2030-2026</t>
        </is>
      </c>
      <c r="B604" s="1" t="n">
        <v>46035.73590277778</v>
      </c>
      <c r="C604" s="1" t="n">
        <v>46163</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7808-2022</t>
        </is>
      </c>
      <c r="B605" s="1" t="n">
        <v>44608</v>
      </c>
      <c r="C605" s="1" t="n">
        <v>46163</v>
      </c>
      <c r="D605" t="inlineStr">
        <is>
          <t>ÖSTERGÖTLANDS LÄN</t>
        </is>
      </c>
      <c r="E605" t="inlineStr">
        <is>
          <t>LINKÖPING</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27844-2024</t>
        </is>
      </c>
      <c r="B606" s="1" t="n">
        <v>45475.63047453704</v>
      </c>
      <c r="C606" s="1" t="n">
        <v>46163</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40810-2022</t>
        </is>
      </c>
      <c r="B607" s="1" t="n">
        <v>44824</v>
      </c>
      <c r="C607" s="1" t="n">
        <v>46163</v>
      </c>
      <c r="D607" t="inlineStr">
        <is>
          <t>ÖSTERGÖTLANDS LÄN</t>
        </is>
      </c>
      <c r="E607" t="inlineStr">
        <is>
          <t>LINKÖPING</t>
        </is>
      </c>
      <c r="G607" t="n">
        <v>2.8</v>
      </c>
      <c r="H607" t="n">
        <v>0</v>
      </c>
      <c r="I607" t="n">
        <v>0</v>
      </c>
      <c r="J607" t="n">
        <v>0</v>
      </c>
      <c r="K607" t="n">
        <v>0</v>
      </c>
      <c r="L607" t="n">
        <v>0</v>
      </c>
      <c r="M607" t="n">
        <v>0</v>
      </c>
      <c r="N607" t="n">
        <v>0</v>
      </c>
      <c r="O607" t="n">
        <v>0</v>
      </c>
      <c r="P607" t="n">
        <v>0</v>
      </c>
      <c r="Q607" t="n">
        <v>0</v>
      </c>
      <c r="R607" s="2" t="inlineStr"/>
    </row>
    <row r="608" ht="15" customHeight="1">
      <c r="A608" t="inlineStr">
        <is>
          <t>A 2031-2026</t>
        </is>
      </c>
      <c r="B608" s="1" t="n">
        <v>46035.74182870371</v>
      </c>
      <c r="C608" s="1" t="n">
        <v>46163</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51559-2024</t>
        </is>
      </c>
      <c r="B609" s="1" t="n">
        <v>45604.61431712963</v>
      </c>
      <c r="C609" s="1" t="n">
        <v>46163</v>
      </c>
      <c r="D609" t="inlineStr">
        <is>
          <t>ÖSTERGÖTLANDS LÄN</t>
        </is>
      </c>
      <c r="E609" t="inlineStr">
        <is>
          <t>LINKÖPING</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49979-2022</t>
        </is>
      </c>
      <c r="B610" s="1" t="n">
        <v>44865</v>
      </c>
      <c r="C610" s="1" t="n">
        <v>46163</v>
      </c>
      <c r="D610" t="inlineStr">
        <is>
          <t>ÖSTERGÖTLANDS LÄN</t>
        </is>
      </c>
      <c r="E610" t="inlineStr">
        <is>
          <t>LINKÖPING</t>
        </is>
      </c>
      <c r="F610" t="inlineStr">
        <is>
          <t>Övriga Aktiebolag</t>
        </is>
      </c>
      <c r="G610" t="n">
        <v>11.4</v>
      </c>
      <c r="H610" t="n">
        <v>0</v>
      </c>
      <c r="I610" t="n">
        <v>0</v>
      </c>
      <c r="J610" t="n">
        <v>0</v>
      </c>
      <c r="K610" t="n">
        <v>0</v>
      </c>
      <c r="L610" t="n">
        <v>0</v>
      </c>
      <c r="M610" t="n">
        <v>0</v>
      </c>
      <c r="N610" t="n">
        <v>0</v>
      </c>
      <c r="O610" t="n">
        <v>0</v>
      </c>
      <c r="P610" t="n">
        <v>0</v>
      </c>
      <c r="Q610" t="n">
        <v>0</v>
      </c>
      <c r="R610" s="2" t="inlineStr"/>
    </row>
    <row r="611" ht="15" customHeight="1">
      <c r="A611" t="inlineStr">
        <is>
          <t>A 39219-2021</t>
        </is>
      </c>
      <c r="B611" s="1" t="n">
        <v>44413</v>
      </c>
      <c r="C611" s="1" t="n">
        <v>46163</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39224-2021</t>
        </is>
      </c>
      <c r="B612" s="1" t="n">
        <v>44413</v>
      </c>
      <c r="C612" s="1" t="n">
        <v>46163</v>
      </c>
      <c r="D612" t="inlineStr">
        <is>
          <t>ÖSTERGÖTLANDS LÄN</t>
        </is>
      </c>
      <c r="E612" t="inlineStr">
        <is>
          <t>LINKÖPING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62495-2023</t>
        </is>
      </c>
      <c r="B613" s="1" t="n">
        <v>45268.59717592593</v>
      </c>
      <c r="C613" s="1" t="n">
        <v>46163</v>
      </c>
      <c r="D613" t="inlineStr">
        <is>
          <t>ÖSTERGÖTLANDS LÄN</t>
        </is>
      </c>
      <c r="E613" t="inlineStr">
        <is>
          <t>LINKÖPING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29413-2023</t>
        </is>
      </c>
      <c r="B614" s="1" t="n">
        <v>45106.46465277778</v>
      </c>
      <c r="C614" s="1" t="n">
        <v>46163</v>
      </c>
      <c r="D614" t="inlineStr">
        <is>
          <t>ÖSTERGÖTLANDS LÄN</t>
        </is>
      </c>
      <c r="E614" t="inlineStr">
        <is>
          <t>LINKÖPING</t>
        </is>
      </c>
      <c r="G614" t="n">
        <v>8</v>
      </c>
      <c r="H614" t="n">
        <v>0</v>
      </c>
      <c r="I614" t="n">
        <v>0</v>
      </c>
      <c r="J614" t="n">
        <v>0</v>
      </c>
      <c r="K614" t="n">
        <v>0</v>
      </c>
      <c r="L614" t="n">
        <v>0</v>
      </c>
      <c r="M614" t="n">
        <v>0</v>
      </c>
      <c r="N614" t="n">
        <v>0</v>
      </c>
      <c r="O614" t="n">
        <v>0</v>
      </c>
      <c r="P614" t="n">
        <v>0</v>
      </c>
      <c r="Q614" t="n">
        <v>0</v>
      </c>
      <c r="R614" s="2" t="inlineStr"/>
    </row>
    <row r="615" ht="15" customHeight="1">
      <c r="A615" t="inlineStr">
        <is>
          <t>A 3045-2026</t>
        </is>
      </c>
      <c r="B615" s="1" t="n">
        <v>46038.74047453704</v>
      </c>
      <c r="C615" s="1" t="n">
        <v>46163</v>
      </c>
      <c r="D615" t="inlineStr">
        <is>
          <t>ÖSTERGÖTLANDS LÄN</t>
        </is>
      </c>
      <c r="E615" t="inlineStr">
        <is>
          <t>LINKÖPING</t>
        </is>
      </c>
      <c r="G615" t="n">
        <v>2</v>
      </c>
      <c r="H615" t="n">
        <v>0</v>
      </c>
      <c r="I615" t="n">
        <v>0</v>
      </c>
      <c r="J615" t="n">
        <v>0</v>
      </c>
      <c r="K615" t="n">
        <v>0</v>
      </c>
      <c r="L615" t="n">
        <v>0</v>
      </c>
      <c r="M615" t="n">
        <v>0</v>
      </c>
      <c r="N615" t="n">
        <v>0</v>
      </c>
      <c r="O615" t="n">
        <v>0</v>
      </c>
      <c r="P615" t="n">
        <v>0</v>
      </c>
      <c r="Q615" t="n">
        <v>0</v>
      </c>
      <c r="R615" s="2" t="inlineStr"/>
    </row>
    <row r="616" ht="15" customHeight="1">
      <c r="A616" t="inlineStr">
        <is>
          <t>A 25948-2023</t>
        </is>
      </c>
      <c r="B616" s="1" t="n">
        <v>45090</v>
      </c>
      <c r="C616" s="1" t="n">
        <v>46163</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1627-2023</t>
        </is>
      </c>
      <c r="B617" s="1" t="n">
        <v>44937</v>
      </c>
      <c r="C617" s="1" t="n">
        <v>46163</v>
      </c>
      <c r="D617" t="inlineStr">
        <is>
          <t>ÖSTERGÖTLANDS LÄN</t>
        </is>
      </c>
      <c r="E617" t="inlineStr">
        <is>
          <t>LINKÖPING</t>
        </is>
      </c>
      <c r="G617" t="n">
        <v>10.8</v>
      </c>
      <c r="H617" t="n">
        <v>0</v>
      </c>
      <c r="I617" t="n">
        <v>0</v>
      </c>
      <c r="J617" t="n">
        <v>0</v>
      </c>
      <c r="K617" t="n">
        <v>0</v>
      </c>
      <c r="L617" t="n">
        <v>0</v>
      </c>
      <c r="M617" t="n">
        <v>0</v>
      </c>
      <c r="N617" t="n">
        <v>0</v>
      </c>
      <c r="O617" t="n">
        <v>0</v>
      </c>
      <c r="P617" t="n">
        <v>0</v>
      </c>
      <c r="Q617" t="n">
        <v>0</v>
      </c>
      <c r="R617" s="2" t="inlineStr"/>
    </row>
    <row r="618" ht="15" customHeight="1">
      <c r="A618" t="inlineStr">
        <is>
          <t>A 3043-2026</t>
        </is>
      </c>
      <c r="B618" s="1" t="n">
        <v>46038.73675925926</v>
      </c>
      <c r="C618" s="1" t="n">
        <v>46163</v>
      </c>
      <c r="D618" t="inlineStr">
        <is>
          <t>ÖSTERGÖTLANDS LÄN</t>
        </is>
      </c>
      <c r="E618" t="inlineStr">
        <is>
          <t>LINKÖPING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30481-2023</t>
        </is>
      </c>
      <c r="B619" s="1" t="n">
        <v>45111</v>
      </c>
      <c r="C619" s="1" t="n">
        <v>46163</v>
      </c>
      <c r="D619" t="inlineStr">
        <is>
          <t>ÖSTERGÖTLANDS LÄN</t>
        </is>
      </c>
      <c r="E619" t="inlineStr">
        <is>
          <t>LINKÖPING</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21782-2024</t>
        </is>
      </c>
      <c r="B620" s="1" t="n">
        <v>45442.63368055555</v>
      </c>
      <c r="C620" s="1" t="n">
        <v>46163</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3044-2026</t>
        </is>
      </c>
      <c r="B621" s="1" t="n">
        <v>46038.73855324074</v>
      </c>
      <c r="C621" s="1" t="n">
        <v>46163</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11671-2023</t>
        </is>
      </c>
      <c r="B622" s="1" t="n">
        <v>44994.48125</v>
      </c>
      <c r="C622" s="1" t="n">
        <v>46163</v>
      </c>
      <c r="D622" t="inlineStr">
        <is>
          <t>ÖSTERGÖTLANDS LÄN</t>
        </is>
      </c>
      <c r="E622" t="inlineStr">
        <is>
          <t>LINKÖPING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3046-2026</t>
        </is>
      </c>
      <c r="B623" s="1" t="n">
        <v>46038.74182870371</v>
      </c>
      <c r="C623" s="1" t="n">
        <v>46163</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3013-2023</t>
        </is>
      </c>
      <c r="B624" s="1" t="n">
        <v>44945.8092824074</v>
      </c>
      <c r="C624" s="1" t="n">
        <v>46163</v>
      </c>
      <c r="D624" t="inlineStr">
        <is>
          <t>ÖSTERGÖTLANDS LÄN</t>
        </is>
      </c>
      <c r="E624" t="inlineStr">
        <is>
          <t>LINKÖPING</t>
        </is>
      </c>
      <c r="G624" t="n">
        <v>5.2</v>
      </c>
      <c r="H624" t="n">
        <v>0</v>
      </c>
      <c r="I624" t="n">
        <v>0</v>
      </c>
      <c r="J624" t="n">
        <v>0</v>
      </c>
      <c r="K624" t="n">
        <v>0</v>
      </c>
      <c r="L624" t="n">
        <v>0</v>
      </c>
      <c r="M624" t="n">
        <v>0</v>
      </c>
      <c r="N624" t="n">
        <v>0</v>
      </c>
      <c r="O624" t="n">
        <v>0</v>
      </c>
      <c r="P624" t="n">
        <v>0</v>
      </c>
      <c r="Q624" t="n">
        <v>0</v>
      </c>
      <c r="R624" s="2" t="inlineStr"/>
    </row>
    <row r="625" ht="15" customHeight="1">
      <c r="A625" t="inlineStr">
        <is>
          <t>A 17513-2026</t>
        </is>
      </c>
      <c r="B625" s="1" t="n">
        <v>46120</v>
      </c>
      <c r="C625" s="1" t="n">
        <v>46163</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49747-2024</t>
        </is>
      </c>
      <c r="B626" s="1" t="n">
        <v>45596</v>
      </c>
      <c r="C626" s="1" t="n">
        <v>46163</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42997-2021</t>
        </is>
      </c>
      <c r="B627" s="1" t="n">
        <v>44431.45556712963</v>
      </c>
      <c r="C627" s="1" t="n">
        <v>46163</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3011-2023</t>
        </is>
      </c>
      <c r="B628" s="1" t="n">
        <v>44945</v>
      </c>
      <c r="C628" s="1" t="n">
        <v>46163</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23735-2023</t>
        </is>
      </c>
      <c r="B629" s="1" t="n">
        <v>45077</v>
      </c>
      <c r="C629" s="1" t="n">
        <v>46163</v>
      </c>
      <c r="D629" t="inlineStr">
        <is>
          <t>ÖSTERGÖTLANDS LÄN</t>
        </is>
      </c>
      <c r="E629" t="inlineStr">
        <is>
          <t>LINKÖPING</t>
        </is>
      </c>
      <c r="G629" t="n">
        <v>1.7</v>
      </c>
      <c r="H629" t="n">
        <v>0</v>
      </c>
      <c r="I629" t="n">
        <v>0</v>
      </c>
      <c r="J629" t="n">
        <v>0</v>
      </c>
      <c r="K629" t="n">
        <v>0</v>
      </c>
      <c r="L629" t="n">
        <v>0</v>
      </c>
      <c r="M629" t="n">
        <v>0</v>
      </c>
      <c r="N629" t="n">
        <v>0</v>
      </c>
      <c r="O629" t="n">
        <v>0</v>
      </c>
      <c r="P629" t="n">
        <v>0</v>
      </c>
      <c r="Q629" t="n">
        <v>0</v>
      </c>
      <c r="R629" s="2" t="inlineStr"/>
    </row>
    <row r="630" ht="15" customHeight="1">
      <c r="A630" t="inlineStr">
        <is>
          <t>A 45821-2024</t>
        </is>
      </c>
      <c r="B630" s="1" t="n">
        <v>45579.75803240741</v>
      </c>
      <c r="C630" s="1" t="n">
        <v>46163</v>
      </c>
      <c r="D630" t="inlineStr">
        <is>
          <t>ÖSTERGÖTLANDS LÄN</t>
        </is>
      </c>
      <c r="E630" t="inlineStr">
        <is>
          <t>LINKÖPING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4469-2026</t>
        </is>
      </c>
      <c r="B631" s="1" t="n">
        <v>46045.65662037037</v>
      </c>
      <c r="C631" s="1" t="n">
        <v>46163</v>
      </c>
      <c r="D631" t="inlineStr">
        <is>
          <t>ÖSTERGÖTLANDS LÄN</t>
        </is>
      </c>
      <c r="E631" t="inlineStr">
        <is>
          <t>LINKÖPING</t>
        </is>
      </c>
      <c r="F631" t="inlineStr">
        <is>
          <t>Övriga Aktiebolag</t>
        </is>
      </c>
      <c r="G631" t="n">
        <v>3.8</v>
      </c>
      <c r="H631" t="n">
        <v>0</v>
      </c>
      <c r="I631" t="n">
        <v>0</v>
      </c>
      <c r="J631" t="n">
        <v>0</v>
      </c>
      <c r="K631" t="n">
        <v>0</v>
      </c>
      <c r="L631" t="n">
        <v>0</v>
      </c>
      <c r="M631" t="n">
        <v>0</v>
      </c>
      <c r="N631" t="n">
        <v>0</v>
      </c>
      <c r="O631" t="n">
        <v>0</v>
      </c>
      <c r="P631" t="n">
        <v>0</v>
      </c>
      <c r="Q631" t="n">
        <v>0</v>
      </c>
      <c r="R631" s="2" t="inlineStr"/>
    </row>
    <row r="632" ht="15" customHeight="1">
      <c r="A632" t="inlineStr">
        <is>
          <t>A 38886-2024</t>
        </is>
      </c>
      <c r="B632" s="1" t="n">
        <v>45547.66443287037</v>
      </c>
      <c r="C632" s="1" t="n">
        <v>46163</v>
      </c>
      <c r="D632" t="inlineStr">
        <is>
          <t>ÖSTERGÖTLANDS LÄN</t>
        </is>
      </c>
      <c r="E632" t="inlineStr">
        <is>
          <t>LINKÖPING</t>
        </is>
      </c>
      <c r="G632" t="n">
        <v>5.3</v>
      </c>
      <c r="H632" t="n">
        <v>0</v>
      </c>
      <c r="I632" t="n">
        <v>0</v>
      </c>
      <c r="J632" t="n">
        <v>0</v>
      </c>
      <c r="K632" t="n">
        <v>0</v>
      </c>
      <c r="L632" t="n">
        <v>0</v>
      </c>
      <c r="M632" t="n">
        <v>0</v>
      </c>
      <c r="N632" t="n">
        <v>0</v>
      </c>
      <c r="O632" t="n">
        <v>0</v>
      </c>
      <c r="P632" t="n">
        <v>0</v>
      </c>
      <c r="Q632" t="n">
        <v>0</v>
      </c>
      <c r="R632" s="2" t="inlineStr"/>
    </row>
    <row r="633" ht="15" customHeight="1">
      <c r="A633" t="inlineStr">
        <is>
          <t>A 53647-2021</t>
        </is>
      </c>
      <c r="B633" s="1" t="n">
        <v>44469</v>
      </c>
      <c r="C633" s="1" t="n">
        <v>46163</v>
      </c>
      <c r="D633" t="inlineStr">
        <is>
          <t>ÖSTERGÖTLANDS LÄN</t>
        </is>
      </c>
      <c r="E633" t="inlineStr">
        <is>
          <t>LINKÖPING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6599-2023</t>
        </is>
      </c>
      <c r="B634" s="1" t="n">
        <v>44966.52603009259</v>
      </c>
      <c r="C634" s="1" t="n">
        <v>46163</v>
      </c>
      <c r="D634" t="inlineStr">
        <is>
          <t>ÖSTERGÖTLANDS LÄN</t>
        </is>
      </c>
      <c r="E634" t="inlineStr">
        <is>
          <t>LINKÖPING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5545-2026</t>
        </is>
      </c>
      <c r="B635" s="1" t="n">
        <v>46050.70089120371</v>
      </c>
      <c r="C635" s="1" t="n">
        <v>46163</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35735-2023</t>
        </is>
      </c>
      <c r="B636" s="1" t="n">
        <v>45147</v>
      </c>
      <c r="C636" s="1" t="n">
        <v>46163</v>
      </c>
      <c r="D636" t="inlineStr">
        <is>
          <t>ÖSTERGÖTLANDS LÄN</t>
        </is>
      </c>
      <c r="E636" t="inlineStr">
        <is>
          <t>LINKÖPING</t>
        </is>
      </c>
      <c r="G636" t="n">
        <v>2.8</v>
      </c>
      <c r="H636" t="n">
        <v>0</v>
      </c>
      <c r="I636" t="n">
        <v>0</v>
      </c>
      <c r="J636" t="n">
        <v>0</v>
      </c>
      <c r="K636" t="n">
        <v>0</v>
      </c>
      <c r="L636" t="n">
        <v>0</v>
      </c>
      <c r="M636" t="n">
        <v>0</v>
      </c>
      <c r="N636" t="n">
        <v>0</v>
      </c>
      <c r="O636" t="n">
        <v>0</v>
      </c>
      <c r="P636" t="n">
        <v>0</v>
      </c>
      <c r="Q636" t="n">
        <v>0</v>
      </c>
      <c r="R636" s="2" t="inlineStr"/>
    </row>
    <row r="637" ht="15" customHeight="1">
      <c r="A637" t="inlineStr">
        <is>
          <t>A 45831-2024</t>
        </is>
      </c>
      <c r="B637" s="1" t="n">
        <v>45579.90508101852</v>
      </c>
      <c r="C637" s="1" t="n">
        <v>46163</v>
      </c>
      <c r="D637" t="inlineStr">
        <is>
          <t>ÖSTERGÖTLANDS LÄN</t>
        </is>
      </c>
      <c r="E637" t="inlineStr">
        <is>
          <t>LINKÖPING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17157-2024</t>
        </is>
      </c>
      <c r="B638" s="1" t="n">
        <v>45412.70567129629</v>
      </c>
      <c r="C638" s="1" t="n">
        <v>46163</v>
      </c>
      <c r="D638" t="inlineStr">
        <is>
          <t>ÖSTERGÖTLANDS LÄN</t>
        </is>
      </c>
      <c r="E638" t="inlineStr">
        <is>
          <t>LINKÖPING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37154-2023</t>
        </is>
      </c>
      <c r="B639" s="1" t="n">
        <v>45155</v>
      </c>
      <c r="C639" s="1" t="n">
        <v>46163</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53812-2023</t>
        </is>
      </c>
      <c r="B640" s="1" t="n">
        <v>45231.39583333334</v>
      </c>
      <c r="C640" s="1" t="n">
        <v>46163</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53830-2023</t>
        </is>
      </c>
      <c r="B641" s="1" t="n">
        <v>45230</v>
      </c>
      <c r="C641" s="1" t="n">
        <v>46163</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56841-2023</t>
        </is>
      </c>
      <c r="B642" s="1" t="n">
        <v>45244</v>
      </c>
      <c r="C642" s="1" t="n">
        <v>46163</v>
      </c>
      <c r="D642" t="inlineStr">
        <is>
          <t>ÖSTERGÖTLANDS LÄN</t>
        </is>
      </c>
      <c r="E642" t="inlineStr">
        <is>
          <t>LINKÖPING</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6384-2026</t>
        </is>
      </c>
      <c r="B643" s="1" t="n">
        <v>46055.63732638889</v>
      </c>
      <c r="C643" s="1" t="n">
        <v>46163</v>
      </c>
      <c r="D643" t="inlineStr">
        <is>
          <t>ÖSTERGÖTLANDS LÄN</t>
        </is>
      </c>
      <c r="E643" t="inlineStr">
        <is>
          <t>LINKÖPING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56741-2023</t>
        </is>
      </c>
      <c r="B644" s="1" t="n">
        <v>45244</v>
      </c>
      <c r="C644" s="1" t="n">
        <v>46163</v>
      </c>
      <c r="D644" t="inlineStr">
        <is>
          <t>ÖSTERGÖTLANDS LÄN</t>
        </is>
      </c>
      <c r="E644" t="inlineStr">
        <is>
          <t>LINKÖPING</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53816-2023</t>
        </is>
      </c>
      <c r="B645" s="1" t="n">
        <v>45231.40012731482</v>
      </c>
      <c r="C645" s="1" t="n">
        <v>46163</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6164-2026</t>
        </is>
      </c>
      <c r="B646" s="1" t="n">
        <v>46055.32596064815</v>
      </c>
      <c r="C646" s="1" t="n">
        <v>46163</v>
      </c>
      <c r="D646" t="inlineStr">
        <is>
          <t>ÖSTERGÖTLANDS LÄN</t>
        </is>
      </c>
      <c r="E646" t="inlineStr">
        <is>
          <t>LINKÖPING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63935-2021</t>
        </is>
      </c>
      <c r="B647" s="1" t="n">
        <v>44509</v>
      </c>
      <c r="C647" s="1" t="n">
        <v>46163</v>
      </c>
      <c r="D647" t="inlineStr">
        <is>
          <t>ÖSTERGÖTLANDS LÄN</t>
        </is>
      </c>
      <c r="E647" t="inlineStr">
        <is>
          <t>LINKÖPING</t>
        </is>
      </c>
      <c r="F647" t="inlineStr">
        <is>
          <t>Övriga statliga verk och myndigheter</t>
        </is>
      </c>
      <c r="G647" t="n">
        <v>2.8</v>
      </c>
      <c r="H647" t="n">
        <v>0</v>
      </c>
      <c r="I647" t="n">
        <v>0</v>
      </c>
      <c r="J647" t="n">
        <v>0</v>
      </c>
      <c r="K647" t="n">
        <v>0</v>
      </c>
      <c r="L647" t="n">
        <v>0</v>
      </c>
      <c r="M647" t="n">
        <v>0</v>
      </c>
      <c r="N647" t="n">
        <v>0</v>
      </c>
      <c r="O647" t="n">
        <v>0</v>
      </c>
      <c r="P647" t="n">
        <v>0</v>
      </c>
      <c r="Q647" t="n">
        <v>0</v>
      </c>
      <c r="R647" s="2" t="inlineStr"/>
    </row>
    <row r="648" ht="15" customHeight="1">
      <c r="A648" t="inlineStr">
        <is>
          <t>A 6726-2024</t>
        </is>
      </c>
      <c r="B648" s="1" t="n">
        <v>45341</v>
      </c>
      <c r="C648" s="1" t="n">
        <v>46163</v>
      </c>
      <c r="D648" t="inlineStr">
        <is>
          <t>ÖSTERGÖTLANDS LÄN</t>
        </is>
      </c>
      <c r="E648" t="inlineStr">
        <is>
          <t>LINKÖPING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7133-2026</t>
        </is>
      </c>
      <c r="B649" s="1" t="n">
        <v>46057</v>
      </c>
      <c r="C649" s="1" t="n">
        <v>46163</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3007-2023</t>
        </is>
      </c>
      <c r="B650" s="1" t="n">
        <v>44945</v>
      </c>
      <c r="C650" s="1" t="n">
        <v>46163</v>
      </c>
      <c r="D650" t="inlineStr">
        <is>
          <t>ÖSTERGÖTLANDS LÄN</t>
        </is>
      </c>
      <c r="E650" t="inlineStr">
        <is>
          <t>LINKÖPING</t>
        </is>
      </c>
      <c r="G650" t="n">
        <v>2.6</v>
      </c>
      <c r="H650" t="n">
        <v>0</v>
      </c>
      <c r="I650" t="n">
        <v>0</v>
      </c>
      <c r="J650" t="n">
        <v>0</v>
      </c>
      <c r="K650" t="n">
        <v>0</v>
      </c>
      <c r="L650" t="n">
        <v>0</v>
      </c>
      <c r="M650" t="n">
        <v>0</v>
      </c>
      <c r="N650" t="n">
        <v>0</v>
      </c>
      <c r="O650" t="n">
        <v>0</v>
      </c>
      <c r="P650" t="n">
        <v>0</v>
      </c>
      <c r="Q650" t="n">
        <v>0</v>
      </c>
      <c r="R650" s="2" t="inlineStr"/>
    </row>
    <row r="651" ht="15" customHeight="1">
      <c r="A651" t="inlineStr">
        <is>
          <t>A 29309-2024</t>
        </is>
      </c>
      <c r="B651" s="1" t="n">
        <v>45483</v>
      </c>
      <c r="C651" s="1" t="n">
        <v>46163</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53411-2023</t>
        </is>
      </c>
      <c r="B652" s="1" t="n">
        <v>45229.81049768518</v>
      </c>
      <c r="C652" s="1" t="n">
        <v>46163</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26788-2022</t>
        </is>
      </c>
      <c r="B653" s="1" t="n">
        <v>44740</v>
      </c>
      <c r="C653" s="1" t="n">
        <v>46163</v>
      </c>
      <c r="D653" t="inlineStr">
        <is>
          <t>ÖSTERGÖTLANDS LÄN</t>
        </is>
      </c>
      <c r="E653" t="inlineStr">
        <is>
          <t>LINKÖPING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24462-2023</t>
        </is>
      </c>
      <c r="B654" s="1" t="n">
        <v>45082</v>
      </c>
      <c r="C654" s="1" t="n">
        <v>46163</v>
      </c>
      <c r="D654" t="inlineStr">
        <is>
          <t>ÖSTERGÖTLANDS LÄN</t>
        </is>
      </c>
      <c r="E654" t="inlineStr">
        <is>
          <t>LINKÖPING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62015-2024</t>
        </is>
      </c>
      <c r="B655" s="1" t="n">
        <v>45655.80457175926</v>
      </c>
      <c r="C655" s="1" t="n">
        <v>46163</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10741-2023</t>
        </is>
      </c>
      <c r="B656" s="1" t="n">
        <v>44988.70084490741</v>
      </c>
      <c r="C656" s="1" t="n">
        <v>46163</v>
      </c>
      <c r="D656" t="inlineStr">
        <is>
          <t>ÖSTERGÖTLANDS LÄN</t>
        </is>
      </c>
      <c r="E656" t="inlineStr">
        <is>
          <t>LINKÖPING</t>
        </is>
      </c>
      <c r="F656" t="inlineStr">
        <is>
          <t>Allmännings- och besparingsskogar</t>
        </is>
      </c>
      <c r="G656" t="n">
        <v>11.2</v>
      </c>
      <c r="H656" t="n">
        <v>0</v>
      </c>
      <c r="I656" t="n">
        <v>0</v>
      </c>
      <c r="J656" t="n">
        <v>0</v>
      </c>
      <c r="K656" t="n">
        <v>0</v>
      </c>
      <c r="L656" t="n">
        <v>0</v>
      </c>
      <c r="M656" t="n">
        <v>0</v>
      </c>
      <c r="N656" t="n">
        <v>0</v>
      </c>
      <c r="O656" t="n">
        <v>0</v>
      </c>
      <c r="P656" t="n">
        <v>0</v>
      </c>
      <c r="Q656" t="n">
        <v>0</v>
      </c>
      <c r="R656" s="2" t="inlineStr"/>
    </row>
    <row r="657" ht="15" customHeight="1">
      <c r="A657" t="inlineStr">
        <is>
          <t>A 43473-2024</t>
        </is>
      </c>
      <c r="B657" s="1" t="n">
        <v>45568</v>
      </c>
      <c r="C657" s="1" t="n">
        <v>46163</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43475-2024</t>
        </is>
      </c>
      <c r="B658" s="1" t="n">
        <v>45568</v>
      </c>
      <c r="C658" s="1" t="n">
        <v>46163</v>
      </c>
      <c r="D658" t="inlineStr">
        <is>
          <t>ÖSTERGÖTLANDS LÄN</t>
        </is>
      </c>
      <c r="E658" t="inlineStr">
        <is>
          <t>LINKÖPING</t>
        </is>
      </c>
      <c r="G658" t="n">
        <v>3.2</v>
      </c>
      <c r="H658" t="n">
        <v>0</v>
      </c>
      <c r="I658" t="n">
        <v>0</v>
      </c>
      <c r="J658" t="n">
        <v>0</v>
      </c>
      <c r="K658" t="n">
        <v>0</v>
      </c>
      <c r="L658" t="n">
        <v>0</v>
      </c>
      <c r="M658" t="n">
        <v>0</v>
      </c>
      <c r="N658" t="n">
        <v>0</v>
      </c>
      <c r="O658" t="n">
        <v>0</v>
      </c>
      <c r="P658" t="n">
        <v>0</v>
      </c>
      <c r="Q658" t="n">
        <v>0</v>
      </c>
      <c r="R658" s="2" t="inlineStr"/>
    </row>
    <row r="659" ht="15" customHeight="1">
      <c r="A659" t="inlineStr">
        <is>
          <t>A 1207-2023</t>
        </is>
      </c>
      <c r="B659" s="1" t="n">
        <v>44930</v>
      </c>
      <c r="C659" s="1" t="n">
        <v>46163</v>
      </c>
      <c r="D659" t="inlineStr">
        <is>
          <t>ÖSTERGÖTLANDS LÄN</t>
        </is>
      </c>
      <c r="E659" t="inlineStr">
        <is>
          <t>LINKÖPING</t>
        </is>
      </c>
      <c r="F659" t="inlineStr">
        <is>
          <t>Övriga statliga verk och myndigheter</t>
        </is>
      </c>
      <c r="G659" t="n">
        <v>32.8</v>
      </c>
      <c r="H659" t="n">
        <v>0</v>
      </c>
      <c r="I659" t="n">
        <v>0</v>
      </c>
      <c r="J659" t="n">
        <v>0</v>
      </c>
      <c r="K659" t="n">
        <v>0</v>
      </c>
      <c r="L659" t="n">
        <v>0</v>
      </c>
      <c r="M659" t="n">
        <v>0</v>
      </c>
      <c r="N659" t="n">
        <v>0</v>
      </c>
      <c r="O659" t="n">
        <v>0</v>
      </c>
      <c r="P659" t="n">
        <v>0</v>
      </c>
      <c r="Q659" t="n">
        <v>0</v>
      </c>
      <c r="R659" s="2" t="inlineStr"/>
    </row>
    <row r="660" ht="15" customHeight="1">
      <c r="A660" t="inlineStr">
        <is>
          <t>A 29859-2024</t>
        </is>
      </c>
      <c r="B660" s="1" t="n">
        <v>45485.6846412037</v>
      </c>
      <c r="C660" s="1" t="n">
        <v>46163</v>
      </c>
      <c r="D660" t="inlineStr">
        <is>
          <t>ÖSTERGÖTLANDS LÄN</t>
        </is>
      </c>
      <c r="E660" t="inlineStr">
        <is>
          <t>LINKÖPING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45819-2024</t>
        </is>
      </c>
      <c r="B661" s="1" t="n">
        <v>45579.7454050926</v>
      </c>
      <c r="C661" s="1" t="n">
        <v>46163</v>
      </c>
      <c r="D661" t="inlineStr">
        <is>
          <t>ÖSTERGÖTLANDS LÄN</t>
        </is>
      </c>
      <c r="E661" t="inlineStr">
        <is>
          <t>LINKÖPING</t>
        </is>
      </c>
      <c r="G661" t="n">
        <v>5</v>
      </c>
      <c r="H661" t="n">
        <v>0</v>
      </c>
      <c r="I661" t="n">
        <v>0</v>
      </c>
      <c r="J661" t="n">
        <v>0</v>
      </c>
      <c r="K661" t="n">
        <v>0</v>
      </c>
      <c r="L661" t="n">
        <v>0</v>
      </c>
      <c r="M661" t="n">
        <v>0</v>
      </c>
      <c r="N661" t="n">
        <v>0</v>
      </c>
      <c r="O661" t="n">
        <v>0</v>
      </c>
      <c r="P661" t="n">
        <v>0</v>
      </c>
      <c r="Q661" t="n">
        <v>0</v>
      </c>
      <c r="R661" s="2" t="inlineStr"/>
    </row>
    <row r="662" ht="15" customHeight="1">
      <c r="A662" t="inlineStr">
        <is>
          <t>A 15748-2025</t>
        </is>
      </c>
      <c r="B662" s="1" t="n">
        <v>45748.55282407408</v>
      </c>
      <c r="C662" s="1" t="n">
        <v>46163</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15754-2025</t>
        </is>
      </c>
      <c r="B663" s="1" t="n">
        <v>45748.56105324074</v>
      </c>
      <c r="C663" s="1" t="n">
        <v>46163</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30518-2024</t>
        </is>
      </c>
      <c r="B664" s="1" t="n">
        <v>45492</v>
      </c>
      <c r="C664" s="1" t="n">
        <v>46163</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53797-2023</t>
        </is>
      </c>
      <c r="B665" s="1" t="n">
        <v>45230</v>
      </c>
      <c r="C665" s="1" t="n">
        <v>46163</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55345-2021</t>
        </is>
      </c>
      <c r="B666" s="1" t="n">
        <v>44475</v>
      </c>
      <c r="C666" s="1" t="n">
        <v>46163</v>
      </c>
      <c r="D666" t="inlineStr">
        <is>
          <t>ÖSTERGÖTLANDS LÄN</t>
        </is>
      </c>
      <c r="E666" t="inlineStr">
        <is>
          <t>LINKÖPING</t>
        </is>
      </c>
      <c r="G666" t="n">
        <v>5.7</v>
      </c>
      <c r="H666" t="n">
        <v>0</v>
      </c>
      <c r="I666" t="n">
        <v>0</v>
      </c>
      <c r="J666" t="n">
        <v>0</v>
      </c>
      <c r="K666" t="n">
        <v>0</v>
      </c>
      <c r="L666" t="n">
        <v>0</v>
      </c>
      <c r="M666" t="n">
        <v>0</v>
      </c>
      <c r="N666" t="n">
        <v>0</v>
      </c>
      <c r="O666" t="n">
        <v>0</v>
      </c>
      <c r="P666" t="n">
        <v>0</v>
      </c>
      <c r="Q666" t="n">
        <v>0</v>
      </c>
      <c r="R666" s="2" t="inlineStr"/>
    </row>
    <row r="667" ht="15" customHeight="1">
      <c r="A667" t="inlineStr">
        <is>
          <t>A 10198-2023</t>
        </is>
      </c>
      <c r="B667" s="1" t="n">
        <v>44986.54665509259</v>
      </c>
      <c r="C667" s="1" t="n">
        <v>46163</v>
      </c>
      <c r="D667" t="inlineStr">
        <is>
          <t>ÖSTERGÖTLANDS LÄN</t>
        </is>
      </c>
      <c r="E667" t="inlineStr">
        <is>
          <t>LINKÖPING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4298-2023</t>
        </is>
      </c>
      <c r="B668" s="1" t="n">
        <v>44953</v>
      </c>
      <c r="C668" s="1" t="n">
        <v>46163</v>
      </c>
      <c r="D668" t="inlineStr">
        <is>
          <t>ÖSTERGÖTLANDS LÄN</t>
        </is>
      </c>
      <c r="E668" t="inlineStr">
        <is>
          <t>LINKÖPING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12428-2024</t>
        </is>
      </c>
      <c r="B669" s="1" t="n">
        <v>45379</v>
      </c>
      <c r="C669" s="1" t="n">
        <v>46163</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26618-2023</t>
        </is>
      </c>
      <c r="B670" s="1" t="n">
        <v>45092.70306712963</v>
      </c>
      <c r="C670" s="1" t="n">
        <v>46163</v>
      </c>
      <c r="D670" t="inlineStr">
        <is>
          <t>ÖSTERGÖTLANDS LÄN</t>
        </is>
      </c>
      <c r="E670" t="inlineStr">
        <is>
          <t>LINKÖPING</t>
        </is>
      </c>
      <c r="G670" t="n">
        <v>6.9</v>
      </c>
      <c r="H670" t="n">
        <v>0</v>
      </c>
      <c r="I670" t="n">
        <v>0</v>
      </c>
      <c r="J670" t="n">
        <v>0</v>
      </c>
      <c r="K670" t="n">
        <v>0</v>
      </c>
      <c r="L670" t="n">
        <v>0</v>
      </c>
      <c r="M670" t="n">
        <v>0</v>
      </c>
      <c r="N670" t="n">
        <v>0</v>
      </c>
      <c r="O670" t="n">
        <v>0</v>
      </c>
      <c r="P670" t="n">
        <v>0</v>
      </c>
      <c r="Q670" t="n">
        <v>0</v>
      </c>
      <c r="R670" s="2" t="inlineStr"/>
    </row>
    <row r="671" ht="15" customHeight="1">
      <c r="A671" t="inlineStr">
        <is>
          <t>A 34930-2023</t>
        </is>
      </c>
      <c r="B671" s="1" t="n">
        <v>45142</v>
      </c>
      <c r="C671" s="1" t="n">
        <v>46163</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670-2024</t>
        </is>
      </c>
      <c r="B672" s="1" t="n">
        <v>45300.3408912037</v>
      </c>
      <c r="C672" s="1" t="n">
        <v>46163</v>
      </c>
      <c r="D672" t="inlineStr">
        <is>
          <t>ÖSTERGÖTLANDS LÄN</t>
        </is>
      </c>
      <c r="E672" t="inlineStr">
        <is>
          <t>LINKÖPING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63845-2021</t>
        </is>
      </c>
      <c r="B673" s="1" t="n">
        <v>44509</v>
      </c>
      <c r="C673" s="1" t="n">
        <v>46163</v>
      </c>
      <c r="D673" t="inlineStr">
        <is>
          <t>ÖSTERGÖTLANDS LÄN</t>
        </is>
      </c>
      <c r="E673" t="inlineStr">
        <is>
          <t>LINKÖPING</t>
        </is>
      </c>
      <c r="G673" t="n">
        <v>5</v>
      </c>
      <c r="H673" t="n">
        <v>0</v>
      </c>
      <c r="I673" t="n">
        <v>0</v>
      </c>
      <c r="J673" t="n">
        <v>0</v>
      </c>
      <c r="K673" t="n">
        <v>0</v>
      </c>
      <c r="L673" t="n">
        <v>0</v>
      </c>
      <c r="M673" t="n">
        <v>0</v>
      </c>
      <c r="N673" t="n">
        <v>0</v>
      </c>
      <c r="O673" t="n">
        <v>0</v>
      </c>
      <c r="P673" t="n">
        <v>0</v>
      </c>
      <c r="Q673" t="n">
        <v>0</v>
      </c>
      <c r="R673" s="2" t="inlineStr"/>
    </row>
    <row r="674" ht="15" customHeight="1">
      <c r="A674" t="inlineStr">
        <is>
          <t>A 54034-2022</t>
        </is>
      </c>
      <c r="B674" s="1" t="n">
        <v>44881</v>
      </c>
      <c r="C674" s="1" t="n">
        <v>46163</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36336-2023</t>
        </is>
      </c>
      <c r="B675" s="1" t="n">
        <v>45152.45078703704</v>
      </c>
      <c r="C675" s="1" t="n">
        <v>46163</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48829-2023</t>
        </is>
      </c>
      <c r="B676" s="1" t="n">
        <v>45209.38177083333</v>
      </c>
      <c r="C676" s="1" t="n">
        <v>46163</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48186-2022</t>
        </is>
      </c>
      <c r="B677" s="1" t="n">
        <v>44858</v>
      </c>
      <c r="C677" s="1" t="n">
        <v>46163</v>
      </c>
      <c r="D677" t="inlineStr">
        <is>
          <t>ÖSTERGÖTLANDS LÄN</t>
        </is>
      </c>
      <c r="E677" t="inlineStr">
        <is>
          <t>LINKÖPING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63669-2023</t>
        </is>
      </c>
      <c r="B678" s="1" t="n">
        <v>45275</v>
      </c>
      <c r="C678" s="1" t="n">
        <v>46163</v>
      </c>
      <c r="D678" t="inlineStr">
        <is>
          <t>ÖSTERGÖTLANDS LÄN</t>
        </is>
      </c>
      <c r="E678" t="inlineStr">
        <is>
          <t>LINKÖPING</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24586-2024</t>
        </is>
      </c>
      <c r="B679" s="1" t="n">
        <v>45460.46664351852</v>
      </c>
      <c r="C679" s="1" t="n">
        <v>46163</v>
      </c>
      <c r="D679" t="inlineStr">
        <is>
          <t>ÖSTERGÖTLANDS LÄN</t>
        </is>
      </c>
      <c r="E679" t="inlineStr">
        <is>
          <t>LINKÖPING</t>
        </is>
      </c>
      <c r="G679" t="n">
        <v>4</v>
      </c>
      <c r="H679" t="n">
        <v>0</v>
      </c>
      <c r="I679" t="n">
        <v>0</v>
      </c>
      <c r="J679" t="n">
        <v>0</v>
      </c>
      <c r="K679" t="n">
        <v>0</v>
      </c>
      <c r="L679" t="n">
        <v>0</v>
      </c>
      <c r="M679" t="n">
        <v>0</v>
      </c>
      <c r="N679" t="n">
        <v>0</v>
      </c>
      <c r="O679" t="n">
        <v>0</v>
      </c>
      <c r="P679" t="n">
        <v>0</v>
      </c>
      <c r="Q679" t="n">
        <v>0</v>
      </c>
      <c r="R679" s="2" t="inlineStr"/>
    </row>
    <row r="680" ht="15" customHeight="1">
      <c r="A680" t="inlineStr">
        <is>
          <t>A 59576-2024</t>
        </is>
      </c>
      <c r="B680" s="1" t="n">
        <v>45638.66378472222</v>
      </c>
      <c r="C680" s="1" t="n">
        <v>46163</v>
      </c>
      <c r="D680" t="inlineStr">
        <is>
          <t>ÖSTERGÖTLANDS LÄN</t>
        </is>
      </c>
      <c r="E680" t="inlineStr">
        <is>
          <t>LINKÖPING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59642-2024</t>
        </is>
      </c>
      <c r="B681" s="1" t="n">
        <v>45639.31511574074</v>
      </c>
      <c r="C681" s="1" t="n">
        <v>46163</v>
      </c>
      <c r="D681" t="inlineStr">
        <is>
          <t>ÖSTERGÖTLANDS LÄN</t>
        </is>
      </c>
      <c r="E681" t="inlineStr">
        <is>
          <t>LINKÖPING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59674-2024</t>
        </is>
      </c>
      <c r="B682" s="1" t="n">
        <v>45639</v>
      </c>
      <c r="C682" s="1" t="n">
        <v>46163</v>
      </c>
      <c r="D682" t="inlineStr">
        <is>
          <t>ÖSTERGÖTLANDS LÄN</t>
        </is>
      </c>
      <c r="E682" t="inlineStr">
        <is>
          <t>LINKÖPING</t>
        </is>
      </c>
      <c r="G682" t="n">
        <v>6.3</v>
      </c>
      <c r="H682" t="n">
        <v>0</v>
      </c>
      <c r="I682" t="n">
        <v>0</v>
      </c>
      <c r="J682" t="n">
        <v>0</v>
      </c>
      <c r="K682" t="n">
        <v>0</v>
      </c>
      <c r="L682" t="n">
        <v>0</v>
      </c>
      <c r="M682" t="n">
        <v>0</v>
      </c>
      <c r="N682" t="n">
        <v>0</v>
      </c>
      <c r="O682" t="n">
        <v>0</v>
      </c>
      <c r="P682" t="n">
        <v>0</v>
      </c>
      <c r="Q682" t="n">
        <v>0</v>
      </c>
      <c r="R682" s="2" t="inlineStr"/>
    </row>
    <row r="683" ht="15" customHeight="1">
      <c r="A683" t="inlineStr">
        <is>
          <t>A 18916-2024</t>
        </is>
      </c>
      <c r="B683" s="1" t="n">
        <v>45427.39541666667</v>
      </c>
      <c r="C683" s="1" t="n">
        <v>46163</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11084-2022</t>
        </is>
      </c>
      <c r="B684" s="1" t="n">
        <v>44628</v>
      </c>
      <c r="C684" s="1" t="n">
        <v>46163</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10203-2023</t>
        </is>
      </c>
      <c r="B685" s="1" t="n">
        <v>44986.55711805556</v>
      </c>
      <c r="C685" s="1" t="n">
        <v>46163</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2618-2023</t>
        </is>
      </c>
      <c r="B686" s="1" t="n">
        <v>44944.35847222222</v>
      </c>
      <c r="C686" s="1" t="n">
        <v>46163</v>
      </c>
      <c r="D686" t="inlineStr">
        <is>
          <t>ÖSTERGÖTLANDS LÄN</t>
        </is>
      </c>
      <c r="E686" t="inlineStr">
        <is>
          <t>LINKÖPING</t>
        </is>
      </c>
      <c r="G686" t="n">
        <v>4.3</v>
      </c>
      <c r="H686" t="n">
        <v>0</v>
      </c>
      <c r="I686" t="n">
        <v>0</v>
      </c>
      <c r="J686" t="n">
        <v>0</v>
      </c>
      <c r="K686" t="n">
        <v>0</v>
      </c>
      <c r="L686" t="n">
        <v>0</v>
      </c>
      <c r="M686" t="n">
        <v>0</v>
      </c>
      <c r="N686" t="n">
        <v>0</v>
      </c>
      <c r="O686" t="n">
        <v>0</v>
      </c>
      <c r="P686" t="n">
        <v>0</v>
      </c>
      <c r="Q686" t="n">
        <v>0</v>
      </c>
      <c r="R686" s="2" t="inlineStr"/>
    </row>
    <row r="687" ht="15" customHeight="1">
      <c r="A687" t="inlineStr">
        <is>
          <t>A 62020-2024</t>
        </is>
      </c>
      <c r="B687" s="1" t="n">
        <v>45655.83563657408</v>
      </c>
      <c r="C687" s="1" t="n">
        <v>46163</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62021-2024</t>
        </is>
      </c>
      <c r="B688" s="1" t="n">
        <v>45655.84232638889</v>
      </c>
      <c r="C688" s="1" t="n">
        <v>46163</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1362-2023</t>
        </is>
      </c>
      <c r="B689" s="1" t="n">
        <v>44931</v>
      </c>
      <c r="C689" s="1" t="n">
        <v>46163</v>
      </c>
      <c r="D689" t="inlineStr">
        <is>
          <t>ÖSTERGÖTLANDS LÄN</t>
        </is>
      </c>
      <c r="E689" t="inlineStr">
        <is>
          <t>LINKÖPING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49928-2024</t>
        </is>
      </c>
      <c r="B690" s="1" t="n">
        <v>45597.57811342592</v>
      </c>
      <c r="C690" s="1" t="n">
        <v>46163</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3627-2023</t>
        </is>
      </c>
      <c r="B691" s="1" t="n">
        <v>44950.64782407408</v>
      </c>
      <c r="C691" s="1" t="n">
        <v>46163</v>
      </c>
      <c r="D691" t="inlineStr">
        <is>
          <t>ÖSTERGÖTLANDS LÄN</t>
        </is>
      </c>
      <c r="E691" t="inlineStr">
        <is>
          <t>LINKÖPING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51405-2023</t>
        </is>
      </c>
      <c r="B692" s="1" t="n">
        <v>45219</v>
      </c>
      <c r="C692" s="1" t="n">
        <v>46163</v>
      </c>
      <c r="D692" t="inlineStr">
        <is>
          <t>ÖSTERGÖTLANDS LÄN</t>
        </is>
      </c>
      <c r="E692" t="inlineStr">
        <is>
          <t>LINKÖPING</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11601-2023</t>
        </is>
      </c>
      <c r="B693" s="1" t="n">
        <v>44994</v>
      </c>
      <c r="C693" s="1" t="n">
        <v>46163</v>
      </c>
      <c r="D693" t="inlineStr">
        <is>
          <t>ÖSTERGÖTLANDS LÄN</t>
        </is>
      </c>
      <c r="E693" t="inlineStr">
        <is>
          <t>LINKÖPING</t>
        </is>
      </c>
      <c r="G693" t="n">
        <v>1.7</v>
      </c>
      <c r="H693" t="n">
        <v>0</v>
      </c>
      <c r="I693" t="n">
        <v>0</v>
      </c>
      <c r="J693" t="n">
        <v>0</v>
      </c>
      <c r="K693" t="n">
        <v>0</v>
      </c>
      <c r="L693" t="n">
        <v>0</v>
      </c>
      <c r="M693" t="n">
        <v>0</v>
      </c>
      <c r="N693" t="n">
        <v>0</v>
      </c>
      <c r="O693" t="n">
        <v>0</v>
      </c>
      <c r="P693" t="n">
        <v>0</v>
      </c>
      <c r="Q693" t="n">
        <v>0</v>
      </c>
      <c r="R693" s="2" t="inlineStr"/>
    </row>
    <row r="694" ht="15" customHeight="1">
      <c r="A694" t="inlineStr">
        <is>
          <t>A 40338-2024</t>
        </is>
      </c>
      <c r="B694" s="1" t="n">
        <v>45555.32940972222</v>
      </c>
      <c r="C694" s="1" t="n">
        <v>46163</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167-2024</t>
        </is>
      </c>
      <c r="B695" s="1" t="n">
        <v>45294</v>
      </c>
      <c r="C695" s="1" t="n">
        <v>46163</v>
      </c>
      <c r="D695" t="inlineStr">
        <is>
          <t>ÖSTERGÖTLANDS LÄN</t>
        </is>
      </c>
      <c r="E695" t="inlineStr">
        <is>
          <t>LINKÖPING</t>
        </is>
      </c>
      <c r="F695" t="inlineStr">
        <is>
          <t>Allmännings- och besparingsskogar</t>
        </is>
      </c>
      <c r="G695" t="n">
        <v>11.6</v>
      </c>
      <c r="H695" t="n">
        <v>0</v>
      </c>
      <c r="I695" t="n">
        <v>0</v>
      </c>
      <c r="J695" t="n">
        <v>0</v>
      </c>
      <c r="K695" t="n">
        <v>0</v>
      </c>
      <c r="L695" t="n">
        <v>0</v>
      </c>
      <c r="M695" t="n">
        <v>0</v>
      </c>
      <c r="N695" t="n">
        <v>0</v>
      </c>
      <c r="O695" t="n">
        <v>0</v>
      </c>
      <c r="P695" t="n">
        <v>0</v>
      </c>
      <c r="Q695" t="n">
        <v>0</v>
      </c>
      <c r="R695" s="2" t="inlineStr"/>
    </row>
    <row r="696" ht="15" customHeight="1">
      <c r="A696" t="inlineStr">
        <is>
          <t>A 27186-2021</t>
        </is>
      </c>
      <c r="B696" s="1" t="n">
        <v>44350.67715277777</v>
      </c>
      <c r="C696" s="1" t="n">
        <v>46163</v>
      </c>
      <c r="D696" t="inlineStr">
        <is>
          <t>ÖSTERGÖTLANDS LÄN</t>
        </is>
      </c>
      <c r="E696" t="inlineStr">
        <is>
          <t>LINKÖPING</t>
        </is>
      </c>
      <c r="F696" t="inlineStr">
        <is>
          <t>Allmännings- och besparingsskogar</t>
        </is>
      </c>
      <c r="G696" t="n">
        <v>1.4</v>
      </c>
      <c r="H696" t="n">
        <v>0</v>
      </c>
      <c r="I696" t="n">
        <v>0</v>
      </c>
      <c r="J696" t="n">
        <v>0</v>
      </c>
      <c r="K696" t="n">
        <v>0</v>
      </c>
      <c r="L696" t="n">
        <v>0</v>
      </c>
      <c r="M696" t="n">
        <v>0</v>
      </c>
      <c r="N696" t="n">
        <v>0</v>
      </c>
      <c r="O696" t="n">
        <v>0</v>
      </c>
      <c r="P696" t="n">
        <v>0</v>
      </c>
      <c r="Q696" t="n">
        <v>0</v>
      </c>
      <c r="R696" s="2" t="inlineStr"/>
    </row>
    <row r="697" ht="15" customHeight="1">
      <c r="A697" t="inlineStr">
        <is>
          <t>A 7343-2025</t>
        </is>
      </c>
      <c r="B697" s="1" t="n">
        <v>45703.67853009259</v>
      </c>
      <c r="C697" s="1" t="n">
        <v>46163</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48271-2023</t>
        </is>
      </c>
      <c r="B698" s="1" t="n">
        <v>45205</v>
      </c>
      <c r="C698" s="1" t="n">
        <v>46163</v>
      </c>
      <c r="D698" t="inlineStr">
        <is>
          <t>ÖSTERGÖTLANDS LÄN</t>
        </is>
      </c>
      <c r="E698" t="inlineStr">
        <is>
          <t>LINKÖPING</t>
        </is>
      </c>
      <c r="G698" t="n">
        <v>3</v>
      </c>
      <c r="H698" t="n">
        <v>0</v>
      </c>
      <c r="I698" t="n">
        <v>0</v>
      </c>
      <c r="J698" t="n">
        <v>0</v>
      </c>
      <c r="K698" t="n">
        <v>0</v>
      </c>
      <c r="L698" t="n">
        <v>0</v>
      </c>
      <c r="M698" t="n">
        <v>0</v>
      </c>
      <c r="N698" t="n">
        <v>0</v>
      </c>
      <c r="O698" t="n">
        <v>0</v>
      </c>
      <c r="P698" t="n">
        <v>0</v>
      </c>
      <c r="Q698" t="n">
        <v>0</v>
      </c>
      <c r="R698" s="2" t="inlineStr"/>
    </row>
    <row r="699" ht="15" customHeight="1">
      <c r="A699" t="inlineStr">
        <is>
          <t>A 12720-2022</t>
        </is>
      </c>
      <c r="B699" s="1" t="n">
        <v>44641</v>
      </c>
      <c r="C699" s="1" t="n">
        <v>46163</v>
      </c>
      <c r="D699" t="inlineStr">
        <is>
          <t>ÖSTERGÖTLANDS LÄN</t>
        </is>
      </c>
      <c r="E699" t="inlineStr">
        <is>
          <t>LINKÖPING</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62018-2024</t>
        </is>
      </c>
      <c r="B700" s="1" t="n">
        <v>45655.81387731482</v>
      </c>
      <c r="C700" s="1" t="n">
        <v>46163</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30551-2023</t>
        </is>
      </c>
      <c r="B701" s="1" t="n">
        <v>45111</v>
      </c>
      <c r="C701" s="1" t="n">
        <v>46163</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30860-2022</t>
        </is>
      </c>
      <c r="B702" s="1" t="n">
        <v>44767</v>
      </c>
      <c r="C702" s="1" t="n">
        <v>46163</v>
      </c>
      <c r="D702" t="inlineStr">
        <is>
          <t>ÖSTERGÖTLANDS LÄN</t>
        </is>
      </c>
      <c r="E702" t="inlineStr">
        <is>
          <t>LINKÖPING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60004-2022</t>
        </is>
      </c>
      <c r="B703" s="1" t="n">
        <v>44909.47206018519</v>
      </c>
      <c r="C703" s="1" t="n">
        <v>46163</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60010-2022</t>
        </is>
      </c>
      <c r="B704" s="1" t="n">
        <v>44909.4740625</v>
      </c>
      <c r="C704" s="1" t="n">
        <v>46163</v>
      </c>
      <c r="D704" t="inlineStr">
        <is>
          <t>ÖSTERGÖTLANDS LÄN</t>
        </is>
      </c>
      <c r="E704" t="inlineStr">
        <is>
          <t>LINKÖPING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53827-2023</t>
        </is>
      </c>
      <c r="B705" s="1" t="n">
        <v>45230</v>
      </c>
      <c r="C705" s="1" t="n">
        <v>46163</v>
      </c>
      <c r="D705" t="inlineStr">
        <is>
          <t>ÖSTERGÖTLANDS LÄN</t>
        </is>
      </c>
      <c r="E705" t="inlineStr">
        <is>
          <t>LINKÖPING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4256-2022</t>
        </is>
      </c>
      <c r="B706" s="1" t="n">
        <v>44588</v>
      </c>
      <c r="C706" s="1" t="n">
        <v>46163</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61649-2023</t>
        </is>
      </c>
      <c r="B707" s="1" t="n">
        <v>45265</v>
      </c>
      <c r="C707" s="1" t="n">
        <v>46163</v>
      </c>
      <c r="D707" t="inlineStr">
        <is>
          <t>ÖSTERGÖTLANDS LÄN</t>
        </is>
      </c>
      <c r="E707" t="inlineStr">
        <is>
          <t>LINKÖPING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223-2024</t>
        </is>
      </c>
      <c r="B708" s="1" t="n">
        <v>45294.72739583333</v>
      </c>
      <c r="C708" s="1" t="n">
        <v>46163</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19464-2024</t>
        </is>
      </c>
      <c r="B709" s="1" t="n">
        <v>45429</v>
      </c>
      <c r="C709" s="1" t="n">
        <v>46163</v>
      </c>
      <c r="D709" t="inlineStr">
        <is>
          <t>ÖSTERGÖTLANDS LÄN</t>
        </is>
      </c>
      <c r="E709" t="inlineStr">
        <is>
          <t>LINKÖPING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630-2024</t>
        </is>
      </c>
      <c r="B710" s="1" t="n">
        <v>45299.67736111111</v>
      </c>
      <c r="C710" s="1" t="n">
        <v>46163</v>
      </c>
      <c r="D710" t="inlineStr">
        <is>
          <t>ÖSTERGÖTLANDS LÄN</t>
        </is>
      </c>
      <c r="E710" t="inlineStr">
        <is>
          <t>LINKÖPING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30433-2024</t>
        </is>
      </c>
      <c r="B711" s="1" t="n">
        <v>45491.69741898148</v>
      </c>
      <c r="C711" s="1" t="n">
        <v>46163</v>
      </c>
      <c r="D711" t="inlineStr">
        <is>
          <t>ÖSTERGÖTLANDS LÄN</t>
        </is>
      </c>
      <c r="E711" t="inlineStr">
        <is>
          <t>LINKÖPING</t>
        </is>
      </c>
      <c r="G711" t="n">
        <v>1.7</v>
      </c>
      <c r="H711" t="n">
        <v>0</v>
      </c>
      <c r="I711" t="n">
        <v>0</v>
      </c>
      <c r="J711" t="n">
        <v>0</v>
      </c>
      <c r="K711" t="n">
        <v>0</v>
      </c>
      <c r="L711" t="n">
        <v>0</v>
      </c>
      <c r="M711" t="n">
        <v>0</v>
      </c>
      <c r="N711" t="n">
        <v>0</v>
      </c>
      <c r="O711" t="n">
        <v>0</v>
      </c>
      <c r="P711" t="n">
        <v>0</v>
      </c>
      <c r="Q711" t="n">
        <v>0</v>
      </c>
      <c r="R711" s="2" t="inlineStr"/>
    </row>
    <row r="712" ht="15" customHeight="1">
      <c r="A712" t="inlineStr">
        <is>
          <t>A 63528-2023</t>
        </is>
      </c>
      <c r="B712" s="1" t="n">
        <v>45274.94810185185</v>
      </c>
      <c r="C712" s="1" t="n">
        <v>46163</v>
      </c>
      <c r="D712" t="inlineStr">
        <is>
          <t>ÖSTERGÖTLANDS LÄN</t>
        </is>
      </c>
      <c r="E712" t="inlineStr">
        <is>
          <t>LINKÖPING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61936-2023</t>
        </is>
      </c>
      <c r="B713" s="1" t="n">
        <v>45266.54534722222</v>
      </c>
      <c r="C713" s="1" t="n">
        <v>46163</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62492-2023</t>
        </is>
      </c>
      <c r="B714" s="1" t="n">
        <v>45268.58987268519</v>
      </c>
      <c r="C714" s="1" t="n">
        <v>46163</v>
      </c>
      <c r="D714" t="inlineStr">
        <is>
          <t>ÖSTERGÖTLANDS LÄN</t>
        </is>
      </c>
      <c r="E714" t="inlineStr">
        <is>
          <t>LINKÖPING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674-2024</t>
        </is>
      </c>
      <c r="B715" s="1" t="n">
        <v>45300.34408564815</v>
      </c>
      <c r="C715" s="1" t="n">
        <v>46163</v>
      </c>
      <c r="D715" t="inlineStr">
        <is>
          <t>ÖSTERGÖTLANDS LÄN</t>
        </is>
      </c>
      <c r="E715" t="inlineStr">
        <is>
          <t>LINKÖPING</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6782-2024</t>
        </is>
      </c>
      <c r="B716" s="1" t="n">
        <v>45342</v>
      </c>
      <c r="C716" s="1" t="n">
        <v>46163</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10094-2024</t>
        </is>
      </c>
      <c r="B717" s="1" t="n">
        <v>45364</v>
      </c>
      <c r="C717" s="1" t="n">
        <v>46163</v>
      </c>
      <c r="D717" t="inlineStr">
        <is>
          <t>ÖSTERGÖTLANDS LÄN</t>
        </is>
      </c>
      <c r="E717" t="inlineStr">
        <is>
          <t>LINKÖPING</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63684-2023</t>
        </is>
      </c>
      <c r="B718" s="1" t="n">
        <v>45275</v>
      </c>
      <c r="C718" s="1" t="n">
        <v>46163</v>
      </c>
      <c r="D718" t="inlineStr">
        <is>
          <t>ÖSTERGÖTLANDS LÄN</t>
        </is>
      </c>
      <c r="E718" t="inlineStr">
        <is>
          <t>LINKÖPING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63688-2023</t>
        </is>
      </c>
      <c r="B719" s="1" t="n">
        <v>45275</v>
      </c>
      <c r="C719" s="1" t="n">
        <v>46163</v>
      </c>
      <c r="D719" t="inlineStr">
        <is>
          <t>ÖSTERGÖTLANDS LÄN</t>
        </is>
      </c>
      <c r="E719" t="inlineStr">
        <is>
          <t>LINKÖPING</t>
        </is>
      </c>
      <c r="F719" t="inlineStr">
        <is>
          <t>Övriga Aktiebolag</t>
        </is>
      </c>
      <c r="G719" t="n">
        <v>2.4</v>
      </c>
      <c r="H719" t="n">
        <v>0</v>
      </c>
      <c r="I719" t="n">
        <v>0</v>
      </c>
      <c r="J719" t="n">
        <v>0</v>
      </c>
      <c r="K719" t="n">
        <v>0</v>
      </c>
      <c r="L719" t="n">
        <v>0</v>
      </c>
      <c r="M719" t="n">
        <v>0</v>
      </c>
      <c r="N719" t="n">
        <v>0</v>
      </c>
      <c r="O719" t="n">
        <v>0</v>
      </c>
      <c r="P719" t="n">
        <v>0</v>
      </c>
      <c r="Q719" t="n">
        <v>0</v>
      </c>
      <c r="R719" s="2" t="inlineStr"/>
    </row>
    <row r="720" ht="15" customHeight="1">
      <c r="A720" t="inlineStr">
        <is>
          <t>A 63691-2023</t>
        </is>
      </c>
      <c r="B720" s="1" t="n">
        <v>45275</v>
      </c>
      <c r="C720" s="1" t="n">
        <v>46163</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36657-2023</t>
        </is>
      </c>
      <c r="B721" s="1" t="n">
        <v>45153.5702662037</v>
      </c>
      <c r="C721" s="1" t="n">
        <v>46163</v>
      </c>
      <c r="D721" t="inlineStr">
        <is>
          <t>ÖSTERGÖTLANDS LÄN</t>
        </is>
      </c>
      <c r="E721" t="inlineStr">
        <is>
          <t>LINKÖPING</t>
        </is>
      </c>
      <c r="F721" t="inlineStr">
        <is>
          <t>Allmännings- och besparingsskogar</t>
        </is>
      </c>
      <c r="G721" t="n">
        <v>2</v>
      </c>
      <c r="H721" t="n">
        <v>0</v>
      </c>
      <c r="I721" t="n">
        <v>0</v>
      </c>
      <c r="J721" t="n">
        <v>0</v>
      </c>
      <c r="K721" t="n">
        <v>0</v>
      </c>
      <c r="L721" t="n">
        <v>0</v>
      </c>
      <c r="M721" t="n">
        <v>0</v>
      </c>
      <c r="N721" t="n">
        <v>0</v>
      </c>
      <c r="O721" t="n">
        <v>0</v>
      </c>
      <c r="P721" t="n">
        <v>0</v>
      </c>
      <c r="Q721" t="n">
        <v>0</v>
      </c>
      <c r="R721" s="2" t="inlineStr"/>
    </row>
    <row r="722" ht="15" customHeight="1">
      <c r="A722" t="inlineStr">
        <is>
          <t>A 14667-2024</t>
        </is>
      </c>
      <c r="B722" s="1" t="n">
        <v>45397.42005787037</v>
      </c>
      <c r="C722" s="1" t="n">
        <v>46163</v>
      </c>
      <c r="D722" t="inlineStr">
        <is>
          <t>ÖSTERGÖTLANDS LÄN</t>
        </is>
      </c>
      <c r="E722" t="inlineStr">
        <is>
          <t>LINKÖPING</t>
        </is>
      </c>
      <c r="G722" t="n">
        <v>2.3</v>
      </c>
      <c r="H722" t="n">
        <v>0</v>
      </c>
      <c r="I722" t="n">
        <v>0</v>
      </c>
      <c r="J722" t="n">
        <v>0</v>
      </c>
      <c r="K722" t="n">
        <v>0</v>
      </c>
      <c r="L722" t="n">
        <v>0</v>
      </c>
      <c r="M722" t="n">
        <v>0</v>
      </c>
      <c r="N722" t="n">
        <v>0</v>
      </c>
      <c r="O722" t="n">
        <v>0</v>
      </c>
      <c r="P722" t="n">
        <v>0</v>
      </c>
      <c r="Q722" t="n">
        <v>0</v>
      </c>
      <c r="R722" s="2" t="inlineStr"/>
    </row>
    <row r="723" ht="15" customHeight="1">
      <c r="A723" t="inlineStr">
        <is>
          <t>A 15714-2024</t>
        </is>
      </c>
      <c r="B723" s="1" t="n">
        <v>45404.48288194444</v>
      </c>
      <c r="C723" s="1" t="n">
        <v>46163</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37715-2022</t>
        </is>
      </c>
      <c r="B724" s="1" t="n">
        <v>44810</v>
      </c>
      <c r="C724" s="1" t="n">
        <v>46163</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30429-2024</t>
        </is>
      </c>
      <c r="B725" s="1" t="n">
        <v>45491.68972222223</v>
      </c>
      <c r="C725" s="1" t="n">
        <v>46163</v>
      </c>
      <c r="D725" t="inlineStr">
        <is>
          <t>ÖSTERGÖTLANDS LÄN</t>
        </is>
      </c>
      <c r="E725" t="inlineStr">
        <is>
          <t>LINKÖPING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30435-2024</t>
        </is>
      </c>
      <c r="B726" s="1" t="n">
        <v>45491.69962962963</v>
      </c>
      <c r="C726" s="1" t="n">
        <v>46163</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38231-2022</t>
        </is>
      </c>
      <c r="B727" s="1" t="n">
        <v>44812</v>
      </c>
      <c r="C727" s="1" t="n">
        <v>46163</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34557-2022</t>
        </is>
      </c>
      <c r="B728" s="1" t="n">
        <v>44794.57074074074</v>
      </c>
      <c r="C728" s="1" t="n">
        <v>46163</v>
      </c>
      <c r="D728" t="inlineStr">
        <is>
          <t>ÖSTERGÖTLANDS LÄN</t>
        </is>
      </c>
      <c r="E728" t="inlineStr">
        <is>
          <t>LINKÖPING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13011-2022</t>
        </is>
      </c>
      <c r="B729" s="1" t="n">
        <v>44643</v>
      </c>
      <c r="C729" s="1" t="n">
        <v>46163</v>
      </c>
      <c r="D729" t="inlineStr">
        <is>
          <t>ÖSTERGÖTLANDS LÄN</t>
        </is>
      </c>
      <c r="E729" t="inlineStr">
        <is>
          <t>LINKÖPING</t>
        </is>
      </c>
      <c r="G729" t="n">
        <v>3.7</v>
      </c>
      <c r="H729" t="n">
        <v>0</v>
      </c>
      <c r="I729" t="n">
        <v>0</v>
      </c>
      <c r="J729" t="n">
        <v>0</v>
      </c>
      <c r="K729" t="n">
        <v>0</v>
      </c>
      <c r="L729" t="n">
        <v>0</v>
      </c>
      <c r="M729" t="n">
        <v>0</v>
      </c>
      <c r="N729" t="n">
        <v>0</v>
      </c>
      <c r="O729" t="n">
        <v>0</v>
      </c>
      <c r="P729" t="n">
        <v>0</v>
      </c>
      <c r="Q729" t="n">
        <v>0</v>
      </c>
      <c r="R729" s="2" t="inlineStr"/>
    </row>
    <row r="730" ht="15" customHeight="1">
      <c r="A730" t="inlineStr">
        <is>
          <t>A 617-2024</t>
        </is>
      </c>
      <c r="B730" s="1" t="n">
        <v>45299.66028935185</v>
      </c>
      <c r="C730" s="1" t="n">
        <v>46163</v>
      </c>
      <c r="D730" t="inlineStr">
        <is>
          <t>ÖSTERGÖTLANDS LÄN</t>
        </is>
      </c>
      <c r="E730" t="inlineStr">
        <is>
          <t>LINKÖPING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19362-2023</t>
        </is>
      </c>
      <c r="B731" s="1" t="n">
        <v>45049</v>
      </c>
      <c r="C731" s="1" t="n">
        <v>46163</v>
      </c>
      <c r="D731" t="inlineStr">
        <is>
          <t>ÖSTERGÖTLANDS LÄN</t>
        </is>
      </c>
      <c r="E731" t="inlineStr">
        <is>
          <t>LINKÖPING</t>
        </is>
      </c>
      <c r="G731" t="n">
        <v>0.1</v>
      </c>
      <c r="H731" t="n">
        <v>0</v>
      </c>
      <c r="I731" t="n">
        <v>0</v>
      </c>
      <c r="J731" t="n">
        <v>0</v>
      </c>
      <c r="K731" t="n">
        <v>0</v>
      </c>
      <c r="L731" t="n">
        <v>0</v>
      </c>
      <c r="M731" t="n">
        <v>0</v>
      </c>
      <c r="N731" t="n">
        <v>0</v>
      </c>
      <c r="O731" t="n">
        <v>0</v>
      </c>
      <c r="P731" t="n">
        <v>0</v>
      </c>
      <c r="Q731" t="n">
        <v>0</v>
      </c>
      <c r="R731" s="2" t="inlineStr"/>
    </row>
    <row r="732" ht="15" customHeight="1">
      <c r="A732" t="inlineStr">
        <is>
          <t>A 19132-2023</t>
        </is>
      </c>
      <c r="B732" s="1" t="n">
        <v>45048.54754629629</v>
      </c>
      <c r="C732" s="1" t="n">
        <v>46163</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31635-2023</t>
        </is>
      </c>
      <c r="B733" s="1" t="n">
        <v>45105</v>
      </c>
      <c r="C733" s="1" t="n">
        <v>46163</v>
      </c>
      <c r="D733" t="inlineStr">
        <is>
          <t>ÖSTERGÖTLANDS LÄN</t>
        </is>
      </c>
      <c r="E733" t="inlineStr">
        <is>
          <t>LINKÖPING</t>
        </is>
      </c>
      <c r="F733" t="inlineStr">
        <is>
          <t>Övriga statliga verk och myndigheter</t>
        </is>
      </c>
      <c r="G733" t="n">
        <v>4.6</v>
      </c>
      <c r="H733" t="n">
        <v>0</v>
      </c>
      <c r="I733" t="n">
        <v>0</v>
      </c>
      <c r="J733" t="n">
        <v>0</v>
      </c>
      <c r="K733" t="n">
        <v>0</v>
      </c>
      <c r="L733" t="n">
        <v>0</v>
      </c>
      <c r="M733" t="n">
        <v>0</v>
      </c>
      <c r="N733" t="n">
        <v>0</v>
      </c>
      <c r="O733" t="n">
        <v>0</v>
      </c>
      <c r="P733" t="n">
        <v>0</v>
      </c>
      <c r="Q733" t="n">
        <v>0</v>
      </c>
      <c r="R733" s="2" t="inlineStr"/>
    </row>
    <row r="734" ht="15" customHeight="1">
      <c r="A734" t="inlineStr">
        <is>
          <t>A 20296-2025</t>
        </is>
      </c>
      <c r="B734" s="1" t="n">
        <v>45774.74922453704</v>
      </c>
      <c r="C734" s="1" t="n">
        <v>46163</v>
      </c>
      <c r="D734" t="inlineStr">
        <is>
          <t>ÖSTERGÖTLANDS LÄN</t>
        </is>
      </c>
      <c r="E734" t="inlineStr">
        <is>
          <t>LINKÖPING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22770-2024</t>
        </is>
      </c>
      <c r="B735" s="1" t="n">
        <v>45448.4634375</v>
      </c>
      <c r="C735" s="1" t="n">
        <v>46163</v>
      </c>
      <c r="D735" t="inlineStr">
        <is>
          <t>ÖSTERGÖTLANDS LÄN</t>
        </is>
      </c>
      <c r="E735" t="inlineStr">
        <is>
          <t>LINKÖPING</t>
        </is>
      </c>
      <c r="F735" t="inlineStr">
        <is>
          <t>Sveaskog</t>
        </is>
      </c>
      <c r="G735" t="n">
        <v>3.4</v>
      </c>
      <c r="H735" t="n">
        <v>0</v>
      </c>
      <c r="I735" t="n">
        <v>0</v>
      </c>
      <c r="J735" t="n">
        <v>0</v>
      </c>
      <c r="K735" t="n">
        <v>0</v>
      </c>
      <c r="L735" t="n">
        <v>0</v>
      </c>
      <c r="M735" t="n">
        <v>0</v>
      </c>
      <c r="N735" t="n">
        <v>0</v>
      </c>
      <c r="O735" t="n">
        <v>0</v>
      </c>
      <c r="P735" t="n">
        <v>0</v>
      </c>
      <c r="Q735" t="n">
        <v>0</v>
      </c>
      <c r="R735" s="2" t="inlineStr"/>
    </row>
    <row r="736" ht="15" customHeight="1">
      <c r="A736" t="inlineStr">
        <is>
          <t>A 11595-2025</t>
        </is>
      </c>
      <c r="B736" s="1" t="n">
        <v>45727.41893518518</v>
      </c>
      <c r="C736" s="1" t="n">
        <v>46163</v>
      </c>
      <c r="D736" t="inlineStr">
        <is>
          <t>ÖSTERGÖTLANDS LÄN</t>
        </is>
      </c>
      <c r="E736" t="inlineStr">
        <is>
          <t>LINKÖPING</t>
        </is>
      </c>
      <c r="G736" t="n">
        <v>6.6</v>
      </c>
      <c r="H736" t="n">
        <v>0</v>
      </c>
      <c r="I736" t="n">
        <v>0</v>
      </c>
      <c r="J736" t="n">
        <v>0</v>
      </c>
      <c r="K736" t="n">
        <v>0</v>
      </c>
      <c r="L736" t="n">
        <v>0</v>
      </c>
      <c r="M736" t="n">
        <v>0</v>
      </c>
      <c r="N736" t="n">
        <v>0</v>
      </c>
      <c r="O736" t="n">
        <v>0</v>
      </c>
      <c r="P736" t="n">
        <v>0</v>
      </c>
      <c r="Q736" t="n">
        <v>0</v>
      </c>
      <c r="R736" s="2" t="inlineStr"/>
    </row>
    <row r="737" ht="15" customHeight="1">
      <c r="A737" t="inlineStr">
        <is>
          <t>A 48839-2022</t>
        </is>
      </c>
      <c r="B737" s="1" t="n">
        <v>44859</v>
      </c>
      <c r="C737" s="1" t="n">
        <v>46163</v>
      </c>
      <c r="D737" t="inlineStr">
        <is>
          <t>ÖSTERGÖTLANDS LÄN</t>
        </is>
      </c>
      <c r="E737" t="inlineStr">
        <is>
          <t>LINKÖPING</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8967-2025</t>
        </is>
      </c>
      <c r="B738" s="1" t="n">
        <v>45712</v>
      </c>
      <c r="C738" s="1" t="n">
        <v>46163</v>
      </c>
      <c r="D738" t="inlineStr">
        <is>
          <t>ÖSTERGÖTLANDS LÄN</t>
        </is>
      </c>
      <c r="E738" t="inlineStr">
        <is>
          <t>LINKÖPING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63678-2023</t>
        </is>
      </c>
      <c r="B739" s="1" t="n">
        <v>45275.64769675926</v>
      </c>
      <c r="C739" s="1" t="n">
        <v>46163</v>
      </c>
      <c r="D739" t="inlineStr">
        <is>
          <t>ÖSTERGÖTLANDS LÄN</t>
        </is>
      </c>
      <c r="E739" t="inlineStr">
        <is>
          <t>LINKÖPING</t>
        </is>
      </c>
      <c r="F739" t="inlineStr">
        <is>
          <t>Övriga Aktiebolag</t>
        </is>
      </c>
      <c r="G739" t="n">
        <v>0.4</v>
      </c>
      <c r="H739" t="n">
        <v>0</v>
      </c>
      <c r="I739" t="n">
        <v>0</v>
      </c>
      <c r="J739" t="n">
        <v>0</v>
      </c>
      <c r="K739" t="n">
        <v>0</v>
      </c>
      <c r="L739" t="n">
        <v>0</v>
      </c>
      <c r="M739" t="n">
        <v>0</v>
      </c>
      <c r="N739" t="n">
        <v>0</v>
      </c>
      <c r="O739" t="n">
        <v>0</v>
      </c>
      <c r="P739" t="n">
        <v>0</v>
      </c>
      <c r="Q739" t="n">
        <v>0</v>
      </c>
      <c r="R739" s="2" t="inlineStr"/>
    </row>
    <row r="740" ht="15" customHeight="1">
      <c r="A740" t="inlineStr">
        <is>
          <t>A 1844-2025</t>
        </is>
      </c>
      <c r="B740" s="1" t="n">
        <v>45671.57730324074</v>
      </c>
      <c r="C740" s="1" t="n">
        <v>46163</v>
      </c>
      <c r="D740" t="inlineStr">
        <is>
          <t>ÖSTERGÖTLANDS LÄN</t>
        </is>
      </c>
      <c r="E740" t="inlineStr">
        <is>
          <t>LINKÖPING</t>
        </is>
      </c>
      <c r="G740" t="n">
        <v>2</v>
      </c>
      <c r="H740" t="n">
        <v>0</v>
      </c>
      <c r="I740" t="n">
        <v>0</v>
      </c>
      <c r="J740" t="n">
        <v>0</v>
      </c>
      <c r="K740" t="n">
        <v>0</v>
      </c>
      <c r="L740" t="n">
        <v>0</v>
      </c>
      <c r="M740" t="n">
        <v>0</v>
      </c>
      <c r="N740" t="n">
        <v>0</v>
      </c>
      <c r="O740" t="n">
        <v>0</v>
      </c>
      <c r="P740" t="n">
        <v>0</v>
      </c>
      <c r="Q740" t="n">
        <v>0</v>
      </c>
      <c r="R740" s="2" t="inlineStr"/>
    </row>
    <row r="741" ht="15" customHeight="1">
      <c r="A741" t="inlineStr">
        <is>
          <t>A 21165-2025</t>
        </is>
      </c>
      <c r="B741" s="1" t="n">
        <v>45779.39417824074</v>
      </c>
      <c r="C741" s="1" t="n">
        <v>46163</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21155-2025</t>
        </is>
      </c>
      <c r="B742" s="1" t="n">
        <v>45779.37586805555</v>
      </c>
      <c r="C742" s="1" t="n">
        <v>46163</v>
      </c>
      <c r="D742" t="inlineStr">
        <is>
          <t>ÖSTERGÖTLANDS LÄN</t>
        </is>
      </c>
      <c r="E742" t="inlineStr">
        <is>
          <t>LINKÖPING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22264-2025</t>
        </is>
      </c>
      <c r="B743" s="1" t="n">
        <v>45785</v>
      </c>
      <c r="C743" s="1" t="n">
        <v>46163</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9473-2024</t>
        </is>
      </c>
      <c r="B744" s="1" t="n">
        <v>45359.55474537037</v>
      </c>
      <c r="C744" s="1" t="n">
        <v>46163</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6859-2024</t>
        </is>
      </c>
      <c r="B745" s="1" t="n">
        <v>45342</v>
      </c>
      <c r="C745" s="1" t="n">
        <v>46163</v>
      </c>
      <c r="D745" t="inlineStr">
        <is>
          <t>ÖSTERGÖTLANDS LÄN</t>
        </is>
      </c>
      <c r="E745" t="inlineStr">
        <is>
          <t>LINKÖPING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44287-2024</t>
        </is>
      </c>
      <c r="B746" s="1" t="n">
        <v>45573.50582175926</v>
      </c>
      <c r="C746" s="1" t="n">
        <v>46163</v>
      </c>
      <c r="D746" t="inlineStr">
        <is>
          <t>ÖSTERGÖTLANDS LÄN</t>
        </is>
      </c>
      <c r="E746" t="inlineStr">
        <is>
          <t>LINKÖPING</t>
        </is>
      </c>
      <c r="G746" t="n">
        <v>12.7</v>
      </c>
      <c r="H746" t="n">
        <v>0</v>
      </c>
      <c r="I746" t="n">
        <v>0</v>
      </c>
      <c r="J746" t="n">
        <v>0</v>
      </c>
      <c r="K746" t="n">
        <v>0</v>
      </c>
      <c r="L746" t="n">
        <v>0</v>
      </c>
      <c r="M746" t="n">
        <v>0</v>
      </c>
      <c r="N746" t="n">
        <v>0</v>
      </c>
      <c r="O746" t="n">
        <v>0</v>
      </c>
      <c r="P746" t="n">
        <v>0</v>
      </c>
      <c r="Q746" t="n">
        <v>0</v>
      </c>
      <c r="R746" s="2" t="inlineStr"/>
    </row>
    <row r="747" ht="15" customHeight="1">
      <c r="A747" t="inlineStr">
        <is>
          <t>A 22364-2025</t>
        </is>
      </c>
      <c r="B747" s="1" t="n">
        <v>45786.46930555555</v>
      </c>
      <c r="C747" s="1" t="n">
        <v>46163</v>
      </c>
      <c r="D747" t="inlineStr">
        <is>
          <t>ÖSTERGÖTLANDS LÄN</t>
        </is>
      </c>
      <c r="E747" t="inlineStr">
        <is>
          <t>LINKÖPING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572-2025</t>
        </is>
      </c>
      <c r="B748" s="1" t="n">
        <v>45664.56349537037</v>
      </c>
      <c r="C748" s="1" t="n">
        <v>46163</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10797-2024</t>
        </is>
      </c>
      <c r="B749" s="1" t="n">
        <v>45369.6190162037</v>
      </c>
      <c r="C749" s="1" t="n">
        <v>46163</v>
      </c>
      <c r="D749" t="inlineStr">
        <is>
          <t>ÖSTERGÖTLANDS LÄN</t>
        </is>
      </c>
      <c r="E749" t="inlineStr">
        <is>
          <t>LINKÖPING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38580-2024</t>
        </is>
      </c>
      <c r="B750" s="1" t="n">
        <v>45546.64825231482</v>
      </c>
      <c r="C750" s="1" t="n">
        <v>46163</v>
      </c>
      <c r="D750" t="inlineStr">
        <is>
          <t>ÖSTERGÖTLANDS LÄN</t>
        </is>
      </c>
      <c r="E750" t="inlineStr">
        <is>
          <t>LINKÖPING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57752-2023</t>
        </is>
      </c>
      <c r="B751" s="1" t="n">
        <v>45246.78474537037</v>
      </c>
      <c r="C751" s="1" t="n">
        <v>46163</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29312-2024</t>
        </is>
      </c>
      <c r="B752" s="1" t="n">
        <v>45483</v>
      </c>
      <c r="C752" s="1" t="n">
        <v>46163</v>
      </c>
      <c r="D752" t="inlineStr">
        <is>
          <t>ÖSTERGÖTLANDS LÄN</t>
        </is>
      </c>
      <c r="E752" t="inlineStr">
        <is>
          <t>LINKÖPING</t>
        </is>
      </c>
      <c r="G752" t="n">
        <v>2.1</v>
      </c>
      <c r="H752" t="n">
        <v>0</v>
      </c>
      <c r="I752" t="n">
        <v>0</v>
      </c>
      <c r="J752" t="n">
        <v>0</v>
      </c>
      <c r="K752" t="n">
        <v>0</v>
      </c>
      <c r="L752" t="n">
        <v>0</v>
      </c>
      <c r="M752" t="n">
        <v>0</v>
      </c>
      <c r="N752" t="n">
        <v>0</v>
      </c>
      <c r="O752" t="n">
        <v>0</v>
      </c>
      <c r="P752" t="n">
        <v>0</v>
      </c>
      <c r="Q752" t="n">
        <v>0</v>
      </c>
      <c r="R752" s="2" t="inlineStr"/>
    </row>
    <row r="753" ht="15" customHeight="1">
      <c r="A753" t="inlineStr">
        <is>
          <t>A 23120-2025</t>
        </is>
      </c>
      <c r="B753" s="1" t="n">
        <v>45791.37481481482</v>
      </c>
      <c r="C753" s="1" t="n">
        <v>46163</v>
      </c>
      <c r="D753" t="inlineStr">
        <is>
          <t>ÖSTERGÖTLANDS LÄN</t>
        </is>
      </c>
      <c r="E753" t="inlineStr">
        <is>
          <t>LINKÖPING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23768-2025</t>
        </is>
      </c>
      <c r="B754" s="1" t="n">
        <v>45793.47493055555</v>
      </c>
      <c r="C754" s="1" t="n">
        <v>46163</v>
      </c>
      <c r="D754" t="inlineStr">
        <is>
          <t>ÖSTERGÖTLANDS LÄN</t>
        </is>
      </c>
      <c r="E754" t="inlineStr">
        <is>
          <t>LINKÖPING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48699-2024</t>
        </is>
      </c>
      <c r="B755" s="1" t="n">
        <v>45593.52091435185</v>
      </c>
      <c r="C755" s="1" t="n">
        <v>46163</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13911-2025</t>
        </is>
      </c>
      <c r="B756" s="1" t="n">
        <v>45737.64784722222</v>
      </c>
      <c r="C756" s="1" t="n">
        <v>46163</v>
      </c>
      <c r="D756" t="inlineStr">
        <is>
          <t>ÖSTERGÖTLANDS LÄN</t>
        </is>
      </c>
      <c r="E756" t="inlineStr">
        <is>
          <t>LINKÖPING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44280-2024</t>
        </is>
      </c>
      <c r="B757" s="1" t="n">
        <v>45573.49461805556</v>
      </c>
      <c r="C757" s="1" t="n">
        <v>46163</v>
      </c>
      <c r="D757" t="inlineStr">
        <is>
          <t>ÖSTERGÖTLANDS LÄN</t>
        </is>
      </c>
      <c r="E757" t="inlineStr">
        <is>
          <t>LINKÖPING</t>
        </is>
      </c>
      <c r="G757" t="n">
        <v>5.3</v>
      </c>
      <c r="H757" t="n">
        <v>0</v>
      </c>
      <c r="I757" t="n">
        <v>0</v>
      </c>
      <c r="J757" t="n">
        <v>0</v>
      </c>
      <c r="K757" t="n">
        <v>0</v>
      </c>
      <c r="L757" t="n">
        <v>0</v>
      </c>
      <c r="M757" t="n">
        <v>0</v>
      </c>
      <c r="N757" t="n">
        <v>0</v>
      </c>
      <c r="O757" t="n">
        <v>0</v>
      </c>
      <c r="P757" t="n">
        <v>0</v>
      </c>
      <c r="Q757" t="n">
        <v>0</v>
      </c>
      <c r="R757" s="2" t="inlineStr"/>
    </row>
    <row r="758" ht="15" customHeight="1">
      <c r="A758" t="inlineStr">
        <is>
          <t>A 26002-2025</t>
        </is>
      </c>
      <c r="B758" s="1" t="n">
        <v>45804.66534722222</v>
      </c>
      <c r="C758" s="1" t="n">
        <v>46163</v>
      </c>
      <c r="D758" t="inlineStr">
        <is>
          <t>ÖSTERGÖTLANDS LÄN</t>
        </is>
      </c>
      <c r="E758" t="inlineStr">
        <is>
          <t>LINKÖPING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25996-2025</t>
        </is>
      </c>
      <c r="B759" s="1" t="n">
        <v>45804.65851851852</v>
      </c>
      <c r="C759" s="1" t="n">
        <v>46163</v>
      </c>
      <c r="D759" t="inlineStr">
        <is>
          <t>ÖSTERGÖTLANDS LÄN</t>
        </is>
      </c>
      <c r="E759" t="inlineStr">
        <is>
          <t>LINKÖPING</t>
        </is>
      </c>
      <c r="G759" t="n">
        <v>3.2</v>
      </c>
      <c r="H759" t="n">
        <v>0</v>
      </c>
      <c r="I759" t="n">
        <v>0</v>
      </c>
      <c r="J759" t="n">
        <v>0</v>
      </c>
      <c r="K759" t="n">
        <v>0</v>
      </c>
      <c r="L759" t="n">
        <v>0</v>
      </c>
      <c r="M759" t="n">
        <v>0</v>
      </c>
      <c r="N759" t="n">
        <v>0</v>
      </c>
      <c r="O759" t="n">
        <v>0</v>
      </c>
      <c r="P759" t="n">
        <v>0</v>
      </c>
      <c r="Q759" t="n">
        <v>0</v>
      </c>
      <c r="R759" s="2" t="inlineStr"/>
    </row>
    <row r="760" ht="15" customHeight="1">
      <c r="A760" t="inlineStr">
        <is>
          <t>A 27950-2025</t>
        </is>
      </c>
      <c r="B760" s="1" t="n">
        <v>45817.52960648148</v>
      </c>
      <c r="C760" s="1" t="n">
        <v>46163</v>
      </c>
      <c r="D760" t="inlineStr">
        <is>
          <t>ÖSTERGÖTLANDS LÄN</t>
        </is>
      </c>
      <c r="E760" t="inlineStr">
        <is>
          <t>LINKÖPING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27797-2025</t>
        </is>
      </c>
      <c r="B761" s="1" t="n">
        <v>45816.80521990741</v>
      </c>
      <c r="C761" s="1" t="n">
        <v>46163</v>
      </c>
      <c r="D761" t="inlineStr">
        <is>
          <t>ÖSTERGÖTLANDS LÄN</t>
        </is>
      </c>
      <c r="E761" t="inlineStr">
        <is>
          <t>LINKÖPING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27798-2025</t>
        </is>
      </c>
      <c r="B762" s="1" t="n">
        <v>45816.81532407407</v>
      </c>
      <c r="C762" s="1" t="n">
        <v>46163</v>
      </c>
      <c r="D762" t="inlineStr">
        <is>
          <t>ÖSTERGÖTLANDS LÄN</t>
        </is>
      </c>
      <c r="E762" t="inlineStr">
        <is>
          <t>LINKÖPING</t>
        </is>
      </c>
      <c r="G762" t="n">
        <v>1.9</v>
      </c>
      <c r="H762" t="n">
        <v>0</v>
      </c>
      <c r="I762" t="n">
        <v>0</v>
      </c>
      <c r="J762" t="n">
        <v>0</v>
      </c>
      <c r="K762" t="n">
        <v>0</v>
      </c>
      <c r="L762" t="n">
        <v>0</v>
      </c>
      <c r="M762" t="n">
        <v>0</v>
      </c>
      <c r="N762" t="n">
        <v>0</v>
      </c>
      <c r="O762" t="n">
        <v>0</v>
      </c>
      <c r="P762" t="n">
        <v>0</v>
      </c>
      <c r="Q762" t="n">
        <v>0</v>
      </c>
      <c r="R762" s="2" t="inlineStr"/>
    </row>
    <row r="763" ht="15" customHeight="1">
      <c r="A763" t="inlineStr">
        <is>
          <t>A 28200-2025</t>
        </is>
      </c>
      <c r="B763" s="1" t="n">
        <v>45818.4428125</v>
      </c>
      <c r="C763" s="1" t="n">
        <v>46163</v>
      </c>
      <c r="D763" t="inlineStr">
        <is>
          <t>ÖSTERGÖTLANDS LÄN</t>
        </is>
      </c>
      <c r="E763" t="inlineStr">
        <is>
          <t>LINKÖPING</t>
        </is>
      </c>
      <c r="G763" t="n">
        <v>1.4</v>
      </c>
      <c r="H763" t="n">
        <v>0</v>
      </c>
      <c r="I763" t="n">
        <v>0</v>
      </c>
      <c r="J763" t="n">
        <v>0</v>
      </c>
      <c r="K763" t="n">
        <v>0</v>
      </c>
      <c r="L763" t="n">
        <v>0</v>
      </c>
      <c r="M763" t="n">
        <v>0</v>
      </c>
      <c r="N763" t="n">
        <v>0</v>
      </c>
      <c r="O763" t="n">
        <v>0</v>
      </c>
      <c r="P763" t="n">
        <v>0</v>
      </c>
      <c r="Q763" t="n">
        <v>0</v>
      </c>
      <c r="R763" s="2" t="inlineStr"/>
    </row>
    <row r="764" ht="15" customHeight="1">
      <c r="A764" t="inlineStr">
        <is>
          <t>A 28204-2025</t>
        </is>
      </c>
      <c r="B764" s="1" t="n">
        <v>45818.4477662037</v>
      </c>
      <c r="C764" s="1" t="n">
        <v>46163</v>
      </c>
      <c r="D764" t="inlineStr">
        <is>
          <t>ÖSTERGÖTLANDS LÄN</t>
        </is>
      </c>
      <c r="E764" t="inlineStr">
        <is>
          <t>LINKÖPING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28416-2025</t>
        </is>
      </c>
      <c r="B765" s="1" t="n">
        <v>45819.35346064815</v>
      </c>
      <c r="C765" s="1" t="n">
        <v>46163</v>
      </c>
      <c r="D765" t="inlineStr">
        <is>
          <t>ÖSTERGÖTLANDS LÄN</t>
        </is>
      </c>
      <c r="E765" t="inlineStr">
        <is>
          <t>LINKÖPING</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28398-2025</t>
        </is>
      </c>
      <c r="B766" s="1" t="n">
        <v>45819.34208333334</v>
      </c>
      <c r="C766" s="1" t="n">
        <v>46163</v>
      </c>
      <c r="D766" t="inlineStr">
        <is>
          <t>ÖSTERGÖTLANDS LÄN</t>
        </is>
      </c>
      <c r="E766" t="inlineStr">
        <is>
          <t>LINKÖPING</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28209-2025</t>
        </is>
      </c>
      <c r="B767" s="1" t="n">
        <v>45818.45112268518</v>
      </c>
      <c r="C767" s="1" t="n">
        <v>46163</v>
      </c>
      <c r="D767" t="inlineStr">
        <is>
          <t>ÖSTERGÖTLANDS LÄN</t>
        </is>
      </c>
      <c r="E767" t="inlineStr">
        <is>
          <t>LINKÖPING</t>
        </is>
      </c>
      <c r="G767" t="n">
        <v>4.2</v>
      </c>
      <c r="H767" t="n">
        <v>0</v>
      </c>
      <c r="I767" t="n">
        <v>0</v>
      </c>
      <c r="J767" t="n">
        <v>0</v>
      </c>
      <c r="K767" t="n">
        <v>0</v>
      </c>
      <c r="L767" t="n">
        <v>0</v>
      </c>
      <c r="M767" t="n">
        <v>0</v>
      </c>
      <c r="N767" t="n">
        <v>0</v>
      </c>
      <c r="O767" t="n">
        <v>0</v>
      </c>
      <c r="P767" t="n">
        <v>0</v>
      </c>
      <c r="Q767" t="n">
        <v>0</v>
      </c>
      <c r="R767" s="2" t="inlineStr"/>
    </row>
    <row r="768" ht="15" customHeight="1">
      <c r="A768" t="inlineStr">
        <is>
          <t>A 29027-2025</t>
        </is>
      </c>
      <c r="B768" s="1" t="n">
        <v>45821.4375462963</v>
      </c>
      <c r="C768" s="1" t="n">
        <v>46163</v>
      </c>
      <c r="D768" t="inlineStr">
        <is>
          <t>ÖSTERGÖTLANDS LÄN</t>
        </is>
      </c>
      <c r="E768" t="inlineStr">
        <is>
          <t>LINKÖPING</t>
        </is>
      </c>
      <c r="G768" t="n">
        <v>0.5</v>
      </c>
      <c r="H768" t="n">
        <v>0</v>
      </c>
      <c r="I768" t="n">
        <v>0</v>
      </c>
      <c r="J768" t="n">
        <v>0</v>
      </c>
      <c r="K768" t="n">
        <v>0</v>
      </c>
      <c r="L768" t="n">
        <v>0</v>
      </c>
      <c r="M768" t="n">
        <v>0</v>
      </c>
      <c r="N768" t="n">
        <v>0</v>
      </c>
      <c r="O768" t="n">
        <v>0</v>
      </c>
      <c r="P768" t="n">
        <v>0</v>
      </c>
      <c r="Q768" t="n">
        <v>0</v>
      </c>
      <c r="R768" s="2" t="inlineStr"/>
    </row>
    <row r="769">
      <c r="A769" t="inlineStr">
        <is>
          <t>A 29411-2025</t>
        </is>
      </c>
      <c r="B769" s="1" t="n">
        <v>45824.6219212963</v>
      </c>
      <c r="C769" s="1" t="n">
        <v>46163</v>
      </c>
      <c r="D769" t="inlineStr">
        <is>
          <t>ÖSTERGÖTLANDS LÄN</t>
        </is>
      </c>
      <c r="E769" t="inlineStr">
        <is>
          <t>LINKÖPING</t>
        </is>
      </c>
      <c r="F769" t="inlineStr">
        <is>
          <t>Sveaskog</t>
        </is>
      </c>
      <c r="G769" t="n">
        <v>0.6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2026-05-21T10:52:40Z</dcterms:created>
  <dcterms:modified xmlns:dcterms="http://purl.org/dc/terms/" xmlns:xsi="http://www.w3.org/2001/XMLSchema-instance" xsi:type="dcterms:W3CDTF">2026-05-21T10:52:41Z</dcterms:modified>
</cp:coreProperties>
</file>