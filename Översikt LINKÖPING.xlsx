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45886</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45886</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45886</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45886</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45886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577-2025</t>
        </is>
      </c>
      <c r="B15" s="1" t="n">
        <v>45664.56525462963</v>
      </c>
      <c r="C15" s="1" t="n">
        <v>45886</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45886</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44668-2020</t>
        </is>
      </c>
      <c r="B17" s="1" t="n">
        <v>44085</v>
      </c>
      <c r="C17" s="1" t="n">
        <v>45886</v>
      </c>
      <c r="D17" t="inlineStr">
        <is>
          <t>ÖSTERGÖTLANDS LÄN</t>
        </is>
      </c>
      <c r="E17" t="inlineStr">
        <is>
          <t>LINKÖPING</t>
        </is>
      </c>
      <c r="G17" t="n">
        <v>15.2</v>
      </c>
      <c r="H17" t="n">
        <v>0</v>
      </c>
      <c r="I17" t="n">
        <v>0</v>
      </c>
      <c r="J17" t="n">
        <v>2</v>
      </c>
      <c r="K17" t="n">
        <v>0</v>
      </c>
      <c r="L17" t="n">
        <v>0</v>
      </c>
      <c r="M17" t="n">
        <v>1</v>
      </c>
      <c r="N17" t="n">
        <v>0</v>
      </c>
      <c r="O17" t="n">
        <v>3</v>
      </c>
      <c r="P17" t="n">
        <v>1</v>
      </c>
      <c r="Q17" t="n">
        <v>3</v>
      </c>
      <c r="R17" s="2" t="inlineStr">
        <is>
          <t>Skogsalm
Riddarsporre
Sommarfibbla</t>
        </is>
      </c>
      <c r="S17">
        <f>HYPERLINK("https://klasma.github.io/Logging_0580/artfynd/A 44668-2020 artfynd.xlsx", "A 44668-2020")</f>
        <v/>
      </c>
      <c r="T17">
        <f>HYPERLINK("https://klasma.github.io/Logging_0580/kartor/A 44668-2020 karta.png", "A 44668-2020")</f>
        <v/>
      </c>
      <c r="V17">
        <f>HYPERLINK("https://klasma.github.io/Logging_0580/klagomål/A 44668-2020 FSC-klagomål.docx", "A 44668-2020")</f>
        <v/>
      </c>
      <c r="W17">
        <f>HYPERLINK("https://klasma.github.io/Logging_0580/klagomålsmail/A 44668-2020 FSC-klagomål mail.docx", "A 44668-2020")</f>
        <v/>
      </c>
      <c r="X17">
        <f>HYPERLINK("https://klasma.github.io/Logging_0580/tillsyn/A 44668-2020 tillsynsbegäran.docx", "A 44668-2020")</f>
        <v/>
      </c>
      <c r="Y17">
        <f>HYPERLINK("https://klasma.github.io/Logging_0580/tillsynsmail/A 44668-2020 tillsynsbegäran mail.docx", "A 44668-2020")</f>
        <v/>
      </c>
    </row>
    <row r="18" ht="15" customHeight="1">
      <c r="A18" t="inlineStr">
        <is>
          <t>A 9192-2025</t>
        </is>
      </c>
      <c r="B18" s="1" t="n">
        <v>45714.45943287037</v>
      </c>
      <c r="C18" s="1" t="n">
        <v>45886</v>
      </c>
      <c r="D18" t="inlineStr">
        <is>
          <t>ÖSTERGÖTLANDS LÄN</t>
        </is>
      </c>
      <c r="E18" t="inlineStr">
        <is>
          <t>LINKÖPING</t>
        </is>
      </c>
      <c r="F18" t="inlineStr">
        <is>
          <t>Allmännings- och besparingsskogar</t>
        </is>
      </c>
      <c r="G18" t="n">
        <v>17.4</v>
      </c>
      <c r="H18" t="n">
        <v>2</v>
      </c>
      <c r="I18" t="n">
        <v>2</v>
      </c>
      <c r="J18" t="n">
        <v>0</v>
      </c>
      <c r="K18" t="n">
        <v>0</v>
      </c>
      <c r="L18" t="n">
        <v>0</v>
      </c>
      <c r="M18" t="n">
        <v>0</v>
      </c>
      <c r="N18" t="n">
        <v>0</v>
      </c>
      <c r="O18" t="n">
        <v>0</v>
      </c>
      <c r="P18" t="n">
        <v>0</v>
      </c>
      <c r="Q18" t="n">
        <v>3</v>
      </c>
      <c r="R18" s="2" t="inlineStr">
        <is>
          <t>Purpurknipprot
Svart jordtunga
Fläcknycklar</t>
        </is>
      </c>
      <c r="S18">
        <f>HYPERLINK("https://klasma.github.io/Logging_0580/artfynd/A 9192-2025 artfynd.xlsx", "A 9192-2025")</f>
        <v/>
      </c>
      <c r="T18">
        <f>HYPERLINK("https://klasma.github.io/Logging_0580/kartor/A 9192-2025 karta.png", "A 9192-2025")</f>
        <v/>
      </c>
      <c r="V18">
        <f>HYPERLINK("https://klasma.github.io/Logging_0580/klagomål/A 9192-2025 FSC-klagomål.docx", "A 9192-2025")</f>
        <v/>
      </c>
      <c r="W18">
        <f>HYPERLINK("https://klasma.github.io/Logging_0580/klagomålsmail/A 9192-2025 FSC-klagomål mail.docx", "A 9192-2025")</f>
        <v/>
      </c>
      <c r="X18">
        <f>HYPERLINK("https://klasma.github.io/Logging_0580/tillsyn/A 9192-2025 tillsynsbegäran.docx", "A 9192-2025")</f>
        <v/>
      </c>
      <c r="Y18">
        <f>HYPERLINK("https://klasma.github.io/Logging_0580/tillsynsmail/A 9192-2025 tillsynsbegäran mail.docx", "A 9192-2025")</f>
        <v/>
      </c>
    </row>
    <row r="19" ht="15" customHeight="1">
      <c r="A19" t="inlineStr">
        <is>
          <t>A 55341-2024</t>
        </is>
      </c>
      <c r="B19" s="1" t="n">
        <v>45621.71255787037</v>
      </c>
      <c r="C19" s="1" t="n">
        <v>45886</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45886</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45886</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49188-2024</t>
        </is>
      </c>
      <c r="B22" s="1" t="n">
        <v>45595</v>
      </c>
      <c r="C22" s="1" t="n">
        <v>45886</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20297-2025</t>
        </is>
      </c>
      <c r="B23" s="1" t="n">
        <v>45774.74971064815</v>
      </c>
      <c r="C23" s="1" t="n">
        <v>45886</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50404-2023</t>
        </is>
      </c>
      <c r="B24" s="1" t="n">
        <v>45216</v>
      </c>
      <c r="C24" s="1" t="n">
        <v>45886</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21326-2025</t>
        </is>
      </c>
      <c r="B25" s="1" t="n">
        <v>45782.35407407407</v>
      </c>
      <c r="C25" s="1" t="n">
        <v>45886</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45886</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25985-2025</t>
        </is>
      </c>
      <c r="B27" s="1" t="n">
        <v>45804.64479166667</v>
      </c>
      <c r="C27" s="1" t="n">
        <v>45886</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58068-2021</t>
        </is>
      </c>
      <c r="B28" s="1" t="n">
        <v>44487</v>
      </c>
      <c r="C28" s="1" t="n">
        <v>45886</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27795-2025</t>
        </is>
      </c>
      <c r="B29" s="1" t="n">
        <v>45816.7908912037</v>
      </c>
      <c r="C29" s="1" t="n">
        <v>45886</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42858-2023</t>
        </is>
      </c>
      <c r="B30" s="1" t="n">
        <v>45177</v>
      </c>
      <c r="C30" s="1" t="n">
        <v>45886</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45886</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41751-2023</t>
        </is>
      </c>
      <c r="B32" s="1" t="n">
        <v>45176</v>
      </c>
      <c r="C32" s="1" t="n">
        <v>45886</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45886</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27981-2022</t>
        </is>
      </c>
      <c r="B34" s="1" t="n">
        <v>44745</v>
      </c>
      <c r="C34" s="1" t="n">
        <v>45886</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14879-2024</t>
        </is>
      </c>
      <c r="B35" s="1" t="n">
        <v>45398</v>
      </c>
      <c r="C35" s="1" t="n">
        <v>45886</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45886</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45886</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38129-2021</t>
        </is>
      </c>
      <c r="B38" s="1" t="n">
        <v>44405.37199074074</v>
      </c>
      <c r="C38" s="1" t="n">
        <v>45886</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45886</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45886</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45886</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71127-2021</t>
        </is>
      </c>
      <c r="B42" s="1" t="n">
        <v>44537</v>
      </c>
      <c r="C42" s="1" t="n">
        <v>45886</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45886</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45886</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45886</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45886</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45886</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45886</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45886</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45886</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45886</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45886</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45886</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45886</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45886</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27403-2025</t>
        </is>
      </c>
      <c r="B56" s="1" t="n">
        <v>45812.72518518518</v>
      </c>
      <c r="C56" s="1" t="n">
        <v>45886</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56651-2023</t>
        </is>
      </c>
      <c r="B57" s="1" t="n">
        <v>45243</v>
      </c>
      <c r="C57" s="1" t="n">
        <v>45886</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1213-2023</t>
        </is>
      </c>
      <c r="B58" s="1" t="n">
        <v>44930</v>
      </c>
      <c r="C58" s="1" t="n">
        <v>45886</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62071-2023</t>
        </is>
      </c>
      <c r="B59" s="1" t="n">
        <v>45266.73542824074</v>
      </c>
      <c r="C59" s="1" t="n">
        <v>45886</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90-2024</t>
        </is>
      </c>
      <c r="B60" s="1" t="n">
        <v>45293</v>
      </c>
      <c r="C60" s="1" t="n">
        <v>45886</v>
      </c>
      <c r="D60" t="inlineStr">
        <is>
          <t>ÖSTERGÖTLANDS LÄN</t>
        </is>
      </c>
      <c r="E60" t="inlineStr">
        <is>
          <t>LINKÖPING</t>
        </is>
      </c>
      <c r="G60" t="n">
        <v>1.8</v>
      </c>
      <c r="H60" t="n">
        <v>0</v>
      </c>
      <c r="I60" t="n">
        <v>1</v>
      </c>
      <c r="J60" t="n">
        <v>0</v>
      </c>
      <c r="K60" t="n">
        <v>0</v>
      </c>
      <c r="L60" t="n">
        <v>0</v>
      </c>
      <c r="M60" t="n">
        <v>0</v>
      </c>
      <c r="N60" t="n">
        <v>0</v>
      </c>
      <c r="O60" t="n">
        <v>0</v>
      </c>
      <c r="P60" t="n">
        <v>0</v>
      </c>
      <c r="Q60" t="n">
        <v>1</v>
      </c>
      <c r="R60" s="2" t="inlineStr">
        <is>
          <t>Grov fjädermossa</t>
        </is>
      </c>
      <c r="S60">
        <f>HYPERLINK("https://klasma.github.io/Logging_0580/artfynd/A 90-2024 artfynd.xlsx", "A 90-2024")</f>
        <v/>
      </c>
      <c r="T60">
        <f>HYPERLINK("https://klasma.github.io/Logging_0580/kartor/A 90-2024 karta.png", "A 90-2024")</f>
        <v/>
      </c>
      <c r="V60">
        <f>HYPERLINK("https://klasma.github.io/Logging_0580/klagomål/A 90-2024 FSC-klagomål.docx", "A 90-2024")</f>
        <v/>
      </c>
      <c r="W60">
        <f>HYPERLINK("https://klasma.github.io/Logging_0580/klagomålsmail/A 90-2024 FSC-klagomål mail.docx", "A 90-2024")</f>
        <v/>
      </c>
      <c r="X60">
        <f>HYPERLINK("https://klasma.github.io/Logging_0580/tillsyn/A 90-2024 tillsynsbegäran.docx", "A 90-2024")</f>
        <v/>
      </c>
      <c r="Y60">
        <f>HYPERLINK("https://klasma.github.io/Logging_0580/tillsynsmail/A 90-2024 tillsynsbegäran mail.docx", "A 90-2024")</f>
        <v/>
      </c>
    </row>
    <row r="61" ht="15" customHeight="1">
      <c r="A61" t="inlineStr">
        <is>
          <t>A 17444-2025</t>
        </is>
      </c>
      <c r="B61" s="1" t="n">
        <v>45757.43452546297</v>
      </c>
      <c r="C61" s="1" t="n">
        <v>45886</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48984-2020</t>
        </is>
      </c>
      <c r="B62" s="1" t="n">
        <v>44104</v>
      </c>
      <c r="C62" s="1" t="n">
        <v>45886</v>
      </c>
      <c r="D62" t="inlineStr">
        <is>
          <t>ÖSTERGÖTLANDS LÄN</t>
        </is>
      </c>
      <c r="E62" t="inlineStr">
        <is>
          <t>LINKÖPING</t>
        </is>
      </c>
      <c r="G62" t="n">
        <v>2.8</v>
      </c>
      <c r="H62" t="n">
        <v>0</v>
      </c>
      <c r="I62" t="n">
        <v>0</v>
      </c>
      <c r="J62" t="n">
        <v>1</v>
      </c>
      <c r="K62" t="n">
        <v>0</v>
      </c>
      <c r="L62" t="n">
        <v>0</v>
      </c>
      <c r="M62" t="n">
        <v>0</v>
      </c>
      <c r="N62" t="n">
        <v>0</v>
      </c>
      <c r="O62" t="n">
        <v>1</v>
      </c>
      <c r="P62" t="n">
        <v>0</v>
      </c>
      <c r="Q62" t="n">
        <v>1</v>
      </c>
      <c r="R62" s="2" t="inlineStr">
        <is>
          <t>Vårstarr</t>
        </is>
      </c>
      <c r="S62">
        <f>HYPERLINK("https://klasma.github.io/Logging_0580/artfynd/A 48984-2020 artfynd.xlsx", "A 48984-2020")</f>
        <v/>
      </c>
      <c r="T62">
        <f>HYPERLINK("https://klasma.github.io/Logging_0580/kartor/A 48984-2020 karta.png", "A 48984-2020")</f>
        <v/>
      </c>
      <c r="V62">
        <f>HYPERLINK("https://klasma.github.io/Logging_0580/klagomål/A 48984-2020 FSC-klagomål.docx", "A 48984-2020")</f>
        <v/>
      </c>
      <c r="W62">
        <f>HYPERLINK("https://klasma.github.io/Logging_0580/klagomålsmail/A 48984-2020 FSC-klagomål mail.docx", "A 48984-2020")</f>
        <v/>
      </c>
      <c r="X62">
        <f>HYPERLINK("https://klasma.github.io/Logging_0580/tillsyn/A 48984-2020 tillsynsbegäran.docx", "A 48984-2020")</f>
        <v/>
      </c>
      <c r="Y62">
        <f>HYPERLINK("https://klasma.github.io/Logging_0580/tillsynsmail/A 48984-2020 tillsynsbegäran mail.docx", "A 48984-2020")</f>
        <v/>
      </c>
    </row>
    <row r="63" ht="15" customHeight="1">
      <c r="A63" t="inlineStr">
        <is>
          <t>A 50806-2023</t>
        </is>
      </c>
      <c r="B63" s="1" t="n">
        <v>45217</v>
      </c>
      <c r="C63" s="1" t="n">
        <v>45886</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40309-2024</t>
        </is>
      </c>
      <c r="B64" s="1" t="n">
        <v>45554.724375</v>
      </c>
      <c r="C64" s="1" t="n">
        <v>45886</v>
      </c>
      <c r="D64" t="inlineStr">
        <is>
          <t>ÖSTERGÖTLANDS LÄN</t>
        </is>
      </c>
      <c r="E64" t="inlineStr">
        <is>
          <t>LINKÖPING</t>
        </is>
      </c>
      <c r="F64" t="inlineStr">
        <is>
          <t>Allmännings- och besparingsskogar</t>
        </is>
      </c>
      <c r="G64" t="n">
        <v>6</v>
      </c>
      <c r="H64" t="n">
        <v>0</v>
      </c>
      <c r="I64" t="n">
        <v>0</v>
      </c>
      <c r="J64" t="n">
        <v>1</v>
      </c>
      <c r="K64" t="n">
        <v>0</v>
      </c>
      <c r="L64" t="n">
        <v>0</v>
      </c>
      <c r="M64" t="n">
        <v>0</v>
      </c>
      <c r="N64" t="n">
        <v>0</v>
      </c>
      <c r="O64" t="n">
        <v>1</v>
      </c>
      <c r="P64" t="n">
        <v>0</v>
      </c>
      <c r="Q64" t="n">
        <v>1</v>
      </c>
      <c r="R64" s="2" t="inlineStr">
        <is>
          <t>Garnlav</t>
        </is>
      </c>
      <c r="S64">
        <f>HYPERLINK("https://klasma.github.io/Logging_0580/artfynd/A 40309-2024 artfynd.xlsx", "A 40309-2024")</f>
        <v/>
      </c>
      <c r="T64">
        <f>HYPERLINK("https://klasma.github.io/Logging_0580/kartor/A 40309-2024 karta.png", "A 40309-2024")</f>
        <v/>
      </c>
      <c r="V64">
        <f>HYPERLINK("https://klasma.github.io/Logging_0580/klagomål/A 40309-2024 FSC-klagomål.docx", "A 40309-2024")</f>
        <v/>
      </c>
      <c r="W64">
        <f>HYPERLINK("https://klasma.github.io/Logging_0580/klagomålsmail/A 40309-2024 FSC-klagomål mail.docx", "A 40309-2024")</f>
        <v/>
      </c>
      <c r="X64">
        <f>HYPERLINK("https://klasma.github.io/Logging_0580/tillsyn/A 40309-2024 tillsynsbegäran.docx", "A 40309-2024")</f>
        <v/>
      </c>
      <c r="Y64">
        <f>HYPERLINK("https://klasma.github.io/Logging_0580/tillsynsmail/A 40309-2024 tillsynsbegäran mail.docx", "A 40309-2024")</f>
        <v/>
      </c>
    </row>
    <row r="65" ht="15" customHeight="1">
      <c r="A65" t="inlineStr">
        <is>
          <t>A 60573-2021</t>
        </is>
      </c>
      <c r="B65" s="1" t="n">
        <v>44496</v>
      </c>
      <c r="C65" s="1" t="n">
        <v>45886</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5984-2025</t>
        </is>
      </c>
      <c r="B66" s="1" t="n">
        <v>45695.55173611111</v>
      </c>
      <c r="C66" s="1" t="n">
        <v>45886</v>
      </c>
      <c r="D66" t="inlineStr">
        <is>
          <t>ÖSTERGÖTLANDS LÄN</t>
        </is>
      </c>
      <c r="E66" t="inlineStr">
        <is>
          <t>LINKÖPING</t>
        </is>
      </c>
      <c r="F66" t="inlineStr">
        <is>
          <t>Allmännings- och besparingsskogar</t>
        </is>
      </c>
      <c r="G66" t="n">
        <v>5.5</v>
      </c>
      <c r="H66" t="n">
        <v>0</v>
      </c>
      <c r="I66" t="n">
        <v>0</v>
      </c>
      <c r="J66" t="n">
        <v>1</v>
      </c>
      <c r="K66" t="n">
        <v>0</v>
      </c>
      <c r="L66" t="n">
        <v>0</v>
      </c>
      <c r="M66" t="n">
        <v>0</v>
      </c>
      <c r="N66" t="n">
        <v>0</v>
      </c>
      <c r="O66" t="n">
        <v>1</v>
      </c>
      <c r="P66" t="n">
        <v>0</v>
      </c>
      <c r="Q66" t="n">
        <v>1</v>
      </c>
      <c r="R66" s="2" t="inlineStr">
        <is>
          <t>Vanlig backsmörblomma</t>
        </is>
      </c>
      <c r="S66">
        <f>HYPERLINK("https://klasma.github.io/Logging_0580/artfynd/A 5984-2025 artfynd.xlsx", "A 5984-2025")</f>
        <v/>
      </c>
      <c r="T66">
        <f>HYPERLINK("https://klasma.github.io/Logging_0580/kartor/A 5984-2025 karta.png", "A 5984-2025")</f>
        <v/>
      </c>
      <c r="V66">
        <f>HYPERLINK("https://klasma.github.io/Logging_0580/klagomål/A 5984-2025 FSC-klagomål.docx", "A 5984-2025")</f>
        <v/>
      </c>
      <c r="W66">
        <f>HYPERLINK("https://klasma.github.io/Logging_0580/klagomålsmail/A 5984-2025 FSC-klagomål mail.docx", "A 5984-2025")</f>
        <v/>
      </c>
      <c r="X66">
        <f>HYPERLINK("https://klasma.github.io/Logging_0580/tillsyn/A 5984-2025 tillsynsbegäran.docx", "A 5984-2025")</f>
        <v/>
      </c>
      <c r="Y66">
        <f>HYPERLINK("https://klasma.github.io/Logging_0580/tillsynsmail/A 5984-2025 tillsynsbegäran mail.docx", "A 5984-2025")</f>
        <v/>
      </c>
    </row>
    <row r="67" ht="15" customHeight="1">
      <c r="A67" t="inlineStr">
        <is>
          <t>A 15290-2025</t>
        </is>
      </c>
      <c r="B67" s="1" t="n">
        <v>45745.45288194445</v>
      </c>
      <c r="C67" s="1" t="n">
        <v>45886</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44930-2020</t>
        </is>
      </c>
      <c r="B68" s="1" t="n">
        <v>44088</v>
      </c>
      <c r="C68" s="1" t="n">
        <v>45886</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1716-2023</t>
        </is>
      </c>
      <c r="B69" s="1" t="n">
        <v>44938</v>
      </c>
      <c r="C69" s="1" t="n">
        <v>45886</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1716-2023 artfynd.xlsx", "A 1716-2023")</f>
        <v/>
      </c>
      <c r="T69">
        <f>HYPERLINK("https://klasma.github.io/Logging_0580/kartor/A 1716-2023 karta.png", "A 1716-2023")</f>
        <v/>
      </c>
      <c r="V69">
        <f>HYPERLINK("https://klasma.github.io/Logging_0580/klagomål/A 1716-2023 FSC-klagomål.docx", "A 1716-2023")</f>
        <v/>
      </c>
      <c r="W69">
        <f>HYPERLINK("https://klasma.github.io/Logging_0580/klagomålsmail/A 1716-2023 FSC-klagomål mail.docx", "A 1716-2023")</f>
        <v/>
      </c>
      <c r="X69">
        <f>HYPERLINK("https://klasma.github.io/Logging_0580/tillsyn/A 1716-2023 tillsynsbegäran.docx", "A 1716-2023")</f>
        <v/>
      </c>
      <c r="Y69">
        <f>HYPERLINK("https://klasma.github.io/Logging_0580/tillsynsmail/A 1716-2023 tillsynsbegäran mail.docx", "A 1716-2023")</f>
        <v/>
      </c>
    </row>
    <row r="70" ht="15" customHeight="1">
      <c r="A70" t="inlineStr">
        <is>
          <t>A 931-2025</t>
        </is>
      </c>
      <c r="B70" s="1" t="n">
        <v>45665.88498842593</v>
      </c>
      <c r="C70" s="1" t="n">
        <v>45886</v>
      </c>
      <c r="D70" t="inlineStr">
        <is>
          <t>ÖSTERGÖTLANDS LÄN</t>
        </is>
      </c>
      <c r="E70" t="inlineStr">
        <is>
          <t>LINKÖPING</t>
        </is>
      </c>
      <c r="F70" t="inlineStr">
        <is>
          <t>Övriga Aktiebolag</t>
        </is>
      </c>
      <c r="G70" t="n">
        <v>0.8</v>
      </c>
      <c r="H70" t="n">
        <v>0</v>
      </c>
      <c r="I70" t="n">
        <v>0</v>
      </c>
      <c r="J70" t="n">
        <v>1</v>
      </c>
      <c r="K70" t="n">
        <v>0</v>
      </c>
      <c r="L70" t="n">
        <v>0</v>
      </c>
      <c r="M70" t="n">
        <v>0</v>
      </c>
      <c r="N70" t="n">
        <v>0</v>
      </c>
      <c r="O70" t="n">
        <v>1</v>
      </c>
      <c r="P70" t="n">
        <v>0</v>
      </c>
      <c r="Q70" t="n">
        <v>1</v>
      </c>
      <c r="R70" s="2" t="inlineStr">
        <is>
          <t>Tallticka</t>
        </is>
      </c>
      <c r="S70">
        <f>HYPERLINK("https://klasma.github.io/Logging_0580/artfynd/A 931-2025 artfynd.xlsx", "A 931-2025")</f>
        <v/>
      </c>
      <c r="T70">
        <f>HYPERLINK("https://klasma.github.io/Logging_0580/kartor/A 931-2025 karta.png", "A 931-2025")</f>
        <v/>
      </c>
      <c r="V70">
        <f>HYPERLINK("https://klasma.github.io/Logging_0580/klagomål/A 931-2025 FSC-klagomål.docx", "A 931-2025")</f>
        <v/>
      </c>
      <c r="W70">
        <f>HYPERLINK("https://klasma.github.io/Logging_0580/klagomålsmail/A 931-2025 FSC-klagomål mail.docx", "A 931-2025")</f>
        <v/>
      </c>
      <c r="X70">
        <f>HYPERLINK("https://klasma.github.io/Logging_0580/tillsyn/A 931-2025 tillsynsbegäran.docx", "A 931-2025")</f>
        <v/>
      </c>
      <c r="Y70">
        <f>HYPERLINK("https://klasma.github.io/Logging_0580/tillsynsmail/A 931-2025 tillsynsbegäran mail.docx", "A 931-2025")</f>
        <v/>
      </c>
    </row>
    <row r="71" ht="15" customHeight="1">
      <c r="A71" t="inlineStr">
        <is>
          <t>A 126-2024</t>
        </is>
      </c>
      <c r="B71" s="1" t="n">
        <v>45294</v>
      </c>
      <c r="C71" s="1" t="n">
        <v>45886</v>
      </c>
      <c r="D71" t="inlineStr">
        <is>
          <t>ÖSTERGÖTLANDS LÄN</t>
        </is>
      </c>
      <c r="E71" t="inlineStr">
        <is>
          <t>LINKÖPING</t>
        </is>
      </c>
      <c r="G71" t="n">
        <v>1</v>
      </c>
      <c r="H71" t="n">
        <v>0</v>
      </c>
      <c r="I71" t="n">
        <v>1</v>
      </c>
      <c r="J71" t="n">
        <v>0</v>
      </c>
      <c r="K71" t="n">
        <v>0</v>
      </c>
      <c r="L71" t="n">
        <v>0</v>
      </c>
      <c r="M71" t="n">
        <v>0</v>
      </c>
      <c r="N71" t="n">
        <v>0</v>
      </c>
      <c r="O71" t="n">
        <v>0</v>
      </c>
      <c r="P71" t="n">
        <v>0</v>
      </c>
      <c r="Q71" t="n">
        <v>1</v>
      </c>
      <c r="R71" s="2" t="inlineStr">
        <is>
          <t>Blåmossa</t>
        </is>
      </c>
      <c r="S71">
        <f>HYPERLINK("https://klasma.github.io/Logging_0580/artfynd/A 126-2024 artfynd.xlsx", "A 126-2024")</f>
        <v/>
      </c>
      <c r="T71">
        <f>HYPERLINK("https://klasma.github.io/Logging_0580/kartor/A 126-2024 karta.png", "A 126-2024")</f>
        <v/>
      </c>
      <c r="V71">
        <f>HYPERLINK("https://klasma.github.io/Logging_0580/klagomål/A 126-2024 FSC-klagomål.docx", "A 126-2024")</f>
        <v/>
      </c>
      <c r="W71">
        <f>HYPERLINK("https://klasma.github.io/Logging_0580/klagomålsmail/A 126-2024 FSC-klagomål mail.docx", "A 126-2024")</f>
        <v/>
      </c>
      <c r="X71">
        <f>HYPERLINK("https://klasma.github.io/Logging_0580/tillsyn/A 126-2024 tillsynsbegäran.docx", "A 126-2024")</f>
        <v/>
      </c>
      <c r="Y71">
        <f>HYPERLINK("https://klasma.github.io/Logging_0580/tillsynsmail/A 126-2024 tillsynsbegäran mail.docx", "A 126-2024")</f>
        <v/>
      </c>
    </row>
    <row r="72" ht="15" customHeight="1">
      <c r="A72" t="inlineStr">
        <is>
          <t>A 69211-2021</t>
        </is>
      </c>
      <c r="B72" s="1" t="n">
        <v>44531</v>
      </c>
      <c r="C72" s="1" t="n">
        <v>45886</v>
      </c>
      <c r="D72" t="inlineStr">
        <is>
          <t>ÖSTERGÖTLANDS LÄN</t>
        </is>
      </c>
      <c r="E72" t="inlineStr">
        <is>
          <t>LINKÖPING</t>
        </is>
      </c>
      <c r="F72" t="inlineStr">
        <is>
          <t>Övriga statliga verk och myndigheter</t>
        </is>
      </c>
      <c r="G72" t="n">
        <v>3.8</v>
      </c>
      <c r="H72" t="n">
        <v>0</v>
      </c>
      <c r="I72" t="n">
        <v>1</v>
      </c>
      <c r="J72" t="n">
        <v>0</v>
      </c>
      <c r="K72" t="n">
        <v>0</v>
      </c>
      <c r="L72" t="n">
        <v>0</v>
      </c>
      <c r="M72" t="n">
        <v>0</v>
      </c>
      <c r="N72" t="n">
        <v>0</v>
      </c>
      <c r="O72" t="n">
        <v>0</v>
      </c>
      <c r="P72" t="n">
        <v>0</v>
      </c>
      <c r="Q72" t="n">
        <v>1</v>
      </c>
      <c r="R72" s="2" t="inlineStr">
        <is>
          <t>Bronshjon</t>
        </is>
      </c>
      <c r="S72">
        <f>HYPERLINK("https://klasma.github.io/Logging_0580/artfynd/A 69211-2021 artfynd.xlsx", "A 69211-2021")</f>
        <v/>
      </c>
      <c r="T72">
        <f>HYPERLINK("https://klasma.github.io/Logging_0580/kartor/A 69211-2021 karta.png", "A 69211-2021")</f>
        <v/>
      </c>
      <c r="V72">
        <f>HYPERLINK("https://klasma.github.io/Logging_0580/klagomål/A 69211-2021 FSC-klagomål.docx", "A 69211-2021")</f>
        <v/>
      </c>
      <c r="W72">
        <f>HYPERLINK("https://klasma.github.io/Logging_0580/klagomålsmail/A 69211-2021 FSC-klagomål mail.docx", "A 69211-2021")</f>
        <v/>
      </c>
      <c r="X72">
        <f>HYPERLINK("https://klasma.github.io/Logging_0580/tillsyn/A 69211-2021 tillsynsbegäran.docx", "A 69211-2021")</f>
        <v/>
      </c>
      <c r="Y72">
        <f>HYPERLINK("https://klasma.github.io/Logging_0580/tillsynsmail/A 69211-2021 tillsynsbegäran mail.docx", "A 69211-2021")</f>
        <v/>
      </c>
    </row>
    <row r="73" ht="15" customHeight="1">
      <c r="A73" t="inlineStr">
        <is>
          <t>A 3395-2023</t>
        </is>
      </c>
      <c r="B73" s="1" t="n">
        <v>44949</v>
      </c>
      <c r="C73" s="1" t="n">
        <v>45886</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3397-2023</t>
        </is>
      </c>
      <c r="B74" s="1" t="n">
        <v>44949</v>
      </c>
      <c r="C74" s="1" t="n">
        <v>45886</v>
      </c>
      <c r="D74" t="inlineStr">
        <is>
          <t>ÖSTERGÖTLANDS LÄN</t>
        </is>
      </c>
      <c r="E74" t="inlineStr">
        <is>
          <t>LINKÖPING</t>
        </is>
      </c>
      <c r="G74" t="n">
        <v>4.1</v>
      </c>
      <c r="H74" t="n">
        <v>0</v>
      </c>
      <c r="I74" t="n">
        <v>0</v>
      </c>
      <c r="J74" t="n">
        <v>1</v>
      </c>
      <c r="K74" t="n">
        <v>0</v>
      </c>
      <c r="L74" t="n">
        <v>0</v>
      </c>
      <c r="M74" t="n">
        <v>0</v>
      </c>
      <c r="N74" t="n">
        <v>0</v>
      </c>
      <c r="O74" t="n">
        <v>1</v>
      </c>
      <c r="P74" t="n">
        <v>0</v>
      </c>
      <c r="Q74" t="n">
        <v>1</v>
      </c>
      <c r="R74" s="2" t="inlineStr">
        <is>
          <t>Svinrot</t>
        </is>
      </c>
      <c r="S74">
        <f>HYPERLINK("https://klasma.github.io/Logging_0580/artfynd/A 3397-2023 artfynd.xlsx", "A 3397-2023")</f>
        <v/>
      </c>
      <c r="T74">
        <f>HYPERLINK("https://klasma.github.io/Logging_0580/kartor/A 3397-2023 karta.png", "A 3397-2023")</f>
        <v/>
      </c>
      <c r="V74">
        <f>HYPERLINK("https://klasma.github.io/Logging_0580/klagomål/A 3397-2023 FSC-klagomål.docx", "A 3397-2023")</f>
        <v/>
      </c>
      <c r="W74">
        <f>HYPERLINK("https://klasma.github.io/Logging_0580/klagomålsmail/A 3397-2023 FSC-klagomål mail.docx", "A 3397-2023")</f>
        <v/>
      </c>
      <c r="X74">
        <f>HYPERLINK("https://klasma.github.io/Logging_0580/tillsyn/A 3397-2023 tillsynsbegäran.docx", "A 3397-2023")</f>
        <v/>
      </c>
      <c r="Y74">
        <f>HYPERLINK("https://klasma.github.io/Logging_0580/tillsynsmail/A 3397-2023 tillsynsbegäran mail.docx", "A 3397-2023")</f>
        <v/>
      </c>
    </row>
    <row r="75" ht="15" customHeight="1">
      <c r="A75" t="inlineStr">
        <is>
          <t>A 5911-2022</t>
        </is>
      </c>
      <c r="B75" s="1" t="n">
        <v>44597</v>
      </c>
      <c r="C75" s="1" t="n">
        <v>45886</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22040-2023</t>
        </is>
      </c>
      <c r="B76" s="1" t="n">
        <v>45068</v>
      </c>
      <c r="C76" s="1" t="n">
        <v>45886</v>
      </c>
      <c r="D76" t="inlineStr">
        <is>
          <t>ÖSTERGÖTLANDS LÄN</t>
        </is>
      </c>
      <c r="E76" t="inlineStr">
        <is>
          <t>LINKÖPING</t>
        </is>
      </c>
      <c r="F76" t="inlineStr">
        <is>
          <t>Kommuner</t>
        </is>
      </c>
      <c r="G76" t="n">
        <v>1</v>
      </c>
      <c r="H76" t="n">
        <v>1</v>
      </c>
      <c r="I76" t="n">
        <v>0</v>
      </c>
      <c r="J76" t="n">
        <v>0</v>
      </c>
      <c r="K76" t="n">
        <v>1</v>
      </c>
      <c r="L76" t="n">
        <v>0</v>
      </c>
      <c r="M76" t="n">
        <v>0</v>
      </c>
      <c r="N76" t="n">
        <v>0</v>
      </c>
      <c r="O76" t="n">
        <v>1</v>
      </c>
      <c r="P76" t="n">
        <v>1</v>
      </c>
      <c r="Q76" t="n">
        <v>1</v>
      </c>
      <c r="R76" s="2" t="inlineStr">
        <is>
          <t>Bombmurkla</t>
        </is>
      </c>
      <c r="S76">
        <f>HYPERLINK("https://klasma.github.io/Logging_0580/artfynd/A 22040-2023 artfynd.xlsx", "A 22040-2023")</f>
        <v/>
      </c>
      <c r="T76">
        <f>HYPERLINK("https://klasma.github.io/Logging_0580/kartor/A 22040-2023 karta.png", "A 22040-2023")</f>
        <v/>
      </c>
      <c r="V76">
        <f>HYPERLINK("https://klasma.github.io/Logging_0580/klagomål/A 22040-2023 FSC-klagomål.docx", "A 22040-2023")</f>
        <v/>
      </c>
      <c r="W76">
        <f>HYPERLINK("https://klasma.github.io/Logging_0580/klagomålsmail/A 22040-2023 FSC-klagomål mail.docx", "A 22040-2023")</f>
        <v/>
      </c>
      <c r="X76">
        <f>HYPERLINK("https://klasma.github.io/Logging_0580/tillsyn/A 22040-2023 tillsynsbegäran.docx", "A 22040-2023")</f>
        <v/>
      </c>
      <c r="Y76">
        <f>HYPERLINK("https://klasma.github.io/Logging_0580/tillsynsmail/A 22040-2023 tillsynsbegäran mail.docx", "A 22040-2023")</f>
        <v/>
      </c>
    </row>
    <row r="77" ht="15" customHeight="1">
      <c r="A77" t="inlineStr">
        <is>
          <t>A 36723-2023</t>
        </is>
      </c>
      <c r="B77" s="1" t="n">
        <v>45153</v>
      </c>
      <c r="C77" s="1" t="n">
        <v>45886</v>
      </c>
      <c r="D77" t="inlineStr">
        <is>
          <t>ÖSTERGÖTLANDS LÄN</t>
        </is>
      </c>
      <c r="E77" t="inlineStr">
        <is>
          <t>LINKÖPING</t>
        </is>
      </c>
      <c r="F77" t="inlineStr">
        <is>
          <t>Allmännings- och besparingsskogar</t>
        </is>
      </c>
      <c r="G77" t="n">
        <v>9.9</v>
      </c>
      <c r="H77" t="n">
        <v>0</v>
      </c>
      <c r="I77" t="n">
        <v>0</v>
      </c>
      <c r="J77" t="n">
        <v>0</v>
      </c>
      <c r="K77" t="n">
        <v>1</v>
      </c>
      <c r="L77" t="n">
        <v>0</v>
      </c>
      <c r="M77" t="n">
        <v>0</v>
      </c>
      <c r="N77" t="n">
        <v>0</v>
      </c>
      <c r="O77" t="n">
        <v>1</v>
      </c>
      <c r="P77" t="n">
        <v>1</v>
      </c>
      <c r="Q77" t="n">
        <v>1</v>
      </c>
      <c r="R77" s="2" t="inlineStr">
        <is>
          <t>Bitter taggsvamp</t>
        </is>
      </c>
      <c r="S77">
        <f>HYPERLINK("https://klasma.github.io/Logging_0580/artfynd/A 36723-2023 artfynd.xlsx", "A 36723-2023")</f>
        <v/>
      </c>
      <c r="T77">
        <f>HYPERLINK("https://klasma.github.io/Logging_0580/kartor/A 36723-2023 karta.png", "A 36723-2023")</f>
        <v/>
      </c>
      <c r="V77">
        <f>HYPERLINK("https://klasma.github.io/Logging_0580/klagomål/A 36723-2023 FSC-klagomål.docx", "A 36723-2023")</f>
        <v/>
      </c>
      <c r="W77">
        <f>HYPERLINK("https://klasma.github.io/Logging_0580/klagomålsmail/A 36723-2023 FSC-klagomål mail.docx", "A 36723-2023")</f>
        <v/>
      </c>
      <c r="X77">
        <f>HYPERLINK("https://klasma.github.io/Logging_0580/tillsyn/A 36723-2023 tillsynsbegäran.docx", "A 36723-2023")</f>
        <v/>
      </c>
      <c r="Y77">
        <f>HYPERLINK("https://klasma.github.io/Logging_0580/tillsynsmail/A 36723-2023 tillsynsbegäran mail.docx", "A 36723-2023")</f>
        <v/>
      </c>
    </row>
    <row r="78" ht="15" customHeight="1">
      <c r="A78" t="inlineStr">
        <is>
          <t>A 56128-2022</t>
        </is>
      </c>
      <c r="B78" s="1" t="n">
        <v>44889</v>
      </c>
      <c r="C78" s="1" t="n">
        <v>45886</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1299-2025</t>
        </is>
      </c>
      <c r="B79" s="1" t="n">
        <v>45667.53913194445</v>
      </c>
      <c r="C79" s="1" t="n">
        <v>45886</v>
      </c>
      <c r="D79" t="inlineStr">
        <is>
          <t>ÖSTERGÖTLANDS LÄN</t>
        </is>
      </c>
      <c r="E79" t="inlineStr">
        <is>
          <t>LINKÖPING</t>
        </is>
      </c>
      <c r="G79" t="n">
        <v>8.9</v>
      </c>
      <c r="H79" t="n">
        <v>0</v>
      </c>
      <c r="I79" t="n">
        <v>0</v>
      </c>
      <c r="J79" t="n">
        <v>1</v>
      </c>
      <c r="K79" t="n">
        <v>0</v>
      </c>
      <c r="L79" t="n">
        <v>0</v>
      </c>
      <c r="M79" t="n">
        <v>0</v>
      </c>
      <c r="N79" t="n">
        <v>0</v>
      </c>
      <c r="O79" t="n">
        <v>1</v>
      </c>
      <c r="P79" t="n">
        <v>0</v>
      </c>
      <c r="Q79" t="n">
        <v>1</v>
      </c>
      <c r="R79" s="2" t="inlineStr">
        <is>
          <t>Storgröe</t>
        </is>
      </c>
      <c r="S79">
        <f>HYPERLINK("https://klasma.github.io/Logging_0580/artfynd/A 1299-2025 artfynd.xlsx", "A 1299-2025")</f>
        <v/>
      </c>
      <c r="T79">
        <f>HYPERLINK("https://klasma.github.io/Logging_0580/kartor/A 1299-2025 karta.png", "A 1299-2025")</f>
        <v/>
      </c>
      <c r="V79">
        <f>HYPERLINK("https://klasma.github.io/Logging_0580/klagomål/A 1299-2025 FSC-klagomål.docx", "A 1299-2025")</f>
        <v/>
      </c>
      <c r="W79">
        <f>HYPERLINK("https://klasma.github.io/Logging_0580/klagomålsmail/A 1299-2025 FSC-klagomål mail.docx", "A 1299-2025")</f>
        <v/>
      </c>
      <c r="X79">
        <f>HYPERLINK("https://klasma.github.io/Logging_0580/tillsyn/A 1299-2025 tillsynsbegäran.docx", "A 1299-2025")</f>
        <v/>
      </c>
      <c r="Y79">
        <f>HYPERLINK("https://klasma.github.io/Logging_0580/tillsynsmail/A 1299-2025 tillsynsbegäran mail.docx", "A 1299-2025")</f>
        <v/>
      </c>
    </row>
    <row r="80" ht="15" customHeight="1">
      <c r="A80" t="inlineStr">
        <is>
          <t>A 43726-2020</t>
        </is>
      </c>
      <c r="B80" s="1" t="n">
        <v>44082</v>
      </c>
      <c r="C80" s="1" t="n">
        <v>45886</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45886</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45886</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45886</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45886</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45886</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45886</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45886</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45886</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45886</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45886</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45886</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45886</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45886</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45886</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45886</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45886</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45886</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45886</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45886</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45886</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45886</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45886</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45886</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45886</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45886</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45886</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45886</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45886</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45886</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45886</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45886</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53146-2021</t>
        </is>
      </c>
      <c r="B112" s="1" t="n">
        <v>44466</v>
      </c>
      <c r="C112" s="1" t="n">
        <v>45886</v>
      </c>
      <c r="D112" t="inlineStr">
        <is>
          <t>ÖSTERGÖTLANDS LÄN</t>
        </is>
      </c>
      <c r="E112" t="inlineStr">
        <is>
          <t>LINKÖPING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45886</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45886</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45886</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45886</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45886</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45886</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45886</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45886</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45886</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45886</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45886</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45886</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45886</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45886</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45886</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45886</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45886</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45886</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45886</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45886</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45886</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45886</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45886</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45886</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45886</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45886</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45886</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45886</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45886</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45886</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45886</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45886</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45886</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45886</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45886</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45886</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46969-2020</t>
        </is>
      </c>
      <c r="B150" s="1" t="n">
        <v>44090</v>
      </c>
      <c r="C150" s="1" t="n">
        <v>45886</v>
      </c>
      <c r="D150" t="inlineStr">
        <is>
          <t>ÖSTERGÖTLANDS LÄN</t>
        </is>
      </c>
      <c r="E150" t="inlineStr">
        <is>
          <t>LINKÖPING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45886</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46975-2020</t>
        </is>
      </c>
      <c r="B152" s="1" t="n">
        <v>44090</v>
      </c>
      <c r="C152" s="1" t="n">
        <v>45886</v>
      </c>
      <c r="D152" t="inlineStr">
        <is>
          <t>ÖSTERGÖTLANDS LÄN</t>
        </is>
      </c>
      <c r="E152" t="inlineStr">
        <is>
          <t>LINKÖPING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45886</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45886</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45886</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45886</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20901-2021</t>
        </is>
      </c>
      <c r="B157" s="1" t="n">
        <v>44319</v>
      </c>
      <c r="C157" s="1" t="n">
        <v>45886</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31705-2022</t>
        </is>
      </c>
      <c r="B158" s="1" t="n">
        <v>44776.43607638889</v>
      </c>
      <c r="C158" s="1" t="n">
        <v>45886</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4377-2021</t>
        </is>
      </c>
      <c r="B159" s="1" t="n">
        <v>44223</v>
      </c>
      <c r="C159" s="1" t="n">
        <v>45886</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19318-2022</t>
        </is>
      </c>
      <c r="B160" s="1" t="n">
        <v>44692.5827662037</v>
      </c>
      <c r="C160" s="1" t="n">
        <v>45886</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33881-2021</t>
        </is>
      </c>
      <c r="B161" s="1" t="n">
        <v>44378</v>
      </c>
      <c r="C161" s="1" t="n">
        <v>45886</v>
      </c>
      <c r="D161" t="inlineStr">
        <is>
          <t>ÖSTERGÖTLANDS LÄN</t>
        </is>
      </c>
      <c r="E161" t="inlineStr">
        <is>
          <t>LINKÖPING</t>
        </is>
      </c>
      <c r="G161" t="n">
        <v>3.5</v>
      </c>
      <c r="H161" t="n">
        <v>0</v>
      </c>
      <c r="I161" t="n">
        <v>0</v>
      </c>
      <c r="J161" t="n">
        <v>0</v>
      </c>
      <c r="K161" t="n">
        <v>0</v>
      </c>
      <c r="L161" t="n">
        <v>0</v>
      </c>
      <c r="M161" t="n">
        <v>0</v>
      </c>
      <c r="N161" t="n">
        <v>0</v>
      </c>
      <c r="O161" t="n">
        <v>0</v>
      </c>
      <c r="P161" t="n">
        <v>0</v>
      </c>
      <c r="Q161" t="n">
        <v>0</v>
      </c>
      <c r="R161" s="2" t="inlineStr"/>
    </row>
    <row r="162" ht="15" customHeight="1">
      <c r="A162" t="inlineStr">
        <is>
          <t>A 61153-2021</t>
        </is>
      </c>
      <c r="B162" s="1" t="n">
        <v>44497</v>
      </c>
      <c r="C162" s="1" t="n">
        <v>45886</v>
      </c>
      <c r="D162" t="inlineStr">
        <is>
          <t>ÖSTERGÖTLANDS LÄN</t>
        </is>
      </c>
      <c r="E162" t="inlineStr">
        <is>
          <t>LINKÖPING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33885-2021</t>
        </is>
      </c>
      <c r="B163" s="1" t="n">
        <v>44378</v>
      </c>
      <c r="C163" s="1" t="n">
        <v>45886</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12413-2022</t>
        </is>
      </c>
      <c r="B164" s="1" t="n">
        <v>44638</v>
      </c>
      <c r="C164" s="1" t="n">
        <v>45886</v>
      </c>
      <c r="D164" t="inlineStr">
        <is>
          <t>ÖSTERGÖTLANDS LÄN</t>
        </is>
      </c>
      <c r="E164" t="inlineStr">
        <is>
          <t>LINKÖPING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65398-2021</t>
        </is>
      </c>
      <c r="B165" s="1" t="n">
        <v>44515</v>
      </c>
      <c r="C165" s="1" t="n">
        <v>45886</v>
      </c>
      <c r="D165" t="inlineStr">
        <is>
          <t>ÖSTERGÖTLANDS LÄN</t>
        </is>
      </c>
      <c r="E165" t="inlineStr">
        <is>
          <t>LINKÖPING</t>
        </is>
      </c>
      <c r="F165" t="inlineStr">
        <is>
          <t>Övriga statliga verk och myndigheter</t>
        </is>
      </c>
      <c r="G165" t="n">
        <v>2.4</v>
      </c>
      <c r="H165" t="n">
        <v>0</v>
      </c>
      <c r="I165" t="n">
        <v>0</v>
      </c>
      <c r="J165" t="n">
        <v>0</v>
      </c>
      <c r="K165" t="n">
        <v>0</v>
      </c>
      <c r="L165" t="n">
        <v>0</v>
      </c>
      <c r="M165" t="n">
        <v>0</v>
      </c>
      <c r="N165" t="n">
        <v>0</v>
      </c>
      <c r="O165" t="n">
        <v>0</v>
      </c>
      <c r="P165" t="n">
        <v>0</v>
      </c>
      <c r="Q165" t="n">
        <v>0</v>
      </c>
      <c r="R165" s="2" t="inlineStr"/>
    </row>
    <row r="166" ht="15" customHeight="1">
      <c r="A166" t="inlineStr">
        <is>
          <t>A 41426-2022</t>
        </is>
      </c>
      <c r="B166" s="1" t="n">
        <v>44826</v>
      </c>
      <c r="C166" s="1" t="n">
        <v>45886</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54467-2022</t>
        </is>
      </c>
      <c r="B167" s="1" t="n">
        <v>44882</v>
      </c>
      <c r="C167" s="1" t="n">
        <v>45886</v>
      </c>
      <c r="D167" t="inlineStr">
        <is>
          <t>ÖSTERGÖTLANDS LÄN</t>
        </is>
      </c>
      <c r="E167" t="inlineStr">
        <is>
          <t>LINKÖPING</t>
        </is>
      </c>
      <c r="F167" t="inlineStr">
        <is>
          <t>Sveaskog</t>
        </is>
      </c>
      <c r="G167" t="n">
        <v>2.5</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45886</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36341-2022</t>
        </is>
      </c>
      <c r="B169" s="1" t="n">
        <v>44803</v>
      </c>
      <c r="C169" s="1" t="n">
        <v>45886</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46490-2022</t>
        </is>
      </c>
      <c r="B170" s="1" t="n">
        <v>44848</v>
      </c>
      <c r="C170" s="1" t="n">
        <v>45886</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45886</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45886</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61298-2021</t>
        </is>
      </c>
      <c r="B173" s="1" t="n">
        <v>44498.62533564815</v>
      </c>
      <c r="C173" s="1" t="n">
        <v>45886</v>
      </c>
      <c r="D173" t="inlineStr">
        <is>
          <t>ÖSTERGÖTLANDS LÄN</t>
        </is>
      </c>
      <c r="E173" t="inlineStr">
        <is>
          <t>LINKÖPING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61333-2021</t>
        </is>
      </c>
      <c r="B174" s="1" t="n">
        <v>44498.6764699074</v>
      </c>
      <c r="C174" s="1" t="n">
        <v>45886</v>
      </c>
      <c r="D174" t="inlineStr">
        <is>
          <t>ÖSTERGÖTLANDS LÄN</t>
        </is>
      </c>
      <c r="E174" t="inlineStr">
        <is>
          <t>LINKÖPING</t>
        </is>
      </c>
      <c r="G174" t="n">
        <v>7.5</v>
      </c>
      <c r="H174" t="n">
        <v>0</v>
      </c>
      <c r="I174" t="n">
        <v>0</v>
      </c>
      <c r="J174" t="n">
        <v>0</v>
      </c>
      <c r="K174" t="n">
        <v>0</v>
      </c>
      <c r="L174" t="n">
        <v>0</v>
      </c>
      <c r="M174" t="n">
        <v>0</v>
      </c>
      <c r="N174" t="n">
        <v>0</v>
      </c>
      <c r="O174" t="n">
        <v>0</v>
      </c>
      <c r="P174" t="n">
        <v>0</v>
      </c>
      <c r="Q174" t="n">
        <v>0</v>
      </c>
      <c r="R174" s="2" t="inlineStr"/>
    </row>
    <row r="175" ht="15" customHeight="1">
      <c r="A175" t="inlineStr">
        <is>
          <t>A 12412-2022</t>
        </is>
      </c>
      <c r="B175" s="1" t="n">
        <v>44638</v>
      </c>
      <c r="C175" s="1" t="n">
        <v>45886</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4240-2022</t>
        </is>
      </c>
      <c r="B176" s="1" t="n">
        <v>44588</v>
      </c>
      <c r="C176" s="1" t="n">
        <v>45886</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41650-2020</t>
        </is>
      </c>
      <c r="B177" s="1" t="n">
        <v>44074</v>
      </c>
      <c r="C177" s="1" t="n">
        <v>45886</v>
      </c>
      <c r="D177" t="inlineStr">
        <is>
          <t>ÖSTERGÖTLANDS LÄN</t>
        </is>
      </c>
      <c r="E177" t="inlineStr">
        <is>
          <t>LINKÖPING</t>
        </is>
      </c>
      <c r="F177" t="inlineStr">
        <is>
          <t>Allmännings- och besparingsskogar</t>
        </is>
      </c>
      <c r="G177" t="n">
        <v>1.6</v>
      </c>
      <c r="H177" t="n">
        <v>0</v>
      </c>
      <c r="I177" t="n">
        <v>0</v>
      </c>
      <c r="J177" t="n">
        <v>0</v>
      </c>
      <c r="K177" t="n">
        <v>0</v>
      </c>
      <c r="L177" t="n">
        <v>0</v>
      </c>
      <c r="M177" t="n">
        <v>0</v>
      </c>
      <c r="N177" t="n">
        <v>0</v>
      </c>
      <c r="O177" t="n">
        <v>0</v>
      </c>
      <c r="P177" t="n">
        <v>0</v>
      </c>
      <c r="Q177" t="n">
        <v>0</v>
      </c>
      <c r="R177" s="2" t="inlineStr"/>
    </row>
    <row r="178" ht="15" customHeight="1">
      <c r="A178" t="inlineStr">
        <is>
          <t>A 10951-2022</t>
        </is>
      </c>
      <c r="B178" s="1" t="n">
        <v>44627</v>
      </c>
      <c r="C178" s="1" t="n">
        <v>45886</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46803-2020</t>
        </is>
      </c>
      <c r="B179" s="1" t="n">
        <v>44089</v>
      </c>
      <c r="C179" s="1" t="n">
        <v>45886</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45886</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45886</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45886</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45886</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45886</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51912-2020</t>
        </is>
      </c>
      <c r="B185" s="1" t="n">
        <v>44116</v>
      </c>
      <c r="C185" s="1" t="n">
        <v>45886</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59288-2020</t>
        </is>
      </c>
      <c r="B186" s="1" t="n">
        <v>44147</v>
      </c>
      <c r="C186" s="1" t="n">
        <v>45886</v>
      </c>
      <c r="D186" t="inlineStr">
        <is>
          <t>ÖSTERGÖTLANDS LÄN</t>
        </is>
      </c>
      <c r="E186" t="inlineStr">
        <is>
          <t>LINKÖPING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44879-2020</t>
        </is>
      </c>
      <c r="B187" s="1" t="n">
        <v>44087</v>
      </c>
      <c r="C187" s="1" t="n">
        <v>45886</v>
      </c>
      <c r="D187" t="inlineStr">
        <is>
          <t>ÖSTERGÖTLANDS LÄN</t>
        </is>
      </c>
      <c r="E187" t="inlineStr">
        <is>
          <t>LINKÖPING</t>
        </is>
      </c>
      <c r="F187" t="inlineStr">
        <is>
          <t>Övriga Aktiebolag</t>
        </is>
      </c>
      <c r="G187" t="n">
        <v>2.9</v>
      </c>
      <c r="H187" t="n">
        <v>0</v>
      </c>
      <c r="I187" t="n">
        <v>0</v>
      </c>
      <c r="J187" t="n">
        <v>0</v>
      </c>
      <c r="K187" t="n">
        <v>0</v>
      </c>
      <c r="L187" t="n">
        <v>0</v>
      </c>
      <c r="M187" t="n">
        <v>0</v>
      </c>
      <c r="N187" t="n">
        <v>0</v>
      </c>
      <c r="O187" t="n">
        <v>0</v>
      </c>
      <c r="P187" t="n">
        <v>0</v>
      </c>
      <c r="Q187" t="n">
        <v>0</v>
      </c>
      <c r="R187" s="2" t="inlineStr"/>
    </row>
    <row r="188" ht="15" customHeight="1">
      <c r="A188" t="inlineStr">
        <is>
          <t>A 23416-2022</t>
        </is>
      </c>
      <c r="B188" s="1" t="n">
        <v>44720.78243055556</v>
      </c>
      <c r="C188" s="1" t="n">
        <v>45886</v>
      </c>
      <c r="D188" t="inlineStr">
        <is>
          <t>ÖSTERGÖTLANDS LÄN</t>
        </is>
      </c>
      <c r="E188" t="inlineStr">
        <is>
          <t>LINKÖPING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50035-2020</t>
        </is>
      </c>
      <c r="B189" s="1" t="n">
        <v>44109</v>
      </c>
      <c r="C189" s="1" t="n">
        <v>45886</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13922-2021</t>
        </is>
      </c>
      <c r="B190" s="1" t="n">
        <v>44277.45946759259</v>
      </c>
      <c r="C190" s="1" t="n">
        <v>45886</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45886</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45886</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45886</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1787-2022</t>
        </is>
      </c>
      <c r="B194" s="1" t="n">
        <v>44574</v>
      </c>
      <c r="C194" s="1" t="n">
        <v>45886</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27769-2022</t>
        </is>
      </c>
      <c r="B195" s="1" t="n">
        <v>44743.53200231482</v>
      </c>
      <c r="C195" s="1" t="n">
        <v>45886</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45886</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948-2022</t>
        </is>
      </c>
      <c r="B197" s="1" t="n">
        <v>44571</v>
      </c>
      <c r="C197" s="1" t="n">
        <v>45886</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41514-2020</t>
        </is>
      </c>
      <c r="B198" s="1" t="n">
        <v>44074</v>
      </c>
      <c r="C198" s="1" t="n">
        <v>45886</v>
      </c>
      <c r="D198" t="inlineStr">
        <is>
          <t>ÖSTERGÖTLANDS LÄN</t>
        </is>
      </c>
      <c r="E198" t="inlineStr">
        <is>
          <t>LINKÖPING</t>
        </is>
      </c>
      <c r="F198" t="inlineStr">
        <is>
          <t>Allmännings- och besparingsskogar</t>
        </is>
      </c>
      <c r="G198" t="n">
        <v>5.2</v>
      </c>
      <c r="H198" t="n">
        <v>0</v>
      </c>
      <c r="I198" t="n">
        <v>0</v>
      </c>
      <c r="J198" t="n">
        <v>0</v>
      </c>
      <c r="K198" t="n">
        <v>0</v>
      </c>
      <c r="L198" t="n">
        <v>0</v>
      </c>
      <c r="M198" t="n">
        <v>0</v>
      </c>
      <c r="N198" t="n">
        <v>0</v>
      </c>
      <c r="O198" t="n">
        <v>0</v>
      </c>
      <c r="P198" t="n">
        <v>0</v>
      </c>
      <c r="Q198" t="n">
        <v>0</v>
      </c>
      <c r="R198" s="2" t="inlineStr"/>
    </row>
    <row r="199" ht="15" customHeight="1">
      <c r="A199" t="inlineStr">
        <is>
          <t>A 37014-2021</t>
        </is>
      </c>
      <c r="B199" s="1" t="n">
        <v>44393</v>
      </c>
      <c r="C199" s="1" t="n">
        <v>45886</v>
      </c>
      <c r="D199" t="inlineStr">
        <is>
          <t>ÖSTERGÖTLANDS LÄN</t>
        </is>
      </c>
      <c r="E199" t="inlineStr">
        <is>
          <t>LINKÖPING</t>
        </is>
      </c>
      <c r="F199" t="inlineStr">
        <is>
          <t>Allmännings- och besparingsskogar</t>
        </is>
      </c>
      <c r="G199" t="n">
        <v>7.7</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45886</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38134-2021</t>
        </is>
      </c>
      <c r="B201" s="1" t="n">
        <v>44405.3794212963</v>
      </c>
      <c r="C201" s="1" t="n">
        <v>45886</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4929-2021</t>
        </is>
      </c>
      <c r="B202" s="1" t="n">
        <v>44227.57533564815</v>
      </c>
      <c r="C202" s="1" t="n">
        <v>45886</v>
      </c>
      <c r="D202" t="inlineStr">
        <is>
          <t>ÖSTERGÖTLANDS LÄN</t>
        </is>
      </c>
      <c r="E202" t="inlineStr">
        <is>
          <t>LINKÖPING</t>
        </is>
      </c>
      <c r="G202" t="n">
        <v>0.4</v>
      </c>
      <c r="H202" t="n">
        <v>0</v>
      </c>
      <c r="I202" t="n">
        <v>0</v>
      </c>
      <c r="J202" t="n">
        <v>0</v>
      </c>
      <c r="K202" t="n">
        <v>0</v>
      </c>
      <c r="L202" t="n">
        <v>0</v>
      </c>
      <c r="M202" t="n">
        <v>0</v>
      </c>
      <c r="N202" t="n">
        <v>0</v>
      </c>
      <c r="O202" t="n">
        <v>0</v>
      </c>
      <c r="P202" t="n">
        <v>0</v>
      </c>
      <c r="Q202" t="n">
        <v>0</v>
      </c>
      <c r="R202" s="2" t="inlineStr"/>
    </row>
    <row r="203" ht="15" customHeight="1">
      <c r="A203" t="inlineStr">
        <is>
          <t>A 31732-2022</t>
        </is>
      </c>
      <c r="B203" s="1" t="n">
        <v>44776.49267361111</v>
      </c>
      <c r="C203" s="1" t="n">
        <v>45886</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45886</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45886</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33891-2021</t>
        </is>
      </c>
      <c r="B206" s="1" t="n">
        <v>44378</v>
      </c>
      <c r="C206" s="1" t="n">
        <v>45886</v>
      </c>
      <c r="D206" t="inlineStr">
        <is>
          <t>ÖSTERGÖTLANDS LÄN</t>
        </is>
      </c>
      <c r="E206" t="inlineStr">
        <is>
          <t>LINKÖPING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50401-2020</t>
        </is>
      </c>
      <c r="B207" s="1" t="n">
        <v>44110</v>
      </c>
      <c r="C207" s="1" t="n">
        <v>45886</v>
      </c>
      <c r="D207" t="inlineStr">
        <is>
          <t>ÖSTERGÖTLANDS LÄN</t>
        </is>
      </c>
      <c r="E207" t="inlineStr">
        <is>
          <t>LINKÖPING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19254-2021</t>
        </is>
      </c>
      <c r="B208" s="1" t="n">
        <v>44309.38962962963</v>
      </c>
      <c r="C208" s="1" t="n">
        <v>45886</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44849-2022</t>
        </is>
      </c>
      <c r="B209" s="1" t="n">
        <v>44841</v>
      </c>
      <c r="C209" s="1" t="n">
        <v>45886</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70835-2021</t>
        </is>
      </c>
      <c r="B210" s="1" t="n">
        <v>44537</v>
      </c>
      <c r="C210" s="1" t="n">
        <v>45886</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60129-2020</t>
        </is>
      </c>
      <c r="B211" s="1" t="n">
        <v>44152</v>
      </c>
      <c r="C211" s="1" t="n">
        <v>45886</v>
      </c>
      <c r="D211" t="inlineStr">
        <is>
          <t>ÖSTERGÖTLANDS LÄN</t>
        </is>
      </c>
      <c r="E211" t="inlineStr">
        <is>
          <t>LINKÖPING</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45886</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61302-2021</t>
        </is>
      </c>
      <c r="B213" s="1" t="n">
        <v>44498.63189814815</v>
      </c>
      <c r="C213" s="1" t="n">
        <v>45886</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45886</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46980-2020</t>
        </is>
      </c>
      <c r="B215" s="1" t="n">
        <v>44090</v>
      </c>
      <c r="C215" s="1" t="n">
        <v>45886</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17157-2024</t>
        </is>
      </c>
      <c r="B216" s="1" t="n">
        <v>45412.70567129629</v>
      </c>
      <c r="C216" s="1" t="n">
        <v>45886</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39021-2021</t>
        </is>
      </c>
      <c r="B217" s="1" t="n">
        <v>44412</v>
      </c>
      <c r="C217" s="1" t="n">
        <v>45886</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54854-2022</t>
        </is>
      </c>
      <c r="B218" s="1" t="n">
        <v>44884</v>
      </c>
      <c r="C218" s="1" t="n">
        <v>45886</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54855-2022</t>
        </is>
      </c>
      <c r="B219" s="1" t="n">
        <v>44884.59502314815</v>
      </c>
      <c r="C219" s="1" t="n">
        <v>45886</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13689-2025</t>
        </is>
      </c>
      <c r="B220" s="1" t="n">
        <v>45737.31590277778</v>
      </c>
      <c r="C220" s="1" t="n">
        <v>45886</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13696-2025</t>
        </is>
      </c>
      <c r="B221" s="1" t="n">
        <v>45737.32273148148</v>
      </c>
      <c r="C221" s="1" t="n">
        <v>45886</v>
      </c>
      <c r="D221" t="inlineStr">
        <is>
          <t>ÖSTERGÖTLANDS LÄN</t>
        </is>
      </c>
      <c r="E221" t="inlineStr">
        <is>
          <t>LINKÖPING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61532-2021</t>
        </is>
      </c>
      <c r="B222" s="1" t="n">
        <v>44501</v>
      </c>
      <c r="C222" s="1" t="n">
        <v>45886</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3374-2023</t>
        </is>
      </c>
      <c r="B223" s="1" t="n">
        <v>44949</v>
      </c>
      <c r="C223" s="1" t="n">
        <v>45886</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45886</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6726-2024</t>
        </is>
      </c>
      <c r="B225" s="1" t="n">
        <v>45341</v>
      </c>
      <c r="C225" s="1" t="n">
        <v>45886</v>
      </c>
      <c r="D225" t="inlineStr">
        <is>
          <t>ÖSTERGÖTLANDS LÄN</t>
        </is>
      </c>
      <c r="E225" t="inlineStr">
        <is>
          <t>LINKÖPING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12428-2024</t>
        </is>
      </c>
      <c r="B226" s="1" t="n">
        <v>45379</v>
      </c>
      <c r="C226" s="1" t="n">
        <v>45886</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45886</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72567-2021</t>
        </is>
      </c>
      <c r="B228" s="1" t="n">
        <v>44546.45023148148</v>
      </c>
      <c r="C228" s="1" t="n">
        <v>45886</v>
      </c>
      <c r="D228" t="inlineStr">
        <is>
          <t>ÖSTERGÖTLANDS LÄN</t>
        </is>
      </c>
      <c r="E228" t="inlineStr">
        <is>
          <t>LINKÖPING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45886</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45886</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45886</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53814-2023</t>
        </is>
      </c>
      <c r="B232" s="1" t="n">
        <v>45231</v>
      </c>
      <c r="C232" s="1" t="n">
        <v>45886</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46225-2021</t>
        </is>
      </c>
      <c r="B233" s="1" t="n">
        <v>44442</v>
      </c>
      <c r="C233" s="1" t="n">
        <v>45886</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54428-2022</t>
        </is>
      </c>
      <c r="B234" s="1" t="n">
        <v>44882.57643518518</v>
      </c>
      <c r="C234" s="1" t="n">
        <v>45886</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1705-2025</t>
        </is>
      </c>
      <c r="B235" s="1" t="n">
        <v>45670.86015046296</v>
      </c>
      <c r="C235" s="1" t="n">
        <v>45886</v>
      </c>
      <c r="D235" t="inlineStr">
        <is>
          <t>ÖSTERGÖTLANDS LÄN</t>
        </is>
      </c>
      <c r="E235" t="inlineStr">
        <is>
          <t>LINKÖPING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59576-2024</t>
        </is>
      </c>
      <c r="B236" s="1" t="n">
        <v>45638.66378472222</v>
      </c>
      <c r="C236" s="1" t="n">
        <v>45886</v>
      </c>
      <c r="D236" t="inlineStr">
        <is>
          <t>ÖSTERGÖTLANDS LÄN</t>
        </is>
      </c>
      <c r="E236" t="inlineStr">
        <is>
          <t>LINKÖPING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11790-2024</t>
        </is>
      </c>
      <c r="B237" s="1" t="n">
        <v>45374</v>
      </c>
      <c r="C237" s="1" t="n">
        <v>45886</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48962-2022</t>
        </is>
      </c>
      <c r="B238" s="1" t="n">
        <v>44860.31635416667</v>
      </c>
      <c r="C238" s="1" t="n">
        <v>45886</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51583-2024</t>
        </is>
      </c>
      <c r="B239" s="1" t="n">
        <v>45604.6397337963</v>
      </c>
      <c r="C239" s="1" t="n">
        <v>45886</v>
      </c>
      <c r="D239" t="inlineStr">
        <is>
          <t>ÖSTERGÖTLANDS LÄN</t>
        </is>
      </c>
      <c r="E239" t="inlineStr">
        <is>
          <t>LINKÖPING</t>
        </is>
      </c>
      <c r="F239" t="inlineStr">
        <is>
          <t>Övriga Aktiebolag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62019-2024</t>
        </is>
      </c>
      <c r="B240" s="1" t="n">
        <v>45655.82</v>
      </c>
      <c r="C240" s="1" t="n">
        <v>45886</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53647-2021</t>
        </is>
      </c>
      <c r="B241" s="1" t="n">
        <v>44469</v>
      </c>
      <c r="C241" s="1" t="n">
        <v>45886</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38317-2024</t>
        </is>
      </c>
      <c r="B242" s="1" t="n">
        <v>45545.65766203704</v>
      </c>
      <c r="C242" s="1" t="n">
        <v>45886</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22772-2024</t>
        </is>
      </c>
      <c r="B243" s="1" t="n">
        <v>45448.46712962963</v>
      </c>
      <c r="C243" s="1" t="n">
        <v>45886</v>
      </c>
      <c r="D243" t="inlineStr">
        <is>
          <t>ÖSTERGÖTLANDS LÄN</t>
        </is>
      </c>
      <c r="E243" t="inlineStr">
        <is>
          <t>LINKÖPING</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18916-2024</t>
        </is>
      </c>
      <c r="B244" s="1" t="n">
        <v>45427.39541666667</v>
      </c>
      <c r="C244" s="1" t="n">
        <v>45886</v>
      </c>
      <c r="D244" t="inlineStr">
        <is>
          <t>ÖSTERGÖTLANDS LÄN</t>
        </is>
      </c>
      <c r="E244" t="inlineStr">
        <is>
          <t>LINKÖPING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60004-2022</t>
        </is>
      </c>
      <c r="B245" s="1" t="n">
        <v>44909.47206018519</v>
      </c>
      <c r="C245" s="1" t="n">
        <v>45886</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24586-2024</t>
        </is>
      </c>
      <c r="B246" s="1" t="n">
        <v>45460.46664351852</v>
      </c>
      <c r="C246" s="1" t="n">
        <v>45886</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52796-2023</t>
        </is>
      </c>
      <c r="B247" s="1" t="n">
        <v>45219</v>
      </c>
      <c r="C247" s="1" t="n">
        <v>45886</v>
      </c>
      <c r="D247" t="inlineStr">
        <is>
          <t>ÖSTERGÖTLANDS LÄN</t>
        </is>
      </c>
      <c r="E247" t="inlineStr">
        <is>
          <t>LINKÖPING</t>
        </is>
      </c>
      <c r="F247" t="inlineStr">
        <is>
          <t>Övriga statliga verk och myndigheter</t>
        </is>
      </c>
      <c r="G247" t="n">
        <v>3.9</v>
      </c>
      <c r="H247" t="n">
        <v>0</v>
      </c>
      <c r="I247" t="n">
        <v>0</v>
      </c>
      <c r="J247" t="n">
        <v>0</v>
      </c>
      <c r="K247" t="n">
        <v>0</v>
      </c>
      <c r="L247" t="n">
        <v>0</v>
      </c>
      <c r="M247" t="n">
        <v>0</v>
      </c>
      <c r="N247" t="n">
        <v>0</v>
      </c>
      <c r="O247" t="n">
        <v>0</v>
      </c>
      <c r="P247" t="n">
        <v>0</v>
      </c>
      <c r="Q247" t="n">
        <v>0</v>
      </c>
      <c r="R247" s="2" t="inlineStr"/>
    </row>
    <row r="248" ht="15" customHeight="1">
      <c r="A248" t="inlineStr">
        <is>
          <t>A 50182-2023</t>
        </is>
      </c>
      <c r="B248" s="1" t="n">
        <v>45208</v>
      </c>
      <c r="C248" s="1" t="n">
        <v>45886</v>
      </c>
      <c r="D248" t="inlineStr">
        <is>
          <t>ÖSTERGÖTLANDS LÄN</t>
        </is>
      </c>
      <c r="E248" t="inlineStr">
        <is>
          <t>LINKÖPING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50743-2023</t>
        </is>
      </c>
      <c r="B249" s="1" t="n">
        <v>45217</v>
      </c>
      <c r="C249" s="1" t="n">
        <v>45886</v>
      </c>
      <c r="D249" t="inlineStr">
        <is>
          <t>ÖSTERGÖTLANDS LÄN</t>
        </is>
      </c>
      <c r="E249" t="inlineStr">
        <is>
          <t>LINKÖPING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17124-2025</t>
        </is>
      </c>
      <c r="B250" s="1" t="n">
        <v>45755.69678240741</v>
      </c>
      <c r="C250" s="1" t="n">
        <v>45886</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17126-2025</t>
        </is>
      </c>
      <c r="B251" s="1" t="n">
        <v>45755.70814814815</v>
      </c>
      <c r="C251" s="1" t="n">
        <v>45886</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17143-2025</t>
        </is>
      </c>
      <c r="B252" s="1" t="n">
        <v>45755.92731481481</v>
      </c>
      <c r="C252" s="1" t="n">
        <v>45886</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45771-2023</t>
        </is>
      </c>
      <c r="B253" s="1" t="n">
        <v>45195.4384375</v>
      </c>
      <c r="C253" s="1" t="n">
        <v>45886</v>
      </c>
      <c r="D253" t="inlineStr">
        <is>
          <t>ÖSTERGÖTLANDS LÄN</t>
        </is>
      </c>
      <c r="E253" t="inlineStr">
        <is>
          <t>LINKÖPING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9434-2024</t>
        </is>
      </c>
      <c r="B254" s="1" t="n">
        <v>45359</v>
      </c>
      <c r="C254" s="1" t="n">
        <v>45886</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63678-2023</t>
        </is>
      </c>
      <c r="B255" s="1" t="n">
        <v>45275.64769675926</v>
      </c>
      <c r="C255" s="1" t="n">
        <v>45886</v>
      </c>
      <c r="D255" t="inlineStr">
        <is>
          <t>ÖSTERGÖTLANDS LÄN</t>
        </is>
      </c>
      <c r="E255" t="inlineStr">
        <is>
          <t>LINKÖPING</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63688-2023</t>
        </is>
      </c>
      <c r="B256" s="1" t="n">
        <v>45275</v>
      </c>
      <c r="C256" s="1" t="n">
        <v>45886</v>
      </c>
      <c r="D256" t="inlineStr">
        <is>
          <t>ÖSTERGÖTLANDS LÄN</t>
        </is>
      </c>
      <c r="E256" t="inlineStr">
        <is>
          <t>LINKÖPING</t>
        </is>
      </c>
      <c r="F256" t="inlineStr">
        <is>
          <t>Övriga Aktiebolag</t>
        </is>
      </c>
      <c r="G256" t="n">
        <v>2.4</v>
      </c>
      <c r="H256" t="n">
        <v>0</v>
      </c>
      <c r="I256" t="n">
        <v>0</v>
      </c>
      <c r="J256" t="n">
        <v>0</v>
      </c>
      <c r="K256" t="n">
        <v>0</v>
      </c>
      <c r="L256" t="n">
        <v>0</v>
      </c>
      <c r="M256" t="n">
        <v>0</v>
      </c>
      <c r="N256" t="n">
        <v>0</v>
      </c>
      <c r="O256" t="n">
        <v>0</v>
      </c>
      <c r="P256" t="n">
        <v>0</v>
      </c>
      <c r="Q256" t="n">
        <v>0</v>
      </c>
      <c r="R256" s="2" t="inlineStr"/>
    </row>
    <row r="257" ht="15" customHeight="1">
      <c r="A257" t="inlineStr">
        <is>
          <t>A 63691-2023</t>
        </is>
      </c>
      <c r="B257" s="1" t="n">
        <v>45275</v>
      </c>
      <c r="C257" s="1" t="n">
        <v>45886</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1844-2025</t>
        </is>
      </c>
      <c r="B258" s="1" t="n">
        <v>45671.57730324074</v>
      </c>
      <c r="C258" s="1" t="n">
        <v>45886</v>
      </c>
      <c r="D258" t="inlineStr">
        <is>
          <t>ÖSTERGÖTLANDS LÄN</t>
        </is>
      </c>
      <c r="E258" t="inlineStr">
        <is>
          <t>LINKÖPING</t>
        </is>
      </c>
      <c r="G258" t="n">
        <v>2</v>
      </c>
      <c r="H258" t="n">
        <v>0</v>
      </c>
      <c r="I258" t="n">
        <v>0</v>
      </c>
      <c r="J258" t="n">
        <v>0</v>
      </c>
      <c r="K258" t="n">
        <v>0</v>
      </c>
      <c r="L258" t="n">
        <v>0</v>
      </c>
      <c r="M258" t="n">
        <v>0</v>
      </c>
      <c r="N258" t="n">
        <v>0</v>
      </c>
      <c r="O258" t="n">
        <v>0</v>
      </c>
      <c r="P258" t="n">
        <v>0</v>
      </c>
      <c r="Q258" t="n">
        <v>0</v>
      </c>
      <c r="R258" s="2" t="inlineStr"/>
    </row>
    <row r="259" ht="15" customHeight="1">
      <c r="A259" t="inlineStr">
        <is>
          <t>A 63554-2023</t>
        </is>
      </c>
      <c r="B259" s="1" t="n">
        <v>45275</v>
      </c>
      <c r="C259" s="1" t="n">
        <v>45886</v>
      </c>
      <c r="D259" t="inlineStr">
        <is>
          <t>ÖSTERGÖTLANDS LÄN</t>
        </is>
      </c>
      <c r="E259" t="inlineStr">
        <is>
          <t>LINKÖPING</t>
        </is>
      </c>
      <c r="G259" t="n">
        <v>4.3</v>
      </c>
      <c r="H259" t="n">
        <v>0</v>
      </c>
      <c r="I259" t="n">
        <v>0</v>
      </c>
      <c r="J259" t="n">
        <v>0</v>
      </c>
      <c r="K259" t="n">
        <v>0</v>
      </c>
      <c r="L259" t="n">
        <v>0</v>
      </c>
      <c r="M259" t="n">
        <v>0</v>
      </c>
      <c r="N259" t="n">
        <v>0</v>
      </c>
      <c r="O259" t="n">
        <v>0</v>
      </c>
      <c r="P259" t="n">
        <v>0</v>
      </c>
      <c r="Q259" t="n">
        <v>0</v>
      </c>
      <c r="R259" s="2" t="inlineStr"/>
    </row>
    <row r="260" ht="15" customHeight="1">
      <c r="A260" t="inlineStr">
        <is>
          <t>A 34557-2022</t>
        </is>
      </c>
      <c r="B260" s="1" t="n">
        <v>44794.57074074074</v>
      </c>
      <c r="C260" s="1" t="n">
        <v>45886</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20469-2025</t>
        </is>
      </c>
      <c r="B261" s="1" t="n">
        <v>45775</v>
      </c>
      <c r="C261" s="1" t="n">
        <v>45886</v>
      </c>
      <c r="D261" t="inlineStr">
        <is>
          <t>ÖSTERGÖTLANDS LÄN</t>
        </is>
      </c>
      <c r="E261" t="inlineStr">
        <is>
          <t>LINKÖPING</t>
        </is>
      </c>
      <c r="F261" t="inlineStr">
        <is>
          <t>Kyrkan</t>
        </is>
      </c>
      <c r="G261" t="n">
        <v>6.1</v>
      </c>
      <c r="H261" t="n">
        <v>0</v>
      </c>
      <c r="I261" t="n">
        <v>0</v>
      </c>
      <c r="J261" t="n">
        <v>0</v>
      </c>
      <c r="K261" t="n">
        <v>0</v>
      </c>
      <c r="L261" t="n">
        <v>0</v>
      </c>
      <c r="M261" t="n">
        <v>0</v>
      </c>
      <c r="N261" t="n">
        <v>0</v>
      </c>
      <c r="O261" t="n">
        <v>0</v>
      </c>
      <c r="P261" t="n">
        <v>0</v>
      </c>
      <c r="Q261" t="n">
        <v>0</v>
      </c>
      <c r="R261" s="2" t="inlineStr"/>
    </row>
    <row r="262" ht="15" customHeight="1">
      <c r="A262" t="inlineStr">
        <is>
          <t>A 30111-2024</t>
        </is>
      </c>
      <c r="B262" s="1" t="n">
        <v>45489.46947916667</v>
      </c>
      <c r="C262" s="1" t="n">
        <v>45886</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30119-2024</t>
        </is>
      </c>
      <c r="B263" s="1" t="n">
        <v>45489</v>
      </c>
      <c r="C263" s="1" t="n">
        <v>45886</v>
      </c>
      <c r="D263" t="inlineStr">
        <is>
          <t>ÖSTERGÖTLANDS LÄN</t>
        </is>
      </c>
      <c r="E263" t="inlineStr">
        <is>
          <t>LINKÖPING</t>
        </is>
      </c>
      <c r="G263" t="n">
        <v>1.7</v>
      </c>
      <c r="H263" t="n">
        <v>0</v>
      </c>
      <c r="I263" t="n">
        <v>0</v>
      </c>
      <c r="J263" t="n">
        <v>0</v>
      </c>
      <c r="K263" t="n">
        <v>0</v>
      </c>
      <c r="L263" t="n">
        <v>0</v>
      </c>
      <c r="M263" t="n">
        <v>0</v>
      </c>
      <c r="N263" t="n">
        <v>0</v>
      </c>
      <c r="O263" t="n">
        <v>0</v>
      </c>
      <c r="P263" t="n">
        <v>0</v>
      </c>
      <c r="Q263" t="n">
        <v>0</v>
      </c>
      <c r="R263" s="2" t="inlineStr"/>
    </row>
    <row r="264" ht="15" customHeight="1">
      <c r="A264" t="inlineStr">
        <is>
          <t>A 6206-2024</t>
        </is>
      </c>
      <c r="B264" s="1" t="n">
        <v>45337.5977662037</v>
      </c>
      <c r="C264" s="1" t="n">
        <v>45886</v>
      </c>
      <c r="D264" t="inlineStr">
        <is>
          <t>ÖSTERGÖTLANDS LÄN</t>
        </is>
      </c>
      <c r="E264" t="inlineStr">
        <is>
          <t>LINKÖPING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15714-2024</t>
        </is>
      </c>
      <c r="B265" s="1" t="n">
        <v>45404.48288194444</v>
      </c>
      <c r="C265" s="1" t="n">
        <v>45886</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30481-2023</t>
        </is>
      </c>
      <c r="B266" s="1" t="n">
        <v>45111</v>
      </c>
      <c r="C266" s="1" t="n">
        <v>45886</v>
      </c>
      <c r="D266" t="inlineStr">
        <is>
          <t>ÖSTERGÖTLANDS LÄN</t>
        </is>
      </c>
      <c r="E266" t="inlineStr">
        <is>
          <t>LINKÖPING</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21164-2025</t>
        </is>
      </c>
      <c r="B267" s="1" t="n">
        <v>45779.38840277777</v>
      </c>
      <c r="C267" s="1" t="n">
        <v>45886</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21154-2025</t>
        </is>
      </c>
      <c r="B268" s="1" t="n">
        <v>45779.36340277778</v>
      </c>
      <c r="C268" s="1" t="n">
        <v>45886</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39017-2021</t>
        </is>
      </c>
      <c r="B269" s="1" t="n">
        <v>44412</v>
      </c>
      <c r="C269" s="1" t="n">
        <v>45886</v>
      </c>
      <c r="D269" t="inlineStr">
        <is>
          <t>ÖSTERGÖTLANDS LÄN</t>
        </is>
      </c>
      <c r="E269" t="inlineStr">
        <is>
          <t>LINKÖPING</t>
        </is>
      </c>
      <c r="F269" t="inlineStr">
        <is>
          <t>Övriga statliga verk och myndigheter</t>
        </is>
      </c>
      <c r="G269" t="n">
        <v>0.8</v>
      </c>
      <c r="H269" t="n">
        <v>0</v>
      </c>
      <c r="I269" t="n">
        <v>0</v>
      </c>
      <c r="J269" t="n">
        <v>0</v>
      </c>
      <c r="K269" t="n">
        <v>0</v>
      </c>
      <c r="L269" t="n">
        <v>0</v>
      </c>
      <c r="M269" t="n">
        <v>0</v>
      </c>
      <c r="N269" t="n">
        <v>0</v>
      </c>
      <c r="O269" t="n">
        <v>0</v>
      </c>
      <c r="P269" t="n">
        <v>0</v>
      </c>
      <c r="Q269" t="n">
        <v>0</v>
      </c>
      <c r="R269" s="2" t="inlineStr"/>
    </row>
    <row r="270" ht="15" customHeight="1">
      <c r="A270" t="inlineStr">
        <is>
          <t>A 74160-2021</t>
        </is>
      </c>
      <c r="B270" s="1" t="n">
        <v>44558</v>
      </c>
      <c r="C270" s="1" t="n">
        <v>45886</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21155-2025</t>
        </is>
      </c>
      <c r="B271" s="1" t="n">
        <v>45779.37586805555</v>
      </c>
      <c r="C271" s="1" t="n">
        <v>45886</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21165-2025</t>
        </is>
      </c>
      <c r="B272" s="1" t="n">
        <v>45779.39417824074</v>
      </c>
      <c r="C272" s="1" t="n">
        <v>45886</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63559-2023</t>
        </is>
      </c>
      <c r="B273" s="1" t="n">
        <v>45275.35924768518</v>
      </c>
      <c r="C273" s="1" t="n">
        <v>45886</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23491-2024</t>
        </is>
      </c>
      <c r="B274" s="1" t="n">
        <v>45453</v>
      </c>
      <c r="C274" s="1" t="n">
        <v>45886</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29309-2024</t>
        </is>
      </c>
      <c r="B275" s="1" t="n">
        <v>45483</v>
      </c>
      <c r="C275" s="1" t="n">
        <v>45886</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29411-2023</t>
        </is>
      </c>
      <c r="B276" s="1" t="n">
        <v>45106.46225694445</v>
      </c>
      <c r="C276" s="1" t="n">
        <v>45886</v>
      </c>
      <c r="D276" t="inlineStr">
        <is>
          <t>ÖSTERGÖTLANDS LÄN</t>
        </is>
      </c>
      <c r="E276" t="inlineStr">
        <is>
          <t>LINKÖPING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29412-2023</t>
        </is>
      </c>
      <c r="B277" s="1" t="n">
        <v>45106.46359953703</v>
      </c>
      <c r="C277" s="1" t="n">
        <v>45886</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29413-2023</t>
        </is>
      </c>
      <c r="B278" s="1" t="n">
        <v>45106.46465277778</v>
      </c>
      <c r="C278" s="1" t="n">
        <v>45886</v>
      </c>
      <c r="D278" t="inlineStr">
        <is>
          <t>ÖSTERGÖTLANDS LÄN</t>
        </is>
      </c>
      <c r="E278" t="inlineStr">
        <is>
          <t>LINKÖPING</t>
        </is>
      </c>
      <c r="G278" t="n">
        <v>8</v>
      </c>
      <c r="H278" t="n">
        <v>0</v>
      </c>
      <c r="I278" t="n">
        <v>0</v>
      </c>
      <c r="J278" t="n">
        <v>0</v>
      </c>
      <c r="K278" t="n">
        <v>0</v>
      </c>
      <c r="L278" t="n">
        <v>0</v>
      </c>
      <c r="M278" t="n">
        <v>0</v>
      </c>
      <c r="N278" t="n">
        <v>0</v>
      </c>
      <c r="O278" t="n">
        <v>0</v>
      </c>
      <c r="P278" t="n">
        <v>0</v>
      </c>
      <c r="Q278" t="n">
        <v>0</v>
      </c>
      <c r="R278" s="2" t="inlineStr"/>
    </row>
    <row r="279" ht="15" customHeight="1">
      <c r="A279" t="inlineStr">
        <is>
          <t>A 24151-2024</t>
        </is>
      </c>
      <c r="B279" s="1" t="n">
        <v>45456.67717592593</v>
      </c>
      <c r="C279" s="1" t="n">
        <v>45886</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57752-2023</t>
        </is>
      </c>
      <c r="B280" s="1" t="n">
        <v>45246.78474537037</v>
      </c>
      <c r="C280" s="1" t="n">
        <v>45886</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63845-2021</t>
        </is>
      </c>
      <c r="B281" s="1" t="n">
        <v>44509</v>
      </c>
      <c r="C281" s="1" t="n">
        <v>45886</v>
      </c>
      <c r="D281" t="inlineStr">
        <is>
          <t>ÖSTERGÖTLANDS LÄN</t>
        </is>
      </c>
      <c r="E281" t="inlineStr">
        <is>
          <t>LINKÖPING</t>
        </is>
      </c>
      <c r="G281" t="n">
        <v>5</v>
      </c>
      <c r="H281" t="n">
        <v>0</v>
      </c>
      <c r="I281" t="n">
        <v>0</v>
      </c>
      <c r="J281" t="n">
        <v>0</v>
      </c>
      <c r="K281" t="n">
        <v>0</v>
      </c>
      <c r="L281" t="n">
        <v>0</v>
      </c>
      <c r="M281" t="n">
        <v>0</v>
      </c>
      <c r="N281" t="n">
        <v>0</v>
      </c>
      <c r="O281" t="n">
        <v>0</v>
      </c>
      <c r="P281" t="n">
        <v>0</v>
      </c>
      <c r="Q281" t="n">
        <v>0</v>
      </c>
      <c r="R281" s="2" t="inlineStr"/>
    </row>
    <row r="282" ht="15" customHeight="1">
      <c r="A282" t="inlineStr">
        <is>
          <t>A 17785-2023</t>
        </is>
      </c>
      <c r="B282" s="1" t="n">
        <v>45037.55094907407</v>
      </c>
      <c r="C282" s="1" t="n">
        <v>45886</v>
      </c>
      <c r="D282" t="inlineStr">
        <is>
          <t>ÖSTERGÖTLANDS LÄN</t>
        </is>
      </c>
      <c r="E282" t="inlineStr">
        <is>
          <t>LINKÖPING</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32346-2023</t>
        </is>
      </c>
      <c r="B283" s="1" t="n">
        <v>45120</v>
      </c>
      <c r="C283" s="1" t="n">
        <v>45886</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1627-2023</t>
        </is>
      </c>
      <c r="B284" s="1" t="n">
        <v>44937</v>
      </c>
      <c r="C284" s="1" t="n">
        <v>45886</v>
      </c>
      <c r="D284" t="inlineStr">
        <is>
          <t>ÖSTERGÖTLANDS LÄN</t>
        </is>
      </c>
      <c r="E284" t="inlineStr">
        <is>
          <t>LINKÖPING</t>
        </is>
      </c>
      <c r="G284" t="n">
        <v>10.8</v>
      </c>
      <c r="H284" t="n">
        <v>0</v>
      </c>
      <c r="I284" t="n">
        <v>0</v>
      </c>
      <c r="J284" t="n">
        <v>0</v>
      </c>
      <c r="K284" t="n">
        <v>0</v>
      </c>
      <c r="L284" t="n">
        <v>0</v>
      </c>
      <c r="M284" t="n">
        <v>0</v>
      </c>
      <c r="N284" t="n">
        <v>0</v>
      </c>
      <c r="O284" t="n">
        <v>0</v>
      </c>
      <c r="P284" t="n">
        <v>0</v>
      </c>
      <c r="Q284" t="n">
        <v>0</v>
      </c>
      <c r="R284" s="2" t="inlineStr"/>
    </row>
    <row r="285" ht="15" customHeight="1">
      <c r="A285" t="inlineStr">
        <is>
          <t>A 9473-2024</t>
        </is>
      </c>
      <c r="B285" s="1" t="n">
        <v>45359.55474537037</v>
      </c>
      <c r="C285" s="1" t="n">
        <v>45886</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10797-2024</t>
        </is>
      </c>
      <c r="B286" s="1" t="n">
        <v>45369.6190162037</v>
      </c>
      <c r="C286" s="1" t="n">
        <v>45886</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22264-2025</t>
        </is>
      </c>
      <c r="B287" s="1" t="n">
        <v>45785</v>
      </c>
      <c r="C287" s="1" t="n">
        <v>45886</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16665-2023</t>
        </is>
      </c>
      <c r="B288" s="1" t="n">
        <v>45030.5583912037</v>
      </c>
      <c r="C288" s="1" t="n">
        <v>45886</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60860-2024</t>
        </is>
      </c>
      <c r="B289" s="1" t="n">
        <v>45644.6893287037</v>
      </c>
      <c r="C289" s="1" t="n">
        <v>45886</v>
      </c>
      <c r="D289" t="inlineStr">
        <is>
          <t>ÖSTERGÖTLANDS LÄN</t>
        </is>
      </c>
      <c r="E289" t="inlineStr">
        <is>
          <t>LINKÖPING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31640-2023</t>
        </is>
      </c>
      <c r="B290" s="1" t="n">
        <v>45117</v>
      </c>
      <c r="C290" s="1" t="n">
        <v>45886</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16213-2025</t>
        </is>
      </c>
      <c r="B291" s="1" t="n">
        <v>45750.62740740741</v>
      </c>
      <c r="C291" s="1" t="n">
        <v>45886</v>
      </c>
      <c r="D291" t="inlineStr">
        <is>
          <t>ÖSTERGÖTLANDS LÄN</t>
        </is>
      </c>
      <c r="E291" t="inlineStr">
        <is>
          <t>LINKÖPING</t>
        </is>
      </c>
      <c r="G291" t="n">
        <v>3.4</v>
      </c>
      <c r="H291" t="n">
        <v>0</v>
      </c>
      <c r="I291" t="n">
        <v>0</v>
      </c>
      <c r="J291" t="n">
        <v>0</v>
      </c>
      <c r="K291" t="n">
        <v>0</v>
      </c>
      <c r="L291" t="n">
        <v>0</v>
      </c>
      <c r="M291" t="n">
        <v>0</v>
      </c>
      <c r="N291" t="n">
        <v>0</v>
      </c>
      <c r="O291" t="n">
        <v>0</v>
      </c>
      <c r="P291" t="n">
        <v>0</v>
      </c>
      <c r="Q291" t="n">
        <v>0</v>
      </c>
      <c r="R291" s="2" t="inlineStr"/>
    </row>
    <row r="292" ht="15" customHeight="1">
      <c r="A292" t="inlineStr">
        <is>
          <t>A 34872-2023</t>
        </is>
      </c>
      <c r="B292" s="1" t="n">
        <v>45140</v>
      </c>
      <c r="C292" s="1" t="n">
        <v>45886</v>
      </c>
      <c r="D292" t="inlineStr">
        <is>
          <t>ÖSTERGÖTLANDS LÄN</t>
        </is>
      </c>
      <c r="E292" t="inlineStr">
        <is>
          <t>LINKÖPING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33000-2023</t>
        </is>
      </c>
      <c r="B293" s="1" t="n">
        <v>45125</v>
      </c>
      <c r="C293" s="1" t="n">
        <v>45886</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45886</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3042-2024</t>
        </is>
      </c>
      <c r="B295" s="1" t="n">
        <v>45316.35028935185</v>
      </c>
      <c r="C295" s="1" t="n">
        <v>45886</v>
      </c>
      <c r="D295" t="inlineStr">
        <is>
          <t>ÖSTERGÖTLANDS LÄN</t>
        </is>
      </c>
      <c r="E295" t="inlineStr">
        <is>
          <t>LINKÖPING</t>
        </is>
      </c>
      <c r="G295" t="n">
        <v>3.1</v>
      </c>
      <c r="H295" t="n">
        <v>0</v>
      </c>
      <c r="I295" t="n">
        <v>0</v>
      </c>
      <c r="J295" t="n">
        <v>0</v>
      </c>
      <c r="K295" t="n">
        <v>0</v>
      </c>
      <c r="L295" t="n">
        <v>0</v>
      </c>
      <c r="M295" t="n">
        <v>0</v>
      </c>
      <c r="N295" t="n">
        <v>0</v>
      </c>
      <c r="O295" t="n">
        <v>0</v>
      </c>
      <c r="P295" t="n">
        <v>0</v>
      </c>
      <c r="Q295" t="n">
        <v>0</v>
      </c>
      <c r="R295" s="2" t="inlineStr"/>
    </row>
    <row r="296" ht="15" customHeight="1">
      <c r="A296" t="inlineStr">
        <is>
          <t>A 38580-2024</t>
        </is>
      </c>
      <c r="B296" s="1" t="n">
        <v>45546.64825231482</v>
      </c>
      <c r="C296" s="1" t="n">
        <v>45886</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572-2025</t>
        </is>
      </c>
      <c r="B297" s="1" t="n">
        <v>45664.56349537037</v>
      </c>
      <c r="C297" s="1" t="n">
        <v>45886</v>
      </c>
      <c r="D297" t="inlineStr">
        <is>
          <t>ÖSTERGÖTLANDS LÄN</t>
        </is>
      </c>
      <c r="E297" t="inlineStr">
        <is>
          <t>LINKÖPING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22364-2025</t>
        </is>
      </c>
      <c r="B298" s="1" t="n">
        <v>45786.46930555555</v>
      </c>
      <c r="C298" s="1" t="n">
        <v>45886</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2997-2025</t>
        </is>
      </c>
      <c r="B299" s="1" t="n">
        <v>45678.54631944445</v>
      </c>
      <c r="C299" s="1" t="n">
        <v>45886</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31534-2023</t>
        </is>
      </c>
      <c r="B300" s="1" t="n">
        <v>45116</v>
      </c>
      <c r="C300" s="1" t="n">
        <v>45886</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44287-2024</t>
        </is>
      </c>
      <c r="B301" s="1" t="n">
        <v>45573.50582175926</v>
      </c>
      <c r="C301" s="1" t="n">
        <v>45886</v>
      </c>
      <c r="D301" t="inlineStr">
        <is>
          <t>ÖSTERGÖTLANDS LÄN</t>
        </is>
      </c>
      <c r="E301" t="inlineStr">
        <is>
          <t>LINKÖPING</t>
        </is>
      </c>
      <c r="G301" t="n">
        <v>12.7</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45886</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45886</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45886</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10253-2022</t>
        </is>
      </c>
      <c r="B305" s="1" t="n">
        <v>44622</v>
      </c>
      <c r="C305" s="1" t="n">
        <v>45886</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16820-2024</t>
        </is>
      </c>
      <c r="B306" s="1" t="n">
        <v>45411.46809027778</v>
      </c>
      <c r="C306" s="1" t="n">
        <v>45886</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45886</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23120-2025</t>
        </is>
      </c>
      <c r="B308" s="1" t="n">
        <v>45791.37481481482</v>
      </c>
      <c r="C308" s="1" t="n">
        <v>45886</v>
      </c>
      <c r="D308" t="inlineStr">
        <is>
          <t>ÖSTERGÖTLANDS LÄN</t>
        </is>
      </c>
      <c r="E308" t="inlineStr">
        <is>
          <t>LINKÖPING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45886</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45886</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45886</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32602-2022</t>
        </is>
      </c>
      <c r="B312" s="1" t="n">
        <v>44783.43192129629</v>
      </c>
      <c r="C312" s="1" t="n">
        <v>45886</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47876-2020</t>
        </is>
      </c>
      <c r="B313" s="1" t="n">
        <v>44099</v>
      </c>
      <c r="C313" s="1" t="n">
        <v>45886</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30980-2022</t>
        </is>
      </c>
      <c r="B314" s="1" t="n">
        <v>44768</v>
      </c>
      <c r="C314" s="1" t="n">
        <v>45886</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45886</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23768-2025</t>
        </is>
      </c>
      <c r="B316" s="1" t="n">
        <v>45793.47493055555</v>
      </c>
      <c r="C316" s="1" t="n">
        <v>45886</v>
      </c>
      <c r="D316" t="inlineStr">
        <is>
          <t>ÖSTERGÖTLANDS LÄN</t>
        </is>
      </c>
      <c r="E316" t="inlineStr">
        <is>
          <t>LINKÖPING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13413-2023</t>
        </is>
      </c>
      <c r="B317" s="1" t="n">
        <v>45005.58341435185</v>
      </c>
      <c r="C317" s="1" t="n">
        <v>45886</v>
      </c>
      <c r="D317" t="inlineStr">
        <is>
          <t>ÖSTERGÖTLANDS LÄN</t>
        </is>
      </c>
      <c r="E317" t="inlineStr">
        <is>
          <t>LINKÖPING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63528-2023</t>
        </is>
      </c>
      <c r="B318" s="1" t="n">
        <v>45274.94810185185</v>
      </c>
      <c r="C318" s="1" t="n">
        <v>45886</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63638-2023</t>
        </is>
      </c>
      <c r="B319" s="1" t="n">
        <v>45275</v>
      </c>
      <c r="C319" s="1" t="n">
        <v>45886</v>
      </c>
      <c r="D319" t="inlineStr">
        <is>
          <t>ÖSTERGÖTLANDS LÄN</t>
        </is>
      </c>
      <c r="E319" t="inlineStr">
        <is>
          <t>LINKÖPING</t>
        </is>
      </c>
      <c r="F319" t="inlineStr">
        <is>
          <t>Övriga Aktiebolag</t>
        </is>
      </c>
      <c r="G319" t="n">
        <v>2.4</v>
      </c>
      <c r="H319" t="n">
        <v>0</v>
      </c>
      <c r="I319" t="n">
        <v>0</v>
      </c>
      <c r="J319" t="n">
        <v>0</v>
      </c>
      <c r="K319" t="n">
        <v>0</v>
      </c>
      <c r="L319" t="n">
        <v>0</v>
      </c>
      <c r="M319" t="n">
        <v>0</v>
      </c>
      <c r="N319" t="n">
        <v>0</v>
      </c>
      <c r="O319" t="n">
        <v>0</v>
      </c>
      <c r="P319" t="n">
        <v>0</v>
      </c>
      <c r="Q319" t="n">
        <v>0</v>
      </c>
      <c r="R319" s="2" t="inlineStr"/>
    </row>
    <row r="320" ht="15" customHeight="1">
      <c r="A320" t="inlineStr">
        <is>
          <t>A 63658-2023</t>
        </is>
      </c>
      <c r="B320" s="1" t="n">
        <v>45275</v>
      </c>
      <c r="C320" s="1" t="n">
        <v>45886</v>
      </c>
      <c r="D320" t="inlineStr">
        <is>
          <t>ÖSTERGÖTLANDS LÄN</t>
        </is>
      </c>
      <c r="E320" t="inlineStr">
        <is>
          <t>LINKÖPING</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37683-2024</t>
        </is>
      </c>
      <c r="B321" s="1" t="n">
        <v>45541.59120370371</v>
      </c>
      <c r="C321" s="1" t="n">
        <v>45886</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7808-2022</t>
        </is>
      </c>
      <c r="B322" s="1" t="n">
        <v>44608</v>
      </c>
      <c r="C322" s="1" t="n">
        <v>45886</v>
      </c>
      <c r="D322" t="inlineStr">
        <is>
          <t>ÖSTERGÖTLANDS LÄN</t>
        </is>
      </c>
      <c r="E322" t="inlineStr">
        <is>
          <t>LINKÖPING</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36336-2023</t>
        </is>
      </c>
      <c r="B323" s="1" t="n">
        <v>45152.45078703704</v>
      </c>
      <c r="C323" s="1" t="n">
        <v>45886</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56623-2024</t>
        </is>
      </c>
      <c r="B324" s="1" t="n">
        <v>45625</v>
      </c>
      <c r="C324" s="1" t="n">
        <v>45886</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44280-2024</t>
        </is>
      </c>
      <c r="B325" s="1" t="n">
        <v>45573.49461805556</v>
      </c>
      <c r="C325" s="1" t="n">
        <v>45886</v>
      </c>
      <c r="D325" t="inlineStr">
        <is>
          <t>ÖSTERGÖTLANDS LÄN</t>
        </is>
      </c>
      <c r="E325" t="inlineStr">
        <is>
          <t>LINKÖPING</t>
        </is>
      </c>
      <c r="G325" t="n">
        <v>5.3</v>
      </c>
      <c r="H325" t="n">
        <v>0</v>
      </c>
      <c r="I325" t="n">
        <v>0</v>
      </c>
      <c r="J325" t="n">
        <v>0</v>
      </c>
      <c r="K325" t="n">
        <v>0</v>
      </c>
      <c r="L325" t="n">
        <v>0</v>
      </c>
      <c r="M325" t="n">
        <v>0</v>
      </c>
      <c r="N325" t="n">
        <v>0</v>
      </c>
      <c r="O325" t="n">
        <v>0</v>
      </c>
      <c r="P325" t="n">
        <v>0</v>
      </c>
      <c r="Q325" t="n">
        <v>0</v>
      </c>
      <c r="R325" s="2" t="inlineStr"/>
    </row>
    <row r="326" ht="15" customHeight="1">
      <c r="A326" t="inlineStr">
        <is>
          <t>A 13011-2022</t>
        </is>
      </c>
      <c r="B326" s="1" t="n">
        <v>44643</v>
      </c>
      <c r="C326" s="1" t="n">
        <v>45886</v>
      </c>
      <c r="D326" t="inlineStr">
        <is>
          <t>ÖSTERGÖTLANDS LÄN</t>
        </is>
      </c>
      <c r="E326" t="inlineStr">
        <is>
          <t>LINKÖPING</t>
        </is>
      </c>
      <c r="G326" t="n">
        <v>3.7</v>
      </c>
      <c r="H326" t="n">
        <v>0</v>
      </c>
      <c r="I326" t="n">
        <v>0</v>
      </c>
      <c r="J326" t="n">
        <v>0</v>
      </c>
      <c r="K326" t="n">
        <v>0</v>
      </c>
      <c r="L326" t="n">
        <v>0</v>
      </c>
      <c r="M326" t="n">
        <v>0</v>
      </c>
      <c r="N326" t="n">
        <v>0</v>
      </c>
      <c r="O326" t="n">
        <v>0</v>
      </c>
      <c r="P326" t="n">
        <v>0</v>
      </c>
      <c r="Q326" t="n">
        <v>0</v>
      </c>
      <c r="R326" s="2" t="inlineStr"/>
    </row>
    <row r="327" ht="15" customHeight="1">
      <c r="A327" t="inlineStr">
        <is>
          <t>A 11595-2025</t>
        </is>
      </c>
      <c r="B327" s="1" t="n">
        <v>45727.41893518518</v>
      </c>
      <c r="C327" s="1" t="n">
        <v>45886</v>
      </c>
      <c r="D327" t="inlineStr">
        <is>
          <t>ÖSTERGÖTLANDS LÄN</t>
        </is>
      </c>
      <c r="E327" t="inlineStr">
        <is>
          <t>LINKÖPING</t>
        </is>
      </c>
      <c r="G327" t="n">
        <v>6.6</v>
      </c>
      <c r="H327" t="n">
        <v>0</v>
      </c>
      <c r="I327" t="n">
        <v>0</v>
      </c>
      <c r="J327" t="n">
        <v>0</v>
      </c>
      <c r="K327" t="n">
        <v>0</v>
      </c>
      <c r="L327" t="n">
        <v>0</v>
      </c>
      <c r="M327" t="n">
        <v>0</v>
      </c>
      <c r="N327" t="n">
        <v>0</v>
      </c>
      <c r="O327" t="n">
        <v>0</v>
      </c>
      <c r="P327" t="n">
        <v>0</v>
      </c>
      <c r="Q327" t="n">
        <v>0</v>
      </c>
      <c r="R327" s="2" t="inlineStr"/>
    </row>
    <row r="328" ht="15" customHeight="1">
      <c r="A328" t="inlineStr">
        <is>
          <t>A 25996-2025</t>
        </is>
      </c>
      <c r="B328" s="1" t="n">
        <v>45804.65851851852</v>
      </c>
      <c r="C328" s="1" t="n">
        <v>45886</v>
      </c>
      <c r="D328" t="inlineStr">
        <is>
          <t>ÖSTERGÖTLANDS LÄN</t>
        </is>
      </c>
      <c r="E328" t="inlineStr">
        <is>
          <t>LINKÖPING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50508-2024</t>
        </is>
      </c>
      <c r="B329" s="1" t="n">
        <v>45601.53907407408</v>
      </c>
      <c r="C329" s="1" t="n">
        <v>45886</v>
      </c>
      <c r="D329" t="inlineStr">
        <is>
          <t>ÖSTERGÖTLANDS LÄN</t>
        </is>
      </c>
      <c r="E329" t="inlineStr">
        <is>
          <t>LINKÖPING</t>
        </is>
      </c>
      <c r="F329" t="inlineStr">
        <is>
          <t>Övriga Aktiebolag</t>
        </is>
      </c>
      <c r="G329" t="n">
        <v>2</v>
      </c>
      <c r="H329" t="n">
        <v>0</v>
      </c>
      <c r="I329" t="n">
        <v>0</v>
      </c>
      <c r="J329" t="n">
        <v>0</v>
      </c>
      <c r="K329" t="n">
        <v>0</v>
      </c>
      <c r="L329" t="n">
        <v>0</v>
      </c>
      <c r="M329" t="n">
        <v>0</v>
      </c>
      <c r="N329" t="n">
        <v>0</v>
      </c>
      <c r="O329" t="n">
        <v>0</v>
      </c>
      <c r="P329" t="n">
        <v>0</v>
      </c>
      <c r="Q329" t="n">
        <v>0</v>
      </c>
      <c r="R329" s="2" t="inlineStr"/>
    </row>
    <row r="330" ht="15" customHeight="1">
      <c r="A330" t="inlineStr">
        <is>
          <t>A 25829-2025</t>
        </is>
      </c>
      <c r="B330" s="1" t="n">
        <v>45804.44505787037</v>
      </c>
      <c r="C330" s="1" t="n">
        <v>45886</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25831-2025</t>
        </is>
      </c>
      <c r="B331" s="1" t="n">
        <v>45804.44638888889</v>
      </c>
      <c r="C331" s="1" t="n">
        <v>45886</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36336-2022</t>
        </is>
      </c>
      <c r="B332" s="1" t="n">
        <v>44803</v>
      </c>
      <c r="C332" s="1" t="n">
        <v>45886</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48839-2022</t>
        </is>
      </c>
      <c r="B333" s="1" t="n">
        <v>44859</v>
      </c>
      <c r="C333" s="1" t="n">
        <v>45886</v>
      </c>
      <c r="D333" t="inlineStr">
        <is>
          <t>ÖSTERGÖTLANDS LÄN</t>
        </is>
      </c>
      <c r="E333" t="inlineStr">
        <is>
          <t>LINKÖPING</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26002-2025</t>
        </is>
      </c>
      <c r="B334" s="1" t="n">
        <v>45804.66534722222</v>
      </c>
      <c r="C334" s="1" t="n">
        <v>45886</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45886</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47991-2023</t>
        </is>
      </c>
      <c r="B336" s="1" t="n">
        <v>45204.62655092592</v>
      </c>
      <c r="C336" s="1" t="n">
        <v>45886</v>
      </c>
      <c r="D336" t="inlineStr">
        <is>
          <t>ÖSTERGÖTLANDS LÄN</t>
        </is>
      </c>
      <c r="E336" t="inlineStr">
        <is>
          <t>LINKÖPING</t>
        </is>
      </c>
      <c r="F336" t="inlineStr">
        <is>
          <t>Allmännings- och besparingsskogar</t>
        </is>
      </c>
      <c r="G336" t="n">
        <v>7.3</v>
      </c>
      <c r="H336" t="n">
        <v>0</v>
      </c>
      <c r="I336" t="n">
        <v>0</v>
      </c>
      <c r="J336" t="n">
        <v>0</v>
      </c>
      <c r="K336" t="n">
        <v>0</v>
      </c>
      <c r="L336" t="n">
        <v>0</v>
      </c>
      <c r="M336" t="n">
        <v>0</v>
      </c>
      <c r="N336" t="n">
        <v>0</v>
      </c>
      <c r="O336" t="n">
        <v>0</v>
      </c>
      <c r="P336" t="n">
        <v>0</v>
      </c>
      <c r="Q336" t="n">
        <v>0</v>
      </c>
      <c r="R336" s="2" t="inlineStr"/>
    </row>
    <row r="337" ht="15" customHeight="1">
      <c r="A337" t="inlineStr">
        <is>
          <t>A 6387-2022</t>
        </is>
      </c>
      <c r="B337" s="1" t="n">
        <v>44600</v>
      </c>
      <c r="C337" s="1" t="n">
        <v>45886</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34641-2022</t>
        </is>
      </c>
      <c r="B338" s="1" t="n">
        <v>44795</v>
      </c>
      <c r="C338" s="1" t="n">
        <v>45886</v>
      </c>
      <c r="D338" t="inlineStr">
        <is>
          <t>ÖSTERGÖTLANDS LÄN</t>
        </is>
      </c>
      <c r="E338" t="inlineStr">
        <is>
          <t>LINKÖPING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24351-2024</t>
        </is>
      </c>
      <c r="B339" s="1" t="n">
        <v>45457.59011574074</v>
      </c>
      <c r="C339" s="1" t="n">
        <v>45886</v>
      </c>
      <c r="D339" t="inlineStr">
        <is>
          <t>ÖSTERGÖTLANDS LÄN</t>
        </is>
      </c>
      <c r="E339" t="inlineStr">
        <is>
          <t>LINKÖPING</t>
        </is>
      </c>
      <c r="G339" t="n">
        <v>11.9</v>
      </c>
      <c r="H339" t="n">
        <v>0</v>
      </c>
      <c r="I339" t="n">
        <v>0</v>
      </c>
      <c r="J339" t="n">
        <v>0</v>
      </c>
      <c r="K339" t="n">
        <v>0</v>
      </c>
      <c r="L339" t="n">
        <v>0</v>
      </c>
      <c r="M339" t="n">
        <v>0</v>
      </c>
      <c r="N339" t="n">
        <v>0</v>
      </c>
      <c r="O339" t="n">
        <v>0</v>
      </c>
      <c r="P339" t="n">
        <v>0</v>
      </c>
      <c r="Q339" t="n">
        <v>0</v>
      </c>
      <c r="R339" s="2" t="inlineStr"/>
    </row>
    <row r="340" ht="15" customHeight="1">
      <c r="A340" t="inlineStr">
        <is>
          <t>A 38282-2020</t>
        </is>
      </c>
      <c r="B340" s="1" t="n">
        <v>44060</v>
      </c>
      <c r="C340" s="1" t="n">
        <v>45886</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13687-2025</t>
        </is>
      </c>
      <c r="B341" s="1" t="n">
        <v>45737.31425925926</v>
      </c>
      <c r="C341" s="1" t="n">
        <v>45886</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13688-2025</t>
        </is>
      </c>
      <c r="B342" s="1" t="n">
        <v>45737.3153125</v>
      </c>
      <c r="C342" s="1" t="n">
        <v>45886</v>
      </c>
      <c r="D342" t="inlineStr">
        <is>
          <t>ÖSTERGÖTLANDS LÄN</t>
        </is>
      </c>
      <c r="E342" t="inlineStr">
        <is>
          <t>LINKÖPING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13695-2025</t>
        </is>
      </c>
      <c r="B343" s="1" t="n">
        <v>45737.32219907407</v>
      </c>
      <c r="C343" s="1" t="n">
        <v>45886</v>
      </c>
      <c r="D343" t="inlineStr">
        <is>
          <t>ÖSTERGÖTLANDS LÄN</t>
        </is>
      </c>
      <c r="E343" t="inlineStr">
        <is>
          <t>LINKÖPING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62501-2023</t>
        </is>
      </c>
      <c r="B344" s="1" t="n">
        <v>45268</v>
      </c>
      <c r="C344" s="1" t="n">
        <v>45886</v>
      </c>
      <c r="D344" t="inlineStr">
        <is>
          <t>ÖSTERGÖTLANDS LÄN</t>
        </is>
      </c>
      <c r="E344" t="inlineStr">
        <is>
          <t>LINKÖPING</t>
        </is>
      </c>
      <c r="G344" t="n">
        <v>7.4</v>
      </c>
      <c r="H344" t="n">
        <v>0</v>
      </c>
      <c r="I344" t="n">
        <v>0</v>
      </c>
      <c r="J344" t="n">
        <v>0</v>
      </c>
      <c r="K344" t="n">
        <v>0</v>
      </c>
      <c r="L344" t="n">
        <v>0</v>
      </c>
      <c r="M344" t="n">
        <v>0</v>
      </c>
      <c r="N344" t="n">
        <v>0</v>
      </c>
      <c r="O344" t="n">
        <v>0</v>
      </c>
      <c r="P344" t="n">
        <v>0</v>
      </c>
      <c r="Q344" t="n">
        <v>0</v>
      </c>
      <c r="R344" s="2" t="inlineStr"/>
    </row>
    <row r="345" ht="15" customHeight="1">
      <c r="A345" t="inlineStr">
        <is>
          <t>A 58947-2022</t>
        </is>
      </c>
      <c r="B345" s="1" t="n">
        <v>44903.64769675926</v>
      </c>
      <c r="C345" s="1" t="n">
        <v>45886</v>
      </c>
      <c r="D345" t="inlineStr">
        <is>
          <t>ÖSTERGÖTLANDS LÄN</t>
        </is>
      </c>
      <c r="E345" t="inlineStr">
        <is>
          <t>LINKÖPING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45886</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53827-2023</t>
        </is>
      </c>
      <c r="B347" s="1" t="n">
        <v>45230</v>
      </c>
      <c r="C347" s="1" t="n">
        <v>45886</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52413-2023</t>
        </is>
      </c>
      <c r="B348" s="1" t="n">
        <v>45225.27950231481</v>
      </c>
      <c r="C348" s="1" t="n">
        <v>45886</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940-2023</t>
        </is>
      </c>
      <c r="B349" s="1" t="n">
        <v>44933</v>
      </c>
      <c r="C349" s="1" t="n">
        <v>45886</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42054-2022</t>
        </is>
      </c>
      <c r="B350" s="1" t="n">
        <v>44830</v>
      </c>
      <c r="C350" s="1" t="n">
        <v>45886</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53797-2023</t>
        </is>
      </c>
      <c r="B351" s="1" t="n">
        <v>45230</v>
      </c>
      <c r="C351" s="1" t="n">
        <v>45886</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7992-2023</t>
        </is>
      </c>
      <c r="B352" s="1" t="n">
        <v>44970</v>
      </c>
      <c r="C352" s="1" t="n">
        <v>45886</v>
      </c>
      <c r="D352" t="inlineStr">
        <is>
          <t>ÖSTERGÖTLANDS LÄN</t>
        </is>
      </c>
      <c r="E352" t="inlineStr">
        <is>
          <t>LINKÖPING</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45819-2024</t>
        </is>
      </c>
      <c r="B353" s="1" t="n">
        <v>45579.7454050926</v>
      </c>
      <c r="C353" s="1" t="n">
        <v>45886</v>
      </c>
      <c r="D353" t="inlineStr">
        <is>
          <t>ÖSTERGÖTLANDS LÄN</t>
        </is>
      </c>
      <c r="E353" t="inlineStr">
        <is>
          <t>LINKÖPING</t>
        </is>
      </c>
      <c r="G353" t="n">
        <v>5</v>
      </c>
      <c r="H353" t="n">
        <v>0</v>
      </c>
      <c r="I353" t="n">
        <v>0</v>
      </c>
      <c r="J353" t="n">
        <v>0</v>
      </c>
      <c r="K353" t="n">
        <v>0</v>
      </c>
      <c r="L353" t="n">
        <v>0</v>
      </c>
      <c r="M353" t="n">
        <v>0</v>
      </c>
      <c r="N353" t="n">
        <v>0</v>
      </c>
      <c r="O353" t="n">
        <v>0</v>
      </c>
      <c r="P353" t="n">
        <v>0</v>
      </c>
      <c r="Q353" t="n">
        <v>0</v>
      </c>
      <c r="R353" s="2" t="inlineStr"/>
    </row>
    <row r="354" ht="15" customHeight="1">
      <c r="A354" t="inlineStr">
        <is>
          <t>A 3041-2024</t>
        </is>
      </c>
      <c r="B354" s="1" t="n">
        <v>45316.34875</v>
      </c>
      <c r="C354" s="1" t="n">
        <v>45886</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3043-2024</t>
        </is>
      </c>
      <c r="B355" s="1" t="n">
        <v>45316</v>
      </c>
      <c r="C355" s="1" t="n">
        <v>45886</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42413-2020</t>
        </is>
      </c>
      <c r="B356" s="1" t="n">
        <v>44076</v>
      </c>
      <c r="C356" s="1" t="n">
        <v>45886</v>
      </c>
      <c r="D356" t="inlineStr">
        <is>
          <t>ÖSTERGÖTLANDS LÄN</t>
        </is>
      </c>
      <c r="E356" t="inlineStr">
        <is>
          <t>LINKÖPING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35174-2025</t>
        </is>
      </c>
      <c r="B357" s="1" t="n">
        <v>45852.90648148148</v>
      </c>
      <c r="C357" s="1" t="n">
        <v>45886</v>
      </c>
      <c r="D357" t="inlineStr">
        <is>
          <t>ÖSTERGÖTLANDS LÄN</t>
        </is>
      </c>
      <c r="E357" t="inlineStr">
        <is>
          <t>LINKÖPING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22833-2023</t>
        </is>
      </c>
      <c r="B358" s="1" t="n">
        <v>45071</v>
      </c>
      <c r="C358" s="1" t="n">
        <v>45886</v>
      </c>
      <c r="D358" t="inlineStr">
        <is>
          <t>ÖSTERGÖTLANDS LÄN</t>
        </is>
      </c>
      <c r="E358" t="inlineStr">
        <is>
          <t>LINKÖPING</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3530-2024</t>
        </is>
      </c>
      <c r="B359" s="1" t="n">
        <v>45320.54717592592</v>
      </c>
      <c r="C359" s="1" t="n">
        <v>45886</v>
      </c>
      <c r="D359" t="inlineStr">
        <is>
          <t>ÖSTERGÖTLANDS LÄN</t>
        </is>
      </c>
      <c r="E359" t="inlineStr">
        <is>
          <t>LINKÖPING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17898-2022</t>
        </is>
      </c>
      <c r="B360" s="1" t="n">
        <v>44683</v>
      </c>
      <c r="C360" s="1" t="n">
        <v>45886</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62017-2024</t>
        </is>
      </c>
      <c r="B361" s="1" t="n">
        <v>45655.81140046296</v>
      </c>
      <c r="C361" s="1" t="n">
        <v>45886</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44535-2020</t>
        </is>
      </c>
      <c r="B362" s="1" t="n">
        <v>44085</v>
      </c>
      <c r="C362" s="1" t="n">
        <v>45886</v>
      </c>
      <c r="D362" t="inlineStr">
        <is>
          <t>ÖSTERGÖTLANDS LÄN</t>
        </is>
      </c>
      <c r="E362" t="inlineStr">
        <is>
          <t>LINKÖPING</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12411-2022</t>
        </is>
      </c>
      <c r="B363" s="1" t="n">
        <v>44638.21601851852</v>
      </c>
      <c r="C363" s="1" t="n">
        <v>45886</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10492-2022</t>
        </is>
      </c>
      <c r="B364" s="1" t="n">
        <v>44623.6377199074</v>
      </c>
      <c r="C364" s="1" t="n">
        <v>45886</v>
      </c>
      <c r="D364" t="inlineStr">
        <is>
          <t>ÖSTERGÖTLANDS LÄN</t>
        </is>
      </c>
      <c r="E364" t="inlineStr">
        <is>
          <t>LINKÖPING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62686-2023</t>
        </is>
      </c>
      <c r="B365" s="1" t="n">
        <v>45271</v>
      </c>
      <c r="C365" s="1" t="n">
        <v>45886</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55345-2021</t>
        </is>
      </c>
      <c r="B366" s="1" t="n">
        <v>44475</v>
      </c>
      <c r="C366" s="1" t="n">
        <v>45886</v>
      </c>
      <c r="D366" t="inlineStr">
        <is>
          <t>ÖSTERGÖTLANDS LÄN</t>
        </is>
      </c>
      <c r="E366" t="inlineStr">
        <is>
          <t>LINKÖPING</t>
        </is>
      </c>
      <c r="G366" t="n">
        <v>5.7</v>
      </c>
      <c r="H366" t="n">
        <v>0</v>
      </c>
      <c r="I366" t="n">
        <v>0</v>
      </c>
      <c r="J366" t="n">
        <v>0</v>
      </c>
      <c r="K366" t="n">
        <v>0</v>
      </c>
      <c r="L366" t="n">
        <v>0</v>
      </c>
      <c r="M366" t="n">
        <v>0</v>
      </c>
      <c r="N366" t="n">
        <v>0</v>
      </c>
      <c r="O366" t="n">
        <v>0</v>
      </c>
      <c r="P366" t="n">
        <v>0</v>
      </c>
      <c r="Q366" t="n">
        <v>0</v>
      </c>
      <c r="R366" s="2" t="inlineStr"/>
    </row>
    <row r="367" ht="15" customHeight="1">
      <c r="A367" t="inlineStr">
        <is>
          <t>A 63489-2023</t>
        </is>
      </c>
      <c r="B367" s="1" t="n">
        <v>45274.66761574074</v>
      </c>
      <c r="C367" s="1" t="n">
        <v>45886</v>
      </c>
      <c r="D367" t="inlineStr">
        <is>
          <t>ÖSTERGÖTLANDS LÄN</t>
        </is>
      </c>
      <c r="E367" t="inlineStr">
        <is>
          <t>LINKÖPING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70-2024</t>
        </is>
      </c>
      <c r="B368" s="1" t="n">
        <v>45293</v>
      </c>
      <c r="C368" s="1" t="n">
        <v>45886</v>
      </c>
      <c r="D368" t="inlineStr">
        <is>
          <t>ÖSTERGÖTLANDS LÄN</t>
        </is>
      </c>
      <c r="E368" t="inlineStr">
        <is>
          <t>LINKÖPING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7343-2025</t>
        </is>
      </c>
      <c r="B369" s="1" t="n">
        <v>45703.67853009259</v>
      </c>
      <c r="C369" s="1" t="n">
        <v>45886</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8967-2025</t>
        </is>
      </c>
      <c r="B370" s="1" t="n">
        <v>45712</v>
      </c>
      <c r="C370" s="1" t="n">
        <v>45886</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35427-2023</t>
        </is>
      </c>
      <c r="B371" s="1" t="n">
        <v>45146</v>
      </c>
      <c r="C371" s="1" t="n">
        <v>45886</v>
      </c>
      <c r="D371" t="inlineStr">
        <is>
          <t>ÖSTERGÖTLANDS LÄN</t>
        </is>
      </c>
      <c r="E371" t="inlineStr">
        <is>
          <t>LINKÖPING</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30468-2023</t>
        </is>
      </c>
      <c r="B372" s="1" t="n">
        <v>45111.58732638889</v>
      </c>
      <c r="C372" s="1" t="n">
        <v>45886</v>
      </c>
      <c r="D372" t="inlineStr">
        <is>
          <t>ÖSTERGÖTLANDS LÄN</t>
        </is>
      </c>
      <c r="E372" t="inlineStr">
        <is>
          <t>LINKÖPING</t>
        </is>
      </c>
      <c r="G372" t="n">
        <v>10.1</v>
      </c>
      <c r="H372" t="n">
        <v>0</v>
      </c>
      <c r="I372" t="n">
        <v>0</v>
      </c>
      <c r="J372" t="n">
        <v>0</v>
      </c>
      <c r="K372" t="n">
        <v>0</v>
      </c>
      <c r="L372" t="n">
        <v>0</v>
      </c>
      <c r="M372" t="n">
        <v>0</v>
      </c>
      <c r="N372" t="n">
        <v>0</v>
      </c>
      <c r="O372" t="n">
        <v>0</v>
      </c>
      <c r="P372" t="n">
        <v>0</v>
      </c>
      <c r="Q372" t="n">
        <v>0</v>
      </c>
      <c r="R372" s="2" t="inlineStr"/>
    </row>
    <row r="373" ht="15" customHeight="1">
      <c r="A373" t="inlineStr">
        <is>
          <t>A 6782-2024</t>
        </is>
      </c>
      <c r="B373" s="1" t="n">
        <v>45342</v>
      </c>
      <c r="C373" s="1" t="n">
        <v>45886</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617-2024</t>
        </is>
      </c>
      <c r="B374" s="1" t="n">
        <v>45299.66028935185</v>
      </c>
      <c r="C374" s="1" t="n">
        <v>45886</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670-2024</t>
        </is>
      </c>
      <c r="B375" s="1" t="n">
        <v>45300.3408912037</v>
      </c>
      <c r="C375" s="1" t="n">
        <v>45886</v>
      </c>
      <c r="D375" t="inlineStr">
        <is>
          <t>ÖSTERGÖTLANDS LÄN</t>
        </is>
      </c>
      <c r="E375" t="inlineStr">
        <is>
          <t>LINKÖPING</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52125-2022</t>
        </is>
      </c>
      <c r="B376" s="1" t="n">
        <v>44873</v>
      </c>
      <c r="C376" s="1" t="n">
        <v>45886</v>
      </c>
      <c r="D376" t="inlineStr">
        <is>
          <t>ÖSTERGÖTLANDS LÄN</t>
        </is>
      </c>
      <c r="E376" t="inlineStr">
        <is>
          <t>LINKÖPING</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1084-2023</t>
        </is>
      </c>
      <c r="B377" s="1" t="n">
        <v>44929</v>
      </c>
      <c r="C377" s="1" t="n">
        <v>45886</v>
      </c>
      <c r="D377" t="inlineStr">
        <is>
          <t>ÖSTERGÖTLANDS LÄN</t>
        </is>
      </c>
      <c r="E377" t="inlineStr">
        <is>
          <t>LINKÖPING</t>
        </is>
      </c>
      <c r="G377" t="n">
        <v>10.4</v>
      </c>
      <c r="H377" t="n">
        <v>0</v>
      </c>
      <c r="I377" t="n">
        <v>0</v>
      </c>
      <c r="J377" t="n">
        <v>0</v>
      </c>
      <c r="K377" t="n">
        <v>0</v>
      </c>
      <c r="L377" t="n">
        <v>0</v>
      </c>
      <c r="M377" t="n">
        <v>0</v>
      </c>
      <c r="N377" t="n">
        <v>0</v>
      </c>
      <c r="O377" t="n">
        <v>0</v>
      </c>
      <c r="P377" t="n">
        <v>0</v>
      </c>
      <c r="Q377" t="n">
        <v>0</v>
      </c>
      <c r="R377" s="2" t="inlineStr"/>
    </row>
    <row r="378" ht="15" customHeight="1">
      <c r="A378" t="inlineStr">
        <is>
          <t>A 20296-2025</t>
        </is>
      </c>
      <c r="B378" s="1" t="n">
        <v>45774.74922453704</v>
      </c>
      <c r="C378" s="1" t="n">
        <v>45886</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53529-2024</t>
        </is>
      </c>
      <c r="B379" s="1" t="n">
        <v>45614</v>
      </c>
      <c r="C379" s="1" t="n">
        <v>45886</v>
      </c>
      <c r="D379" t="inlineStr">
        <is>
          <t>ÖSTERGÖTLANDS LÄN</t>
        </is>
      </c>
      <c r="E379" t="inlineStr">
        <is>
          <t>LINKÖPING</t>
        </is>
      </c>
      <c r="G379" t="n">
        <v>6.7</v>
      </c>
      <c r="H379" t="n">
        <v>0</v>
      </c>
      <c r="I379" t="n">
        <v>0</v>
      </c>
      <c r="J379" t="n">
        <v>0</v>
      </c>
      <c r="K379" t="n">
        <v>0</v>
      </c>
      <c r="L379" t="n">
        <v>0</v>
      </c>
      <c r="M379" t="n">
        <v>0</v>
      </c>
      <c r="N379" t="n">
        <v>0</v>
      </c>
      <c r="O379" t="n">
        <v>0</v>
      </c>
      <c r="P379" t="n">
        <v>0</v>
      </c>
      <c r="Q379" t="n">
        <v>0</v>
      </c>
      <c r="R379" s="2" t="inlineStr"/>
    </row>
    <row r="380" ht="15" customHeight="1">
      <c r="A380" t="inlineStr">
        <is>
          <t>A 29859-2024</t>
        </is>
      </c>
      <c r="B380" s="1" t="n">
        <v>45485.6846412037</v>
      </c>
      <c r="C380" s="1" t="n">
        <v>45886</v>
      </c>
      <c r="D380" t="inlineStr">
        <is>
          <t>ÖSTERGÖTLANDS LÄN</t>
        </is>
      </c>
      <c r="E380" t="inlineStr">
        <is>
          <t>LINKÖPING</t>
        </is>
      </c>
      <c r="G380" t="n">
        <v>0.4</v>
      </c>
      <c r="H380" t="n">
        <v>0</v>
      </c>
      <c r="I380" t="n">
        <v>0</v>
      </c>
      <c r="J380" t="n">
        <v>0</v>
      </c>
      <c r="K380" t="n">
        <v>0</v>
      </c>
      <c r="L380" t="n">
        <v>0</v>
      </c>
      <c r="M380" t="n">
        <v>0</v>
      </c>
      <c r="N380" t="n">
        <v>0</v>
      </c>
      <c r="O380" t="n">
        <v>0</v>
      </c>
      <c r="P380" t="n">
        <v>0</v>
      </c>
      <c r="Q380" t="n">
        <v>0</v>
      </c>
      <c r="R380" s="2" t="inlineStr"/>
    </row>
    <row r="381" ht="15" customHeight="1">
      <c r="A381" t="inlineStr">
        <is>
          <t>A 51571-2024</t>
        </is>
      </c>
      <c r="B381" s="1" t="n">
        <v>45604</v>
      </c>
      <c r="C381" s="1" t="n">
        <v>45886</v>
      </c>
      <c r="D381" t="inlineStr">
        <is>
          <t>ÖSTERGÖTLANDS LÄN</t>
        </is>
      </c>
      <c r="E381" t="inlineStr">
        <is>
          <t>LINKÖPING</t>
        </is>
      </c>
      <c r="F381" t="inlineStr">
        <is>
          <t>Övriga Aktiebolag</t>
        </is>
      </c>
      <c r="G381" t="n">
        <v>1.4</v>
      </c>
      <c r="H381" t="n">
        <v>0</v>
      </c>
      <c r="I381" t="n">
        <v>0</v>
      </c>
      <c r="J381" t="n">
        <v>0</v>
      </c>
      <c r="K381" t="n">
        <v>0</v>
      </c>
      <c r="L381" t="n">
        <v>0</v>
      </c>
      <c r="M381" t="n">
        <v>0</v>
      </c>
      <c r="N381" t="n">
        <v>0</v>
      </c>
      <c r="O381" t="n">
        <v>0</v>
      </c>
      <c r="P381" t="n">
        <v>0</v>
      </c>
      <c r="Q381" t="n">
        <v>0</v>
      </c>
      <c r="R381" s="2" t="inlineStr"/>
    </row>
    <row r="382" ht="15" customHeight="1">
      <c r="A382" t="inlineStr">
        <is>
          <t>A 223-2024</t>
        </is>
      </c>
      <c r="B382" s="1" t="n">
        <v>45294.72739583333</v>
      </c>
      <c r="C382" s="1" t="n">
        <v>45886</v>
      </c>
      <c r="D382" t="inlineStr">
        <is>
          <t>ÖSTERGÖTLANDS LÄN</t>
        </is>
      </c>
      <c r="E382" t="inlineStr">
        <is>
          <t>LINKÖPING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227-2024</t>
        </is>
      </c>
      <c r="B383" s="1" t="n">
        <v>45294.73603009259</v>
      </c>
      <c r="C383" s="1" t="n">
        <v>45886</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56841-2023</t>
        </is>
      </c>
      <c r="B384" s="1" t="n">
        <v>45244</v>
      </c>
      <c r="C384" s="1" t="n">
        <v>45886</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35178-2025</t>
        </is>
      </c>
      <c r="B385" s="1" t="n">
        <v>45852.91939814815</v>
      </c>
      <c r="C385" s="1" t="n">
        <v>45886</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45886</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27264-2025</t>
        </is>
      </c>
      <c r="B387" s="1" t="n">
        <v>45812.4794212963</v>
      </c>
      <c r="C387" s="1" t="n">
        <v>45886</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56917-2022</t>
        </is>
      </c>
      <c r="B388" s="1" t="n">
        <v>44894</v>
      </c>
      <c r="C388" s="1" t="n">
        <v>45886</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53812-2023</t>
        </is>
      </c>
      <c r="B389" s="1" t="n">
        <v>45231.39583333334</v>
      </c>
      <c r="C389" s="1" t="n">
        <v>45886</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53830-2023</t>
        </is>
      </c>
      <c r="B390" s="1" t="n">
        <v>45230</v>
      </c>
      <c r="C390" s="1" t="n">
        <v>45886</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35179-2025</t>
        </is>
      </c>
      <c r="B391" s="1" t="n">
        <v>45852.93737268518</v>
      </c>
      <c r="C391" s="1" t="n">
        <v>45886</v>
      </c>
      <c r="D391" t="inlineStr">
        <is>
          <t>ÖSTERGÖTLANDS LÄN</t>
        </is>
      </c>
      <c r="E391" t="inlineStr">
        <is>
          <t>LINKÖPING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45886</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45886</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45886</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45886</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38715-2023</t>
        </is>
      </c>
      <c r="B396" s="1" t="n">
        <v>45160</v>
      </c>
      <c r="C396" s="1" t="n">
        <v>45886</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45886</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45886</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6054-2022</t>
        </is>
      </c>
      <c r="B399" s="1" t="n">
        <v>44599.53623842593</v>
      </c>
      <c r="C399" s="1" t="n">
        <v>45886</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25119-2023</t>
        </is>
      </c>
      <c r="B400" s="1" t="n">
        <v>45086.42326388889</v>
      </c>
      <c r="C400" s="1" t="n">
        <v>45886</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55265-2020</t>
        </is>
      </c>
      <c r="B401" s="1" t="n">
        <v>44130</v>
      </c>
      <c r="C401" s="1" t="n">
        <v>45886</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4456-2024</t>
        </is>
      </c>
      <c r="B402" s="1" t="n">
        <v>45327.52847222222</v>
      </c>
      <c r="C402" s="1" t="n">
        <v>45886</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45886</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28200-2025</t>
        </is>
      </c>
      <c r="B404" s="1" t="n">
        <v>45818.4428125</v>
      </c>
      <c r="C404" s="1" t="n">
        <v>45886</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52892-2024</t>
        </is>
      </c>
      <c r="B405" s="1" t="n">
        <v>45610</v>
      </c>
      <c r="C405" s="1" t="n">
        <v>45886</v>
      </c>
      <c r="D405" t="inlineStr">
        <is>
          <t>ÖSTERGÖTLANDS LÄN</t>
        </is>
      </c>
      <c r="E405" t="inlineStr">
        <is>
          <t>LINKÖPING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35757-2025</t>
        </is>
      </c>
      <c r="B406" s="1" t="n">
        <v>45860.59876157407</v>
      </c>
      <c r="C406" s="1" t="n">
        <v>45886</v>
      </c>
      <c r="D406" t="inlineStr">
        <is>
          <t>ÖSTERGÖTLANDS LÄN</t>
        </is>
      </c>
      <c r="E406" t="inlineStr">
        <is>
          <t>LINKÖPING</t>
        </is>
      </c>
      <c r="G406" t="n">
        <v>5.7</v>
      </c>
      <c r="H406" t="n">
        <v>0</v>
      </c>
      <c r="I406" t="n">
        <v>0</v>
      </c>
      <c r="J406" t="n">
        <v>0</v>
      </c>
      <c r="K406" t="n">
        <v>0</v>
      </c>
      <c r="L406" t="n">
        <v>0</v>
      </c>
      <c r="M406" t="n">
        <v>0</v>
      </c>
      <c r="N406" t="n">
        <v>0</v>
      </c>
      <c r="O406" t="n">
        <v>0</v>
      </c>
      <c r="P406" t="n">
        <v>0</v>
      </c>
      <c r="Q406" t="n">
        <v>0</v>
      </c>
      <c r="R406" s="2" t="inlineStr"/>
    </row>
    <row r="407" ht="15" customHeight="1">
      <c r="A407" t="inlineStr">
        <is>
          <t>A 27950-2025</t>
        </is>
      </c>
      <c r="B407" s="1" t="n">
        <v>45817.52960648148</v>
      </c>
      <c r="C407" s="1" t="n">
        <v>45886</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3008-2023</t>
        </is>
      </c>
      <c r="B408" s="1" t="n">
        <v>44945.79784722222</v>
      </c>
      <c r="C408" s="1" t="n">
        <v>45886</v>
      </c>
      <c r="D408" t="inlineStr">
        <is>
          <t>ÖSTERGÖTLANDS LÄN</t>
        </is>
      </c>
      <c r="E408" t="inlineStr">
        <is>
          <t>LINKÖPING</t>
        </is>
      </c>
      <c r="G408" t="n">
        <v>19.3</v>
      </c>
      <c r="H408" t="n">
        <v>0</v>
      </c>
      <c r="I408" t="n">
        <v>0</v>
      </c>
      <c r="J408" t="n">
        <v>0</v>
      </c>
      <c r="K408" t="n">
        <v>0</v>
      </c>
      <c r="L408" t="n">
        <v>0</v>
      </c>
      <c r="M408" t="n">
        <v>0</v>
      </c>
      <c r="N408" t="n">
        <v>0</v>
      </c>
      <c r="O408" t="n">
        <v>0</v>
      </c>
      <c r="P408" t="n">
        <v>0</v>
      </c>
      <c r="Q408" t="n">
        <v>0</v>
      </c>
      <c r="R408" s="2" t="inlineStr"/>
    </row>
    <row r="409" ht="15" customHeight="1">
      <c r="A409" t="inlineStr">
        <is>
          <t>A 27797-2025</t>
        </is>
      </c>
      <c r="B409" s="1" t="n">
        <v>45816.80521990741</v>
      </c>
      <c r="C409" s="1" t="n">
        <v>45886</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27798-2025</t>
        </is>
      </c>
      <c r="B410" s="1" t="n">
        <v>45816.81532407407</v>
      </c>
      <c r="C410" s="1" t="n">
        <v>45886</v>
      </c>
      <c r="D410" t="inlineStr">
        <is>
          <t>ÖSTERGÖTLANDS LÄN</t>
        </is>
      </c>
      <c r="E410" t="inlineStr">
        <is>
          <t>LINKÖPING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35747-2025</t>
        </is>
      </c>
      <c r="B411" s="1" t="n">
        <v>45860.56385416666</v>
      </c>
      <c r="C411" s="1" t="n">
        <v>45886</v>
      </c>
      <c r="D411" t="inlineStr">
        <is>
          <t>ÖSTERGÖTLANDS LÄN</t>
        </is>
      </c>
      <c r="E411" t="inlineStr">
        <is>
          <t>LINKÖPING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59948-2022</t>
        </is>
      </c>
      <c r="B412" s="1" t="n">
        <v>44909</v>
      </c>
      <c r="C412" s="1" t="n">
        <v>45886</v>
      </c>
      <c r="D412" t="inlineStr">
        <is>
          <t>ÖSTERGÖTLANDS LÄN</t>
        </is>
      </c>
      <c r="E412" t="inlineStr">
        <is>
          <t>LINKÖPING</t>
        </is>
      </c>
      <c r="G412" t="n">
        <v>6.7</v>
      </c>
      <c r="H412" t="n">
        <v>0</v>
      </c>
      <c r="I412" t="n">
        <v>0</v>
      </c>
      <c r="J412" t="n">
        <v>0</v>
      </c>
      <c r="K412" t="n">
        <v>0</v>
      </c>
      <c r="L412" t="n">
        <v>0</v>
      </c>
      <c r="M412" t="n">
        <v>0</v>
      </c>
      <c r="N412" t="n">
        <v>0</v>
      </c>
      <c r="O412" t="n">
        <v>0</v>
      </c>
      <c r="P412" t="n">
        <v>0</v>
      </c>
      <c r="Q412" t="n">
        <v>0</v>
      </c>
      <c r="R412" s="2" t="inlineStr"/>
    </row>
    <row r="413" ht="15" customHeight="1">
      <c r="A413" t="inlineStr">
        <is>
          <t>A 28209-2025</t>
        </is>
      </c>
      <c r="B413" s="1" t="n">
        <v>45818.45112268518</v>
      </c>
      <c r="C413" s="1" t="n">
        <v>45886</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35745-2025</t>
        </is>
      </c>
      <c r="B414" s="1" t="n">
        <v>45860.54739583333</v>
      </c>
      <c r="C414" s="1" t="n">
        <v>45886</v>
      </c>
      <c r="D414" t="inlineStr">
        <is>
          <t>ÖSTERGÖTLANDS LÄN</t>
        </is>
      </c>
      <c r="E414" t="inlineStr">
        <is>
          <t>LINKÖPING</t>
        </is>
      </c>
      <c r="G414" t="n">
        <v>4.4</v>
      </c>
      <c r="H414" t="n">
        <v>0</v>
      </c>
      <c r="I414" t="n">
        <v>0</v>
      </c>
      <c r="J414" t="n">
        <v>0</v>
      </c>
      <c r="K414" t="n">
        <v>0</v>
      </c>
      <c r="L414" t="n">
        <v>0</v>
      </c>
      <c r="M414" t="n">
        <v>0</v>
      </c>
      <c r="N414" t="n">
        <v>0</v>
      </c>
      <c r="O414" t="n">
        <v>0</v>
      </c>
      <c r="P414" t="n">
        <v>0</v>
      </c>
      <c r="Q414" t="n">
        <v>0</v>
      </c>
      <c r="R414" s="2" t="inlineStr"/>
    </row>
    <row r="415" ht="15" customHeight="1">
      <c r="A415" t="inlineStr">
        <is>
          <t>A 28204-2025</t>
        </is>
      </c>
      <c r="B415" s="1" t="n">
        <v>45818.4477662037</v>
      </c>
      <c r="C415" s="1" t="n">
        <v>45886</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54491-2020</t>
        </is>
      </c>
      <c r="B416" s="1" t="n">
        <v>44126.64</v>
      </c>
      <c r="C416" s="1" t="n">
        <v>45886</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55736-2022</t>
        </is>
      </c>
      <c r="B417" s="1" t="n">
        <v>44888</v>
      </c>
      <c r="C417" s="1" t="n">
        <v>45886</v>
      </c>
      <c r="D417" t="inlineStr">
        <is>
          <t>ÖSTERGÖTLANDS LÄN</t>
        </is>
      </c>
      <c r="E417" t="inlineStr">
        <is>
          <t>LINKÖPING</t>
        </is>
      </c>
      <c r="G417" t="n">
        <v>5.5</v>
      </c>
      <c r="H417" t="n">
        <v>0</v>
      </c>
      <c r="I417" t="n">
        <v>0</v>
      </c>
      <c r="J417" t="n">
        <v>0</v>
      </c>
      <c r="K417" t="n">
        <v>0</v>
      </c>
      <c r="L417" t="n">
        <v>0</v>
      </c>
      <c r="M417" t="n">
        <v>0</v>
      </c>
      <c r="N417" t="n">
        <v>0</v>
      </c>
      <c r="O417" t="n">
        <v>0</v>
      </c>
      <c r="P417" t="n">
        <v>0</v>
      </c>
      <c r="Q417" t="n">
        <v>0</v>
      </c>
      <c r="R417" s="2" t="inlineStr"/>
    </row>
    <row r="418" ht="15" customHeight="1">
      <c r="A418" t="inlineStr">
        <is>
          <t>A 27766-2022</t>
        </is>
      </c>
      <c r="B418" s="1" t="n">
        <v>44743.53112268518</v>
      </c>
      <c r="C418" s="1" t="n">
        <v>45886</v>
      </c>
      <c r="D418" t="inlineStr">
        <is>
          <t>ÖSTERGÖTLANDS LÄN</t>
        </is>
      </c>
      <c r="E418" t="inlineStr">
        <is>
          <t>LINKÖPING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44389-2020</t>
        </is>
      </c>
      <c r="B419" s="1" t="n">
        <v>44084</v>
      </c>
      <c r="C419" s="1" t="n">
        <v>45886</v>
      </c>
      <c r="D419" t="inlineStr">
        <is>
          <t>ÖSTERGÖTLANDS LÄN</t>
        </is>
      </c>
      <c r="E419" t="inlineStr">
        <is>
          <t>LINKÖPING</t>
        </is>
      </c>
      <c r="G419" t="n">
        <v>4.7</v>
      </c>
      <c r="H419" t="n">
        <v>0</v>
      </c>
      <c r="I419" t="n">
        <v>0</v>
      </c>
      <c r="J419" t="n">
        <v>0</v>
      </c>
      <c r="K419" t="n">
        <v>0</v>
      </c>
      <c r="L419" t="n">
        <v>0</v>
      </c>
      <c r="M419" t="n">
        <v>0</v>
      </c>
      <c r="N419" t="n">
        <v>0</v>
      </c>
      <c r="O419" t="n">
        <v>0</v>
      </c>
      <c r="P419" t="n">
        <v>0</v>
      </c>
      <c r="Q419" t="n">
        <v>0</v>
      </c>
      <c r="R419" s="2" t="inlineStr"/>
    </row>
    <row r="420" ht="15" customHeight="1">
      <c r="A420" t="inlineStr">
        <is>
          <t>A 28398-2025</t>
        </is>
      </c>
      <c r="B420" s="1" t="n">
        <v>45819.34208333334</v>
      </c>
      <c r="C420" s="1" t="n">
        <v>45886</v>
      </c>
      <c r="D420" t="inlineStr">
        <is>
          <t>ÖSTERGÖTLANDS LÄN</t>
        </is>
      </c>
      <c r="E420" t="inlineStr">
        <is>
          <t>LINKÖPING</t>
        </is>
      </c>
      <c r="F420" t="inlineStr">
        <is>
          <t>Sveaskog</t>
        </is>
      </c>
      <c r="G420" t="n">
        <v>7.9</v>
      </c>
      <c r="H420" t="n">
        <v>0</v>
      </c>
      <c r="I420" t="n">
        <v>0</v>
      </c>
      <c r="J420" t="n">
        <v>0</v>
      </c>
      <c r="K420" t="n">
        <v>0</v>
      </c>
      <c r="L420" t="n">
        <v>0</v>
      </c>
      <c r="M420" t="n">
        <v>0</v>
      </c>
      <c r="N420" t="n">
        <v>0</v>
      </c>
      <c r="O420" t="n">
        <v>0</v>
      </c>
      <c r="P420" t="n">
        <v>0</v>
      </c>
      <c r="Q420" t="n">
        <v>0</v>
      </c>
      <c r="R420" s="2" t="inlineStr"/>
    </row>
    <row r="421" ht="15" customHeight="1">
      <c r="A421" t="inlineStr">
        <is>
          <t>A 30434-2024</t>
        </is>
      </c>
      <c r="B421" s="1" t="n">
        <v>45491.69811342593</v>
      </c>
      <c r="C421" s="1" t="n">
        <v>45886</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48271-2023</t>
        </is>
      </c>
      <c r="B422" s="1" t="n">
        <v>45205</v>
      </c>
      <c r="C422" s="1" t="n">
        <v>45886</v>
      </c>
      <c r="D422" t="inlineStr">
        <is>
          <t>ÖSTERGÖTLANDS LÄN</t>
        </is>
      </c>
      <c r="E422" t="inlineStr">
        <is>
          <t>LINKÖPING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28416-2025</t>
        </is>
      </c>
      <c r="B423" s="1" t="n">
        <v>45819.35346064815</v>
      </c>
      <c r="C423" s="1" t="n">
        <v>45886</v>
      </c>
      <c r="D423" t="inlineStr">
        <is>
          <t>ÖSTERGÖTLANDS LÄN</t>
        </is>
      </c>
      <c r="E423" t="inlineStr">
        <is>
          <t>LINKÖPING</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35759-2025</t>
        </is>
      </c>
      <c r="B424" s="1" t="n">
        <v>45860</v>
      </c>
      <c r="C424" s="1" t="n">
        <v>45886</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29027-2025</t>
        </is>
      </c>
      <c r="B425" s="1" t="n">
        <v>45821.4375462963</v>
      </c>
      <c r="C425" s="1" t="n">
        <v>45886</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29393-2025</t>
        </is>
      </c>
      <c r="B426" s="1" t="n">
        <v>45824.6057175926</v>
      </c>
      <c r="C426" s="1" t="n">
        <v>45886</v>
      </c>
      <c r="D426" t="inlineStr">
        <is>
          <t>ÖSTERGÖTLANDS LÄN</t>
        </is>
      </c>
      <c r="E426" t="inlineStr">
        <is>
          <t>LINKÖPING</t>
        </is>
      </c>
      <c r="F426" t="inlineStr">
        <is>
          <t>Sveaskog</t>
        </is>
      </c>
      <c r="G426" t="n">
        <v>24.6</v>
      </c>
      <c r="H426" t="n">
        <v>0</v>
      </c>
      <c r="I426" t="n">
        <v>0</v>
      </c>
      <c r="J426" t="n">
        <v>0</v>
      </c>
      <c r="K426" t="n">
        <v>0</v>
      </c>
      <c r="L426" t="n">
        <v>0</v>
      </c>
      <c r="M426" t="n">
        <v>0</v>
      </c>
      <c r="N426" t="n">
        <v>0</v>
      </c>
      <c r="O426" t="n">
        <v>0</v>
      </c>
      <c r="P426" t="n">
        <v>0</v>
      </c>
      <c r="Q426" t="n">
        <v>0</v>
      </c>
      <c r="R426" s="2" t="inlineStr"/>
    </row>
    <row r="427" ht="15" customHeight="1">
      <c r="A427" t="inlineStr">
        <is>
          <t>A 13266-2025</t>
        </is>
      </c>
      <c r="B427" s="1" t="n">
        <v>45735.53318287037</v>
      </c>
      <c r="C427" s="1" t="n">
        <v>45886</v>
      </c>
      <c r="D427" t="inlineStr">
        <is>
          <t>ÖSTERGÖTLANDS LÄN</t>
        </is>
      </c>
      <c r="E427" t="inlineStr">
        <is>
          <t>LINKÖPING</t>
        </is>
      </c>
      <c r="G427" t="n">
        <v>3.1</v>
      </c>
      <c r="H427" t="n">
        <v>0</v>
      </c>
      <c r="I427" t="n">
        <v>0</v>
      </c>
      <c r="J427" t="n">
        <v>0</v>
      </c>
      <c r="K427" t="n">
        <v>0</v>
      </c>
      <c r="L427" t="n">
        <v>0</v>
      </c>
      <c r="M427" t="n">
        <v>0</v>
      </c>
      <c r="N427" t="n">
        <v>0</v>
      </c>
      <c r="O427" t="n">
        <v>0</v>
      </c>
      <c r="P427" t="n">
        <v>0</v>
      </c>
      <c r="Q427" t="n">
        <v>0</v>
      </c>
      <c r="R427" s="2" t="inlineStr"/>
    </row>
    <row r="428" ht="15" customHeight="1">
      <c r="A428" t="inlineStr">
        <is>
          <t>A 29411-2025</t>
        </is>
      </c>
      <c r="B428" s="1" t="n">
        <v>45824.6219212963</v>
      </c>
      <c r="C428" s="1" t="n">
        <v>45886</v>
      </c>
      <c r="D428" t="inlineStr">
        <is>
          <t>ÖSTERGÖTLANDS LÄN</t>
        </is>
      </c>
      <c r="E428" t="inlineStr">
        <is>
          <t>LINKÖPING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29025-2025</t>
        </is>
      </c>
      <c r="B429" s="1" t="n">
        <v>45821.43289351852</v>
      </c>
      <c r="C429" s="1" t="n">
        <v>45886</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29293-2025</t>
        </is>
      </c>
      <c r="B430" s="1" t="n">
        <v>45824</v>
      </c>
      <c r="C430" s="1" t="n">
        <v>45886</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11084-2022</t>
        </is>
      </c>
      <c r="B431" s="1" t="n">
        <v>44628</v>
      </c>
      <c r="C431" s="1" t="n">
        <v>45886</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29599-2025</t>
        </is>
      </c>
      <c r="B432" s="1" t="n">
        <v>45825.41101851852</v>
      </c>
      <c r="C432" s="1" t="n">
        <v>45886</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57745-2022</t>
        </is>
      </c>
      <c r="B433" s="1" t="n">
        <v>44897.58119212963</v>
      </c>
      <c r="C433" s="1" t="n">
        <v>45886</v>
      </c>
      <c r="D433" t="inlineStr">
        <is>
          <t>ÖSTERGÖTLANDS LÄN</t>
        </is>
      </c>
      <c r="E433" t="inlineStr">
        <is>
          <t>LINKÖPING</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24765-2025</t>
        </is>
      </c>
      <c r="B434" s="1" t="n">
        <v>45799</v>
      </c>
      <c r="C434" s="1" t="n">
        <v>45886</v>
      </c>
      <c r="D434" t="inlineStr">
        <is>
          <t>ÖSTERGÖTLANDS LÄN</t>
        </is>
      </c>
      <c r="E434" t="inlineStr">
        <is>
          <t>LINKÖPING</t>
        </is>
      </c>
      <c r="G434" t="n">
        <v>4.9</v>
      </c>
      <c r="H434" t="n">
        <v>0</v>
      </c>
      <c r="I434" t="n">
        <v>0</v>
      </c>
      <c r="J434" t="n">
        <v>0</v>
      </c>
      <c r="K434" t="n">
        <v>0</v>
      </c>
      <c r="L434" t="n">
        <v>0</v>
      </c>
      <c r="M434" t="n">
        <v>0</v>
      </c>
      <c r="N434" t="n">
        <v>0</v>
      </c>
      <c r="O434" t="n">
        <v>0</v>
      </c>
      <c r="P434" t="n">
        <v>0</v>
      </c>
      <c r="Q434" t="n">
        <v>0</v>
      </c>
      <c r="R434" s="2" t="inlineStr"/>
    </row>
    <row r="435" ht="15" customHeight="1">
      <c r="A435" t="inlineStr">
        <is>
          <t>A 14520-2025</t>
        </is>
      </c>
      <c r="B435" s="1" t="n">
        <v>45741</v>
      </c>
      <c r="C435" s="1" t="n">
        <v>45886</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58714-2020</t>
        </is>
      </c>
      <c r="B436" s="1" t="n">
        <v>44146</v>
      </c>
      <c r="C436" s="1" t="n">
        <v>45886</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60001-2022</t>
        </is>
      </c>
      <c r="B437" s="1" t="n">
        <v>44909.47087962963</v>
      </c>
      <c r="C437" s="1" t="n">
        <v>45886</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39457-2023</t>
        </is>
      </c>
      <c r="B438" s="1" t="n">
        <v>45166</v>
      </c>
      <c r="C438" s="1" t="n">
        <v>45886</v>
      </c>
      <c r="D438" t="inlineStr">
        <is>
          <t>ÖSTERGÖTLANDS LÄN</t>
        </is>
      </c>
      <c r="E438" t="inlineStr">
        <is>
          <t>LINKÖPING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1657-2024</t>
        </is>
      </c>
      <c r="B439" s="1" t="n">
        <v>45306.82501157407</v>
      </c>
      <c r="C439" s="1" t="n">
        <v>45886</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56064-2022</t>
        </is>
      </c>
      <c r="B440" s="1" t="n">
        <v>44889.59107638889</v>
      </c>
      <c r="C440" s="1" t="n">
        <v>45886</v>
      </c>
      <c r="D440" t="inlineStr">
        <is>
          <t>ÖSTERGÖTLANDS LÄN</t>
        </is>
      </c>
      <c r="E440" t="inlineStr">
        <is>
          <t>LINKÖPING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40502-2024</t>
        </is>
      </c>
      <c r="B441" s="1" t="n">
        <v>45555.57263888889</v>
      </c>
      <c r="C441" s="1" t="n">
        <v>45886</v>
      </c>
      <c r="D441" t="inlineStr">
        <is>
          <t>ÖSTERGÖTLANDS LÄN</t>
        </is>
      </c>
      <c r="E441" t="inlineStr">
        <is>
          <t>LINKÖPING</t>
        </is>
      </c>
      <c r="F441" t="inlineStr">
        <is>
          <t>Allmännings- och besparingsskogar</t>
        </is>
      </c>
      <c r="G441" t="n">
        <v>17.5</v>
      </c>
      <c r="H441" t="n">
        <v>0</v>
      </c>
      <c r="I441" t="n">
        <v>0</v>
      </c>
      <c r="J441" t="n">
        <v>0</v>
      </c>
      <c r="K441" t="n">
        <v>0</v>
      </c>
      <c r="L441" t="n">
        <v>0</v>
      </c>
      <c r="M441" t="n">
        <v>0</v>
      </c>
      <c r="N441" t="n">
        <v>0</v>
      </c>
      <c r="O441" t="n">
        <v>0</v>
      </c>
      <c r="P441" t="n">
        <v>0</v>
      </c>
      <c r="Q441" t="n">
        <v>0</v>
      </c>
      <c r="R441" s="2" t="inlineStr"/>
    </row>
    <row r="442" ht="15" customHeight="1">
      <c r="A442" t="inlineStr">
        <is>
          <t>A 30355-2025</t>
        </is>
      </c>
      <c r="B442" s="1" t="n">
        <v>45827</v>
      </c>
      <c r="C442" s="1" t="n">
        <v>45886</v>
      </c>
      <c r="D442" t="inlineStr">
        <is>
          <t>ÖSTERGÖTLANDS LÄN</t>
        </is>
      </c>
      <c r="E442" t="inlineStr">
        <is>
          <t>LINKÖPING</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30353-2025</t>
        </is>
      </c>
      <c r="B443" s="1" t="n">
        <v>45827</v>
      </c>
      <c r="C443" s="1" t="n">
        <v>45886</v>
      </c>
      <c r="D443" t="inlineStr">
        <is>
          <t>ÖSTERGÖTLANDS LÄN</t>
        </is>
      </c>
      <c r="E443" t="inlineStr">
        <is>
          <t>LINKÖPING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30976-2022</t>
        </is>
      </c>
      <c r="B444" s="1" t="n">
        <v>44768</v>
      </c>
      <c r="C444" s="1" t="n">
        <v>45886</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16200-2025</t>
        </is>
      </c>
      <c r="B445" s="1" t="n">
        <v>45750.61050925926</v>
      </c>
      <c r="C445" s="1" t="n">
        <v>45886</v>
      </c>
      <c r="D445" t="inlineStr">
        <is>
          <t>ÖSTERGÖTLANDS LÄN</t>
        </is>
      </c>
      <c r="E445" t="inlineStr">
        <is>
          <t>LINKÖPING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30860-2022</t>
        </is>
      </c>
      <c r="B446" s="1" t="n">
        <v>44767</v>
      </c>
      <c r="C446" s="1" t="n">
        <v>45886</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19352-2025</t>
        </is>
      </c>
      <c r="B447" s="1" t="n">
        <v>45769</v>
      </c>
      <c r="C447" s="1" t="n">
        <v>45886</v>
      </c>
      <c r="D447" t="inlineStr">
        <is>
          <t>ÖSTERGÖTLANDS LÄN</t>
        </is>
      </c>
      <c r="E447" t="inlineStr">
        <is>
          <t>LINKÖPING</t>
        </is>
      </c>
      <c r="F447" t="inlineStr">
        <is>
          <t>Övriga Aktiebolag</t>
        </is>
      </c>
      <c r="G447" t="n">
        <v>3.3</v>
      </c>
      <c r="H447" t="n">
        <v>0</v>
      </c>
      <c r="I447" t="n">
        <v>0</v>
      </c>
      <c r="J447" t="n">
        <v>0</v>
      </c>
      <c r="K447" t="n">
        <v>0</v>
      </c>
      <c r="L447" t="n">
        <v>0</v>
      </c>
      <c r="M447" t="n">
        <v>0</v>
      </c>
      <c r="N447" t="n">
        <v>0</v>
      </c>
      <c r="O447" t="n">
        <v>0</v>
      </c>
      <c r="P447" t="n">
        <v>0</v>
      </c>
      <c r="Q447" t="n">
        <v>0</v>
      </c>
      <c r="R447" s="2" t="inlineStr"/>
    </row>
    <row r="448" ht="15" customHeight="1">
      <c r="A448" t="inlineStr">
        <is>
          <t>A 48186-2022</t>
        </is>
      </c>
      <c r="B448" s="1" t="n">
        <v>44858</v>
      </c>
      <c r="C448" s="1" t="n">
        <v>45886</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44155-2024</t>
        </is>
      </c>
      <c r="B449" s="1" t="n">
        <v>45572.68226851852</v>
      </c>
      <c r="C449" s="1" t="n">
        <v>45886</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28266-2024</t>
        </is>
      </c>
      <c r="B450" s="1" t="n">
        <v>45477.43600694444</v>
      </c>
      <c r="C450" s="1" t="n">
        <v>45886</v>
      </c>
      <c r="D450" t="inlineStr">
        <is>
          <t>ÖSTERGÖTLANDS LÄN</t>
        </is>
      </c>
      <c r="E450" t="inlineStr">
        <is>
          <t>LINKÖPING</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31548-2022</t>
        </is>
      </c>
      <c r="B451" s="1" t="n">
        <v>44775.39832175926</v>
      </c>
      <c r="C451" s="1" t="n">
        <v>45886</v>
      </c>
      <c r="D451" t="inlineStr">
        <is>
          <t>ÖSTERGÖTLANDS LÄN</t>
        </is>
      </c>
      <c r="E451" t="inlineStr">
        <is>
          <t>LINKÖPING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45506-2020</t>
        </is>
      </c>
      <c r="B452" s="1" t="n">
        <v>44089</v>
      </c>
      <c r="C452" s="1" t="n">
        <v>45886</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1211-2023</t>
        </is>
      </c>
      <c r="B453" s="1" t="n">
        <v>44930</v>
      </c>
      <c r="C453" s="1" t="n">
        <v>45886</v>
      </c>
      <c r="D453" t="inlineStr">
        <is>
          <t>ÖSTERGÖTLANDS LÄN</t>
        </is>
      </c>
      <c r="E453" t="inlineStr">
        <is>
          <t>LINKÖPING</t>
        </is>
      </c>
      <c r="F453" t="inlineStr">
        <is>
          <t>Övriga statliga verk och myndigheter</t>
        </is>
      </c>
      <c r="G453" t="n">
        <v>7.9</v>
      </c>
      <c r="H453" t="n">
        <v>0</v>
      </c>
      <c r="I453" t="n">
        <v>0</v>
      </c>
      <c r="J453" t="n">
        <v>0</v>
      </c>
      <c r="K453" t="n">
        <v>0</v>
      </c>
      <c r="L453" t="n">
        <v>0</v>
      </c>
      <c r="M453" t="n">
        <v>0</v>
      </c>
      <c r="N453" t="n">
        <v>0</v>
      </c>
      <c r="O453" t="n">
        <v>0</v>
      </c>
      <c r="P453" t="n">
        <v>0</v>
      </c>
      <c r="Q453" t="n">
        <v>0</v>
      </c>
      <c r="R453" s="2" t="inlineStr"/>
    </row>
    <row r="454" ht="15" customHeight="1">
      <c r="A454" t="inlineStr">
        <is>
          <t>A 51191-2022</t>
        </is>
      </c>
      <c r="B454" s="1" t="n">
        <v>44865</v>
      </c>
      <c r="C454" s="1" t="n">
        <v>45886</v>
      </c>
      <c r="D454" t="inlineStr">
        <is>
          <t>ÖSTERGÖTLANDS LÄN</t>
        </is>
      </c>
      <c r="E454" t="inlineStr">
        <is>
          <t>LINKÖPING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45886</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55632-2022</t>
        </is>
      </c>
      <c r="B456" s="1" t="n">
        <v>44888</v>
      </c>
      <c r="C456" s="1" t="n">
        <v>45886</v>
      </c>
      <c r="D456" t="inlineStr">
        <is>
          <t>ÖSTERGÖTLANDS LÄN</t>
        </is>
      </c>
      <c r="E456" t="inlineStr">
        <is>
          <t>LINKÖPING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42697-2020</t>
        </is>
      </c>
      <c r="B457" s="1" t="n">
        <v>44077</v>
      </c>
      <c r="C457" s="1" t="n">
        <v>45886</v>
      </c>
      <c r="D457" t="inlineStr">
        <is>
          <t>ÖSTERGÖTLANDS LÄN</t>
        </is>
      </c>
      <c r="E457" t="inlineStr">
        <is>
          <t>LINKÖPING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37057-2025</t>
        </is>
      </c>
      <c r="B458" s="1" t="n">
        <v>45875.37489583333</v>
      </c>
      <c r="C458" s="1" t="n">
        <v>45886</v>
      </c>
      <c r="D458" t="inlineStr">
        <is>
          <t>ÖSTERGÖTLANDS LÄN</t>
        </is>
      </c>
      <c r="E458" t="inlineStr">
        <is>
          <t>LINKÖPING</t>
        </is>
      </c>
      <c r="G458" t="n">
        <v>3.3</v>
      </c>
      <c r="H458" t="n">
        <v>0</v>
      </c>
      <c r="I458" t="n">
        <v>0</v>
      </c>
      <c r="J458" t="n">
        <v>0</v>
      </c>
      <c r="K458" t="n">
        <v>0</v>
      </c>
      <c r="L458" t="n">
        <v>0</v>
      </c>
      <c r="M458" t="n">
        <v>0</v>
      </c>
      <c r="N458" t="n">
        <v>0</v>
      </c>
      <c r="O458" t="n">
        <v>0</v>
      </c>
      <c r="P458" t="n">
        <v>0</v>
      </c>
      <c r="Q458" t="n">
        <v>0</v>
      </c>
      <c r="R458" s="2" t="inlineStr"/>
    </row>
    <row r="459" ht="15" customHeight="1">
      <c r="A459" t="inlineStr">
        <is>
          <t>A 63669-2023</t>
        </is>
      </c>
      <c r="B459" s="1" t="n">
        <v>45275</v>
      </c>
      <c r="C459" s="1" t="n">
        <v>45886</v>
      </c>
      <c r="D459" t="inlineStr">
        <is>
          <t>ÖSTERGÖTLANDS LÄN</t>
        </is>
      </c>
      <c r="E459" t="inlineStr">
        <is>
          <t>LINKÖPING</t>
        </is>
      </c>
      <c r="F459" t="inlineStr">
        <is>
          <t>Övriga Aktiebolag</t>
        </is>
      </c>
      <c r="G459" t="n">
        <v>3</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45886</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45886</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31581-2025</t>
        </is>
      </c>
      <c r="B462" s="1" t="n">
        <v>45833.6840162037</v>
      </c>
      <c r="C462" s="1" t="n">
        <v>45886</v>
      </c>
      <c r="D462" t="inlineStr">
        <is>
          <t>ÖSTERGÖTLANDS LÄN</t>
        </is>
      </c>
      <c r="E462" t="inlineStr">
        <is>
          <t>LINKÖPING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31585-2025</t>
        </is>
      </c>
      <c r="B463" s="1" t="n">
        <v>45833.68815972222</v>
      </c>
      <c r="C463" s="1" t="n">
        <v>45886</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19169-2023</t>
        </is>
      </c>
      <c r="B464" s="1" t="n">
        <v>45044</v>
      </c>
      <c r="C464" s="1" t="n">
        <v>45886</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1209-2023</t>
        </is>
      </c>
      <c r="B465" s="1" t="n">
        <v>44930</v>
      </c>
      <c r="C465" s="1" t="n">
        <v>45886</v>
      </c>
      <c r="D465" t="inlineStr">
        <is>
          <t>ÖSTERGÖTLANDS LÄN</t>
        </is>
      </c>
      <c r="E465" t="inlineStr">
        <is>
          <t>LINKÖPING</t>
        </is>
      </c>
      <c r="F465" t="inlineStr">
        <is>
          <t>Övriga statliga verk och myndigheter</t>
        </is>
      </c>
      <c r="G465" t="n">
        <v>25.8</v>
      </c>
      <c r="H465" t="n">
        <v>0</v>
      </c>
      <c r="I465" t="n">
        <v>0</v>
      </c>
      <c r="J465" t="n">
        <v>0</v>
      </c>
      <c r="K465" t="n">
        <v>0</v>
      </c>
      <c r="L465" t="n">
        <v>0</v>
      </c>
      <c r="M465" t="n">
        <v>0</v>
      </c>
      <c r="N465" t="n">
        <v>0</v>
      </c>
      <c r="O465" t="n">
        <v>0</v>
      </c>
      <c r="P465" t="n">
        <v>0</v>
      </c>
      <c r="Q465" t="n">
        <v>0</v>
      </c>
      <c r="R465" s="2" t="inlineStr"/>
    </row>
    <row r="466" ht="15" customHeight="1">
      <c r="A466" t="inlineStr">
        <is>
          <t>A 2085-2024</t>
        </is>
      </c>
      <c r="B466" s="1" t="n">
        <v>45309</v>
      </c>
      <c r="C466" s="1" t="n">
        <v>45886</v>
      </c>
      <c r="D466" t="inlineStr">
        <is>
          <t>ÖSTERGÖTLANDS LÄN</t>
        </is>
      </c>
      <c r="E466" t="inlineStr">
        <is>
          <t>LINKÖPING</t>
        </is>
      </c>
      <c r="G466" t="n">
        <v>4.5</v>
      </c>
      <c r="H466" t="n">
        <v>0</v>
      </c>
      <c r="I466" t="n">
        <v>0</v>
      </c>
      <c r="J466" t="n">
        <v>0</v>
      </c>
      <c r="K466" t="n">
        <v>0</v>
      </c>
      <c r="L466" t="n">
        <v>0</v>
      </c>
      <c r="M466" t="n">
        <v>0</v>
      </c>
      <c r="N466" t="n">
        <v>0</v>
      </c>
      <c r="O466" t="n">
        <v>0</v>
      </c>
      <c r="P466" t="n">
        <v>0</v>
      </c>
      <c r="Q466" t="n">
        <v>0</v>
      </c>
      <c r="R466" s="2" t="inlineStr"/>
    </row>
    <row r="467" ht="15" customHeight="1">
      <c r="A467" t="inlineStr">
        <is>
          <t>A 25825-2025</t>
        </is>
      </c>
      <c r="B467" s="1" t="n">
        <v>45804</v>
      </c>
      <c r="C467" s="1" t="n">
        <v>45886</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45886</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48-2024</t>
        </is>
      </c>
      <c r="B469" s="1" t="n">
        <v>45293</v>
      </c>
      <c r="C469" s="1" t="n">
        <v>45886</v>
      </c>
      <c r="D469" t="inlineStr">
        <is>
          <t>ÖSTERGÖTLANDS LÄN</t>
        </is>
      </c>
      <c r="E469" t="inlineStr">
        <is>
          <t>LINKÖPING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56560-2023</t>
        </is>
      </c>
      <c r="B470" s="1" t="n">
        <v>45238</v>
      </c>
      <c r="C470" s="1" t="n">
        <v>45886</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19132-2023</t>
        </is>
      </c>
      <c r="B471" s="1" t="n">
        <v>45048.54754629629</v>
      </c>
      <c r="C471" s="1" t="n">
        <v>45886</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52412-2023</t>
        </is>
      </c>
      <c r="B472" s="1" t="n">
        <v>45225.27888888889</v>
      </c>
      <c r="C472" s="1" t="n">
        <v>45886</v>
      </c>
      <c r="D472" t="inlineStr">
        <is>
          <t>ÖSTERGÖTLANDS LÄN</t>
        </is>
      </c>
      <c r="E472" t="inlineStr">
        <is>
          <t>LINKÖPING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62492-2023</t>
        </is>
      </c>
      <c r="B473" s="1" t="n">
        <v>45268.58987268519</v>
      </c>
      <c r="C473" s="1" t="n">
        <v>45886</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38046-2025</t>
        </is>
      </c>
      <c r="B474" s="1" t="n">
        <v>45882.39939814815</v>
      </c>
      <c r="C474" s="1" t="n">
        <v>45886</v>
      </c>
      <c r="D474" t="inlineStr">
        <is>
          <t>ÖSTERGÖTLANDS LÄN</t>
        </is>
      </c>
      <c r="E474" t="inlineStr">
        <is>
          <t>LINKÖPING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14028-2024</t>
        </is>
      </c>
      <c r="B475" s="1" t="n">
        <v>45392</v>
      </c>
      <c r="C475" s="1" t="n">
        <v>45886</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38230-2023</t>
        </is>
      </c>
      <c r="B476" s="1" t="n">
        <v>45161.55373842592</v>
      </c>
      <c r="C476" s="1" t="n">
        <v>45886</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56756-2023</t>
        </is>
      </c>
      <c r="B477" s="1" t="n">
        <v>45244</v>
      </c>
      <c r="C477" s="1" t="n">
        <v>45886</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38886-2024</t>
        </is>
      </c>
      <c r="B478" s="1" t="n">
        <v>45547.66443287037</v>
      </c>
      <c r="C478" s="1" t="n">
        <v>45886</v>
      </c>
      <c r="D478" t="inlineStr">
        <is>
          <t>ÖSTERGÖTLANDS LÄN</t>
        </is>
      </c>
      <c r="E478" t="inlineStr">
        <is>
          <t>LINKÖPING</t>
        </is>
      </c>
      <c r="G478" t="n">
        <v>5.3</v>
      </c>
      <c r="H478" t="n">
        <v>0</v>
      </c>
      <c r="I478" t="n">
        <v>0</v>
      </c>
      <c r="J478" t="n">
        <v>0</v>
      </c>
      <c r="K478" t="n">
        <v>0</v>
      </c>
      <c r="L478" t="n">
        <v>0</v>
      </c>
      <c r="M478" t="n">
        <v>0</v>
      </c>
      <c r="N478" t="n">
        <v>0</v>
      </c>
      <c r="O478" t="n">
        <v>0</v>
      </c>
      <c r="P478" t="n">
        <v>0</v>
      </c>
      <c r="Q478" t="n">
        <v>0</v>
      </c>
      <c r="R478" s="2" t="inlineStr"/>
    </row>
    <row r="479" ht="15" customHeight="1">
      <c r="A479" t="inlineStr">
        <is>
          <t>A 11590-2023</t>
        </is>
      </c>
      <c r="B479" s="1" t="n">
        <v>44994.36689814815</v>
      </c>
      <c r="C479" s="1" t="n">
        <v>45886</v>
      </c>
      <c r="D479" t="inlineStr">
        <is>
          <t>ÖSTERGÖTLANDS LÄN</t>
        </is>
      </c>
      <c r="E479" t="inlineStr">
        <is>
          <t>LINKÖPING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33947-2025</t>
        </is>
      </c>
      <c r="B480" s="1" t="n">
        <v>45842.65444444444</v>
      </c>
      <c r="C480" s="1" t="n">
        <v>45886</v>
      </c>
      <c r="D480" t="inlineStr">
        <is>
          <t>ÖSTERGÖTLANDS LÄN</t>
        </is>
      </c>
      <c r="E480" t="inlineStr">
        <is>
          <t>LINKÖPING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14667-2024</t>
        </is>
      </c>
      <c r="B481" s="1" t="n">
        <v>45397.42005787037</v>
      </c>
      <c r="C481" s="1" t="n">
        <v>45886</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2697-2023</t>
        </is>
      </c>
      <c r="B482" s="1" t="n">
        <v>44944</v>
      </c>
      <c r="C482" s="1" t="n">
        <v>45886</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38355-2020</t>
        </is>
      </c>
      <c r="B483" s="1" t="n">
        <v>44060</v>
      </c>
      <c r="C483" s="1" t="n">
        <v>45886</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53641-2023</t>
        </is>
      </c>
      <c r="B484" s="1" t="n">
        <v>45230</v>
      </c>
      <c r="C484" s="1" t="n">
        <v>45886</v>
      </c>
      <c r="D484" t="inlineStr">
        <is>
          <t>ÖSTERGÖTLANDS LÄN</t>
        </is>
      </c>
      <c r="E484" t="inlineStr">
        <is>
          <t>LINKÖPING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48707-2023</t>
        </is>
      </c>
      <c r="B485" s="1" t="n">
        <v>45202</v>
      </c>
      <c r="C485" s="1" t="n">
        <v>45886</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53411-2023</t>
        </is>
      </c>
      <c r="B486" s="1" t="n">
        <v>45229.81049768518</v>
      </c>
      <c r="C486" s="1" t="n">
        <v>45886</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10461-2023</t>
        </is>
      </c>
      <c r="B487" s="1" t="n">
        <v>44987.5969212963</v>
      </c>
      <c r="C487" s="1" t="n">
        <v>45886</v>
      </c>
      <c r="D487" t="inlineStr">
        <is>
          <t>ÖSTERGÖTLANDS LÄN</t>
        </is>
      </c>
      <c r="E487" t="inlineStr">
        <is>
          <t>LINKÖPING</t>
        </is>
      </c>
      <c r="G487" t="n">
        <v>7.8</v>
      </c>
      <c r="H487" t="n">
        <v>0</v>
      </c>
      <c r="I487" t="n">
        <v>0</v>
      </c>
      <c r="J487" t="n">
        <v>0</v>
      </c>
      <c r="K487" t="n">
        <v>0</v>
      </c>
      <c r="L487" t="n">
        <v>0</v>
      </c>
      <c r="M487" t="n">
        <v>0</v>
      </c>
      <c r="N487" t="n">
        <v>0</v>
      </c>
      <c r="O487" t="n">
        <v>0</v>
      </c>
      <c r="P487" t="n">
        <v>0</v>
      </c>
      <c r="Q487" t="n">
        <v>0</v>
      </c>
      <c r="R487" s="2" t="inlineStr"/>
    </row>
    <row r="488" ht="15" customHeight="1">
      <c r="A488" t="inlineStr">
        <is>
          <t>A 56741-2023</t>
        </is>
      </c>
      <c r="B488" s="1" t="n">
        <v>45244</v>
      </c>
      <c r="C488" s="1" t="n">
        <v>45886</v>
      </c>
      <c r="D488" t="inlineStr">
        <is>
          <t>ÖSTERGÖTLANDS LÄN</t>
        </is>
      </c>
      <c r="E488" t="inlineStr">
        <is>
          <t>LINKÖPING</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56792-2023</t>
        </is>
      </c>
      <c r="B489" s="1" t="n">
        <v>45244</v>
      </c>
      <c r="C489" s="1" t="n">
        <v>45886</v>
      </c>
      <c r="D489" t="inlineStr">
        <is>
          <t>ÖSTERGÖTLANDS LÄN</t>
        </is>
      </c>
      <c r="E489" t="inlineStr">
        <is>
          <t>LINKÖPING</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41345-2021</t>
        </is>
      </c>
      <c r="B490" s="1" t="n">
        <v>44424.61851851852</v>
      </c>
      <c r="C490" s="1" t="n">
        <v>45886</v>
      </c>
      <c r="D490" t="inlineStr">
        <is>
          <t>ÖSTERGÖTLANDS LÄN</t>
        </is>
      </c>
      <c r="E490" t="inlineStr">
        <is>
          <t>LINKÖPING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50471-2024</t>
        </is>
      </c>
      <c r="B491" s="1" t="n">
        <v>45601.47166666666</v>
      </c>
      <c r="C491" s="1" t="n">
        <v>45886</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3007-2023</t>
        </is>
      </c>
      <c r="B492" s="1" t="n">
        <v>44945</v>
      </c>
      <c r="C492" s="1" t="n">
        <v>45886</v>
      </c>
      <c r="D492" t="inlineStr">
        <is>
          <t>ÖSTERGÖTLANDS LÄN</t>
        </is>
      </c>
      <c r="E492" t="inlineStr">
        <is>
          <t>LINKÖPING</t>
        </is>
      </c>
      <c r="G492" t="n">
        <v>2.6</v>
      </c>
      <c r="H492" t="n">
        <v>0</v>
      </c>
      <c r="I492" t="n">
        <v>0</v>
      </c>
      <c r="J492" t="n">
        <v>0</v>
      </c>
      <c r="K492" t="n">
        <v>0</v>
      </c>
      <c r="L492" t="n">
        <v>0</v>
      </c>
      <c r="M492" t="n">
        <v>0</v>
      </c>
      <c r="N492" t="n">
        <v>0</v>
      </c>
      <c r="O492" t="n">
        <v>0</v>
      </c>
      <c r="P492" t="n">
        <v>0</v>
      </c>
      <c r="Q492" t="n">
        <v>0</v>
      </c>
      <c r="R492" s="2" t="inlineStr"/>
    </row>
    <row r="493" ht="15" customHeight="1">
      <c r="A493" t="inlineStr">
        <is>
          <t>A 40338-2024</t>
        </is>
      </c>
      <c r="B493" s="1" t="n">
        <v>45555.32940972222</v>
      </c>
      <c r="C493" s="1" t="n">
        <v>45886</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3013-2023</t>
        </is>
      </c>
      <c r="B494" s="1" t="n">
        <v>44945.8092824074</v>
      </c>
      <c r="C494" s="1" t="n">
        <v>45886</v>
      </c>
      <c r="D494" t="inlineStr">
        <is>
          <t>ÖSTERGÖTLANDS LÄN</t>
        </is>
      </c>
      <c r="E494" t="inlineStr">
        <is>
          <t>LINKÖPING</t>
        </is>
      </c>
      <c r="G494" t="n">
        <v>5.2</v>
      </c>
      <c r="H494" t="n">
        <v>0</v>
      </c>
      <c r="I494" t="n">
        <v>0</v>
      </c>
      <c r="J494" t="n">
        <v>0</v>
      </c>
      <c r="K494" t="n">
        <v>0</v>
      </c>
      <c r="L494" t="n">
        <v>0</v>
      </c>
      <c r="M494" t="n">
        <v>0</v>
      </c>
      <c r="N494" t="n">
        <v>0</v>
      </c>
      <c r="O494" t="n">
        <v>0</v>
      </c>
      <c r="P494" t="n">
        <v>0</v>
      </c>
      <c r="Q494" t="n">
        <v>0</v>
      </c>
      <c r="R494" s="2" t="inlineStr"/>
    </row>
    <row r="495" ht="15" customHeight="1">
      <c r="A495" t="inlineStr">
        <is>
          <t>A 55945-2024</t>
        </is>
      </c>
      <c r="B495" s="1" t="n">
        <v>45623.61754629629</v>
      </c>
      <c r="C495" s="1" t="n">
        <v>45886</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1993-2023</t>
        </is>
      </c>
      <c r="B496" s="1" t="n">
        <v>44939</v>
      </c>
      <c r="C496" s="1" t="n">
        <v>45886</v>
      </c>
      <c r="D496" t="inlineStr">
        <is>
          <t>ÖSTERGÖTLANDS LÄN</t>
        </is>
      </c>
      <c r="E496" t="inlineStr">
        <is>
          <t>LINKÖPING</t>
        </is>
      </c>
      <c r="G496" t="n">
        <v>3.7</v>
      </c>
      <c r="H496" t="n">
        <v>0</v>
      </c>
      <c r="I496" t="n">
        <v>0</v>
      </c>
      <c r="J496" t="n">
        <v>0</v>
      </c>
      <c r="K496" t="n">
        <v>0</v>
      </c>
      <c r="L496" t="n">
        <v>0</v>
      </c>
      <c r="M496" t="n">
        <v>0</v>
      </c>
      <c r="N496" t="n">
        <v>0</v>
      </c>
      <c r="O496" t="n">
        <v>0</v>
      </c>
      <c r="P496" t="n">
        <v>0</v>
      </c>
      <c r="Q496" t="n">
        <v>0</v>
      </c>
      <c r="R496" s="2" t="inlineStr"/>
    </row>
    <row r="497" ht="15" customHeight="1">
      <c r="A497" t="inlineStr">
        <is>
          <t>A 2618-2023</t>
        </is>
      </c>
      <c r="B497" s="1" t="n">
        <v>44944.35847222222</v>
      </c>
      <c r="C497" s="1" t="n">
        <v>45886</v>
      </c>
      <c r="D497" t="inlineStr">
        <is>
          <t>ÖSTERGÖTLANDS LÄN</t>
        </is>
      </c>
      <c r="E497" t="inlineStr">
        <is>
          <t>LINKÖPING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10203-2023</t>
        </is>
      </c>
      <c r="B498" s="1" t="n">
        <v>44986.55711805556</v>
      </c>
      <c r="C498" s="1" t="n">
        <v>45886</v>
      </c>
      <c r="D498" t="inlineStr">
        <is>
          <t>ÖSTERGÖTLANDS LÄN</t>
        </is>
      </c>
      <c r="E498" t="inlineStr">
        <is>
          <t>LINKÖPING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67129-2020</t>
        </is>
      </c>
      <c r="B499" s="1" t="n">
        <v>44180</v>
      </c>
      <c r="C499" s="1" t="n">
        <v>45886</v>
      </c>
      <c r="D499" t="inlineStr">
        <is>
          <t>ÖSTERGÖTLANDS LÄN</t>
        </is>
      </c>
      <c r="E499" t="inlineStr">
        <is>
          <t>LINKÖPING</t>
        </is>
      </c>
      <c r="F499" t="inlineStr">
        <is>
          <t>Övriga statliga verk och myndigheter</t>
        </is>
      </c>
      <c r="G499" t="n">
        <v>2.7</v>
      </c>
      <c r="H499" t="n">
        <v>0</v>
      </c>
      <c r="I499" t="n">
        <v>0</v>
      </c>
      <c r="J499" t="n">
        <v>0</v>
      </c>
      <c r="K499" t="n">
        <v>0</v>
      </c>
      <c r="L499" t="n">
        <v>0</v>
      </c>
      <c r="M499" t="n">
        <v>0</v>
      </c>
      <c r="N499" t="n">
        <v>0</v>
      </c>
      <c r="O499" t="n">
        <v>0</v>
      </c>
      <c r="P499" t="n">
        <v>0</v>
      </c>
      <c r="Q499" t="n">
        <v>0</v>
      </c>
      <c r="R499" s="2" t="inlineStr"/>
    </row>
    <row r="500" ht="15" customHeight="1">
      <c r="A500" t="inlineStr">
        <is>
          <t>A 34889-2023</t>
        </is>
      </c>
      <c r="B500" s="1" t="n">
        <v>45140</v>
      </c>
      <c r="C500" s="1" t="n">
        <v>45886</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34928-2023</t>
        </is>
      </c>
      <c r="B501" s="1" t="n">
        <v>45142</v>
      </c>
      <c r="C501" s="1" t="n">
        <v>45886</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1268-2023</t>
        </is>
      </c>
      <c r="B502" s="1" t="n">
        <v>44936</v>
      </c>
      <c r="C502" s="1" t="n">
        <v>45886</v>
      </c>
      <c r="D502" t="inlineStr">
        <is>
          <t>ÖSTERGÖTLANDS LÄN</t>
        </is>
      </c>
      <c r="E502" t="inlineStr">
        <is>
          <t>LINKÖPING</t>
        </is>
      </c>
      <c r="G502" t="n">
        <v>4.6</v>
      </c>
      <c r="H502" t="n">
        <v>0</v>
      </c>
      <c r="I502" t="n">
        <v>0</v>
      </c>
      <c r="J502" t="n">
        <v>0</v>
      </c>
      <c r="K502" t="n">
        <v>0</v>
      </c>
      <c r="L502" t="n">
        <v>0</v>
      </c>
      <c r="M502" t="n">
        <v>0</v>
      </c>
      <c r="N502" t="n">
        <v>0</v>
      </c>
      <c r="O502" t="n">
        <v>0</v>
      </c>
      <c r="P502" t="n">
        <v>0</v>
      </c>
      <c r="Q502" t="n">
        <v>0</v>
      </c>
      <c r="R502" s="2" t="inlineStr"/>
    </row>
    <row r="503" ht="15" customHeight="1">
      <c r="A503" t="inlineStr">
        <is>
          <t>A 61307-2021</t>
        </is>
      </c>
      <c r="B503" s="1" t="n">
        <v>44498.63928240741</v>
      </c>
      <c r="C503" s="1" t="n">
        <v>45886</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61325-2021</t>
        </is>
      </c>
      <c r="B504" s="1" t="n">
        <v>44498.66814814815</v>
      </c>
      <c r="C504" s="1" t="n">
        <v>45886</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60010-2022</t>
        </is>
      </c>
      <c r="B505" s="1" t="n">
        <v>44909.4740625</v>
      </c>
      <c r="C505" s="1" t="n">
        <v>45886</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5314-2021</t>
        </is>
      </c>
      <c r="B506" s="1" t="n">
        <v>44229</v>
      </c>
      <c r="C506" s="1" t="n">
        <v>45886</v>
      </c>
      <c r="D506" t="inlineStr">
        <is>
          <t>ÖSTERGÖTLANDS LÄN</t>
        </is>
      </c>
      <c r="E506" t="inlineStr">
        <is>
          <t>LINKÖPING</t>
        </is>
      </c>
      <c r="G506" t="n">
        <v>6.2</v>
      </c>
      <c r="H506" t="n">
        <v>0</v>
      </c>
      <c r="I506" t="n">
        <v>0</v>
      </c>
      <c r="J506" t="n">
        <v>0</v>
      </c>
      <c r="K506" t="n">
        <v>0</v>
      </c>
      <c r="L506" t="n">
        <v>0</v>
      </c>
      <c r="M506" t="n">
        <v>0</v>
      </c>
      <c r="N506" t="n">
        <v>0</v>
      </c>
      <c r="O506" t="n">
        <v>0</v>
      </c>
      <c r="P506" t="n">
        <v>0</v>
      </c>
      <c r="Q506" t="n">
        <v>0</v>
      </c>
      <c r="R506" s="2" t="inlineStr"/>
    </row>
    <row r="507" ht="15" customHeight="1">
      <c r="A507" t="inlineStr">
        <is>
          <t>A 55305-2020</t>
        </is>
      </c>
      <c r="B507" s="1" t="n">
        <v>44130</v>
      </c>
      <c r="C507" s="1" t="n">
        <v>45886</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30518-2024</t>
        </is>
      </c>
      <c r="B508" s="1" t="n">
        <v>45492</v>
      </c>
      <c r="C508" s="1" t="n">
        <v>45886</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4908-2023</t>
        </is>
      </c>
      <c r="B509" s="1" t="n">
        <v>44958</v>
      </c>
      <c r="C509" s="1" t="n">
        <v>45886</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37715-2022</t>
        </is>
      </c>
      <c r="B510" s="1" t="n">
        <v>44810</v>
      </c>
      <c r="C510" s="1" t="n">
        <v>45886</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49747-2024</t>
        </is>
      </c>
      <c r="B511" s="1" t="n">
        <v>45596</v>
      </c>
      <c r="C511" s="1" t="n">
        <v>45886</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31725-2022</t>
        </is>
      </c>
      <c r="B512" s="1" t="n">
        <v>44776.48541666667</v>
      </c>
      <c r="C512" s="1" t="n">
        <v>45886</v>
      </c>
      <c r="D512" t="inlineStr">
        <is>
          <t>ÖSTERGÖTLANDS LÄN</t>
        </is>
      </c>
      <c r="E512" t="inlineStr">
        <is>
          <t>LINKÖPING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3742-2021</t>
        </is>
      </c>
      <c r="B513" s="1" t="n">
        <v>44221</v>
      </c>
      <c r="C513" s="1" t="n">
        <v>45886</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3011-2023</t>
        </is>
      </c>
      <c r="B514" s="1" t="n">
        <v>44945</v>
      </c>
      <c r="C514" s="1" t="n">
        <v>45886</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2389-2023</t>
        </is>
      </c>
      <c r="B515" s="1" t="n">
        <v>44942</v>
      </c>
      <c r="C515" s="1" t="n">
        <v>45886</v>
      </c>
      <c r="D515" t="inlineStr">
        <is>
          <t>ÖSTERGÖTLANDS LÄN</t>
        </is>
      </c>
      <c r="E515" t="inlineStr">
        <is>
          <t>LINKÖPING</t>
        </is>
      </c>
      <c r="G515" t="n">
        <v>3.3</v>
      </c>
      <c r="H515" t="n">
        <v>0</v>
      </c>
      <c r="I515" t="n">
        <v>0</v>
      </c>
      <c r="J515" t="n">
        <v>0</v>
      </c>
      <c r="K515" t="n">
        <v>0</v>
      </c>
      <c r="L515" t="n">
        <v>0</v>
      </c>
      <c r="M515" t="n">
        <v>0</v>
      </c>
      <c r="N515" t="n">
        <v>0</v>
      </c>
      <c r="O515" t="n">
        <v>0</v>
      </c>
      <c r="P515" t="n">
        <v>0</v>
      </c>
      <c r="Q515" t="n">
        <v>0</v>
      </c>
      <c r="R515" s="2" t="inlineStr"/>
    </row>
    <row r="516" ht="15" customHeight="1">
      <c r="A516" t="inlineStr">
        <is>
          <t>A 45442-2024</t>
        </is>
      </c>
      <c r="B516" s="1" t="n">
        <v>45576.64189814815</v>
      </c>
      <c r="C516" s="1" t="n">
        <v>45886</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3627-2023</t>
        </is>
      </c>
      <c r="B517" s="1" t="n">
        <v>44950.64782407408</v>
      </c>
      <c r="C517" s="1" t="n">
        <v>45886</v>
      </c>
      <c r="D517" t="inlineStr">
        <is>
          <t>ÖSTERGÖTLANDS LÄN</t>
        </is>
      </c>
      <c r="E517" t="inlineStr">
        <is>
          <t>LINKÖPING</t>
        </is>
      </c>
      <c r="G517" t="n">
        <v>3.1</v>
      </c>
      <c r="H517" t="n">
        <v>0</v>
      </c>
      <c r="I517" t="n">
        <v>0</v>
      </c>
      <c r="J517" t="n">
        <v>0</v>
      </c>
      <c r="K517" t="n">
        <v>0</v>
      </c>
      <c r="L517" t="n">
        <v>0</v>
      </c>
      <c r="M517" t="n">
        <v>0</v>
      </c>
      <c r="N517" t="n">
        <v>0</v>
      </c>
      <c r="O517" t="n">
        <v>0</v>
      </c>
      <c r="P517" t="n">
        <v>0</v>
      </c>
      <c r="Q517" t="n">
        <v>0</v>
      </c>
      <c r="R517" s="2" t="inlineStr"/>
    </row>
    <row r="518" ht="15" customHeight="1">
      <c r="A518" t="inlineStr">
        <is>
          <t>A 62687-2023</t>
        </is>
      </c>
      <c r="B518" s="1" t="n">
        <v>45271</v>
      </c>
      <c r="C518" s="1" t="n">
        <v>45886</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3432-2023</t>
        </is>
      </c>
      <c r="B519" s="1" t="n">
        <v>44949</v>
      </c>
      <c r="C519" s="1" t="n">
        <v>45886</v>
      </c>
      <c r="D519" t="inlineStr">
        <is>
          <t>ÖSTERGÖTLANDS LÄN</t>
        </is>
      </c>
      <c r="E519" t="inlineStr">
        <is>
          <t>LINKÖPING</t>
        </is>
      </c>
      <c r="G519" t="n">
        <v>1.9</v>
      </c>
      <c r="H519" t="n">
        <v>0</v>
      </c>
      <c r="I519" t="n">
        <v>0</v>
      </c>
      <c r="J519" t="n">
        <v>0</v>
      </c>
      <c r="K519" t="n">
        <v>0</v>
      </c>
      <c r="L519" t="n">
        <v>0</v>
      </c>
      <c r="M519" t="n">
        <v>0</v>
      </c>
      <c r="N519" t="n">
        <v>0</v>
      </c>
      <c r="O519" t="n">
        <v>0</v>
      </c>
      <c r="P519" t="n">
        <v>0</v>
      </c>
      <c r="Q519" t="n">
        <v>0</v>
      </c>
      <c r="R519" s="2" t="inlineStr"/>
    </row>
    <row r="520" ht="15" customHeight="1">
      <c r="A520" t="inlineStr">
        <is>
          <t>A 1440-2021</t>
        </is>
      </c>
      <c r="B520" s="1" t="n">
        <v>44208</v>
      </c>
      <c r="C520" s="1" t="n">
        <v>45886</v>
      </c>
      <c r="D520" t="inlineStr">
        <is>
          <t>ÖSTERGÖTLANDS LÄN</t>
        </is>
      </c>
      <c r="E520" t="inlineStr">
        <is>
          <t>LINKÖPING</t>
        </is>
      </c>
      <c r="G520" t="n">
        <v>8.4</v>
      </c>
      <c r="H520" t="n">
        <v>0</v>
      </c>
      <c r="I520" t="n">
        <v>0</v>
      </c>
      <c r="J520" t="n">
        <v>0</v>
      </c>
      <c r="K520" t="n">
        <v>0</v>
      </c>
      <c r="L520" t="n">
        <v>0</v>
      </c>
      <c r="M520" t="n">
        <v>0</v>
      </c>
      <c r="N520" t="n">
        <v>0</v>
      </c>
      <c r="O520" t="n">
        <v>0</v>
      </c>
      <c r="P520" t="n">
        <v>0</v>
      </c>
      <c r="Q520" t="n">
        <v>0</v>
      </c>
      <c r="R520" s="2" t="inlineStr"/>
    </row>
    <row r="521" ht="15" customHeight="1">
      <c r="A521" t="inlineStr">
        <is>
          <t>A 60472-2022</t>
        </is>
      </c>
      <c r="B521" s="1" t="n">
        <v>44911.41037037037</v>
      </c>
      <c r="C521" s="1" t="n">
        <v>45886</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12720-2022</t>
        </is>
      </c>
      <c r="B522" s="1" t="n">
        <v>44641</v>
      </c>
      <c r="C522" s="1" t="n">
        <v>45886</v>
      </c>
      <c r="D522" t="inlineStr">
        <is>
          <t>ÖSTERGÖTLANDS LÄN</t>
        </is>
      </c>
      <c r="E522" t="inlineStr">
        <is>
          <t>LINKÖPING</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18891-2022</t>
        </is>
      </c>
      <c r="B523" s="1" t="n">
        <v>44690</v>
      </c>
      <c r="C523" s="1" t="n">
        <v>45886</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44739-2020</t>
        </is>
      </c>
      <c r="B524" s="1" t="n">
        <v>44085</v>
      </c>
      <c r="C524" s="1" t="n">
        <v>45886</v>
      </c>
      <c r="D524" t="inlineStr">
        <is>
          <t>ÖSTERGÖTLANDS LÄN</t>
        </is>
      </c>
      <c r="E524" t="inlineStr">
        <is>
          <t>LINKÖPING</t>
        </is>
      </c>
      <c r="G524" t="n">
        <v>5</v>
      </c>
      <c r="H524" t="n">
        <v>0</v>
      </c>
      <c r="I524" t="n">
        <v>0</v>
      </c>
      <c r="J524" t="n">
        <v>0</v>
      </c>
      <c r="K524" t="n">
        <v>0</v>
      </c>
      <c r="L524" t="n">
        <v>0</v>
      </c>
      <c r="M524" t="n">
        <v>0</v>
      </c>
      <c r="N524" t="n">
        <v>0</v>
      </c>
      <c r="O524" t="n">
        <v>0</v>
      </c>
      <c r="P524" t="n">
        <v>0</v>
      </c>
      <c r="Q524" t="n">
        <v>0</v>
      </c>
      <c r="R524" s="2" t="inlineStr"/>
    </row>
    <row r="525" ht="15" customHeight="1">
      <c r="A525" t="inlineStr">
        <is>
          <t>A 26620-2023</t>
        </is>
      </c>
      <c r="B525" s="1" t="n">
        <v>45092.70390046296</v>
      </c>
      <c r="C525" s="1" t="n">
        <v>45886</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47364-2020</t>
        </is>
      </c>
      <c r="B526" s="1" t="n">
        <v>44097</v>
      </c>
      <c r="C526" s="1" t="n">
        <v>45886</v>
      </c>
      <c r="D526" t="inlineStr">
        <is>
          <t>ÖSTERGÖTLANDS LÄN</t>
        </is>
      </c>
      <c r="E526" t="inlineStr">
        <is>
          <t>LINKÖPING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45886</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45831-2024</t>
        </is>
      </c>
      <c r="B528" s="1" t="n">
        <v>45579.90508101852</v>
      </c>
      <c r="C528" s="1" t="n">
        <v>45886</v>
      </c>
      <c r="D528" t="inlineStr">
        <is>
          <t>ÖSTERGÖTLANDS LÄN</t>
        </is>
      </c>
      <c r="E528" t="inlineStr">
        <is>
          <t>LINKÖPING</t>
        </is>
      </c>
      <c r="G528" t="n">
        <v>1.9</v>
      </c>
      <c r="H528" t="n">
        <v>0</v>
      </c>
      <c r="I528" t="n">
        <v>0</v>
      </c>
      <c r="J528" t="n">
        <v>0</v>
      </c>
      <c r="K528" t="n">
        <v>0</v>
      </c>
      <c r="L528" t="n">
        <v>0</v>
      </c>
      <c r="M528" t="n">
        <v>0</v>
      </c>
      <c r="N528" t="n">
        <v>0</v>
      </c>
      <c r="O528" t="n">
        <v>0</v>
      </c>
      <c r="P528" t="n">
        <v>0</v>
      </c>
      <c r="Q528" t="n">
        <v>0</v>
      </c>
      <c r="R528" s="2" t="inlineStr"/>
    </row>
    <row r="529" ht="15" customHeight="1">
      <c r="A529" t="inlineStr">
        <is>
          <t>A 938-2023</t>
        </is>
      </c>
      <c r="B529" s="1" t="n">
        <v>44933</v>
      </c>
      <c r="C529" s="1" t="n">
        <v>45886</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25418-2023</t>
        </is>
      </c>
      <c r="B530" s="1" t="n">
        <v>45089</v>
      </c>
      <c r="C530" s="1" t="n">
        <v>45886</v>
      </c>
      <c r="D530" t="inlineStr">
        <is>
          <t>ÖSTERGÖTLANDS LÄN</t>
        </is>
      </c>
      <c r="E530" t="inlineStr">
        <is>
          <t>LINKÖPING</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60007-2022</t>
        </is>
      </c>
      <c r="B531" s="1" t="n">
        <v>44909.47282407407</v>
      </c>
      <c r="C531" s="1" t="n">
        <v>45886</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57396-2021</t>
        </is>
      </c>
      <c r="B532" s="1" t="n">
        <v>44483.56151620371</v>
      </c>
      <c r="C532" s="1" t="n">
        <v>45886</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22842-2023</t>
        </is>
      </c>
      <c r="B533" s="1" t="n">
        <v>45071</v>
      </c>
      <c r="C533" s="1" t="n">
        <v>45886</v>
      </c>
      <c r="D533" t="inlineStr">
        <is>
          <t>ÖSTERGÖTLANDS LÄN</t>
        </is>
      </c>
      <c r="E533" t="inlineStr">
        <is>
          <t>LINKÖPING</t>
        </is>
      </c>
      <c r="F533" t="inlineStr">
        <is>
          <t>Kommuner</t>
        </is>
      </c>
      <c r="G533" t="n">
        <v>1.3</v>
      </c>
      <c r="H533" t="n">
        <v>0</v>
      </c>
      <c r="I533" t="n">
        <v>0</v>
      </c>
      <c r="J533" t="n">
        <v>0</v>
      </c>
      <c r="K533" t="n">
        <v>0</v>
      </c>
      <c r="L533" t="n">
        <v>0</v>
      </c>
      <c r="M533" t="n">
        <v>0</v>
      </c>
      <c r="N533" t="n">
        <v>0</v>
      </c>
      <c r="O533" t="n">
        <v>0</v>
      </c>
      <c r="P533" t="n">
        <v>0</v>
      </c>
      <c r="Q533" t="n">
        <v>0</v>
      </c>
      <c r="R533" s="2" t="inlineStr"/>
    </row>
    <row r="534" ht="15" customHeight="1">
      <c r="A534" t="inlineStr">
        <is>
          <t>A 50386-2021</t>
        </is>
      </c>
      <c r="B534" s="1" t="n">
        <v>44459</v>
      </c>
      <c r="C534" s="1" t="n">
        <v>45886</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35781-2023</t>
        </is>
      </c>
      <c r="B535" s="1" t="n">
        <v>45147</v>
      </c>
      <c r="C535" s="1" t="n">
        <v>45886</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22770-2024</t>
        </is>
      </c>
      <c r="B536" s="1" t="n">
        <v>45448.4634375</v>
      </c>
      <c r="C536" s="1" t="n">
        <v>45886</v>
      </c>
      <c r="D536" t="inlineStr">
        <is>
          <t>ÖSTERGÖTLANDS LÄN</t>
        </is>
      </c>
      <c r="E536" t="inlineStr">
        <is>
          <t>LINKÖPING</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11671-2023</t>
        </is>
      </c>
      <c r="B537" s="1" t="n">
        <v>44994.48125</v>
      </c>
      <c r="C537" s="1" t="n">
        <v>45886</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11601-2023</t>
        </is>
      </c>
      <c r="B538" s="1" t="n">
        <v>44994</v>
      </c>
      <c r="C538" s="1" t="n">
        <v>45886</v>
      </c>
      <c r="D538" t="inlineStr">
        <is>
          <t>ÖSTERGÖTLANDS LÄN</t>
        </is>
      </c>
      <c r="E538" t="inlineStr">
        <is>
          <t>LINKÖPING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44882.57453703704</v>
      </c>
      <c r="C539" s="1" t="n">
        <v>45886</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4927-2021</t>
        </is>
      </c>
      <c r="B540" s="1" t="n">
        <v>44227.57215277778</v>
      </c>
      <c r="C540" s="1" t="n">
        <v>45886</v>
      </c>
      <c r="D540" t="inlineStr">
        <is>
          <t>ÖSTERGÖTLANDS LÄN</t>
        </is>
      </c>
      <c r="E540" t="inlineStr">
        <is>
          <t>LINKÖPING</t>
        </is>
      </c>
      <c r="G540" t="n">
        <v>0.3</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45111.75905092592</v>
      </c>
      <c r="C541" s="1" t="n">
        <v>45886</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61227-2024</t>
        </is>
      </c>
      <c r="B542" s="1" t="n">
        <v>45645.66853009259</v>
      </c>
      <c r="C542" s="1" t="n">
        <v>45886</v>
      </c>
      <c r="D542" t="inlineStr">
        <is>
          <t>ÖSTERGÖTLANDS LÄN</t>
        </is>
      </c>
      <c r="E542" t="inlineStr">
        <is>
          <t>LINKÖPING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24904-2024</t>
        </is>
      </c>
      <c r="B543" s="1" t="n">
        <v>45461</v>
      </c>
      <c r="C543" s="1" t="n">
        <v>45886</v>
      </c>
      <c r="D543" t="inlineStr">
        <is>
          <t>ÖSTERGÖTLANDS LÄN</t>
        </is>
      </c>
      <c r="E543" t="inlineStr">
        <is>
          <t>LINKÖPING</t>
        </is>
      </c>
      <c r="G543" t="n">
        <v>3.8</v>
      </c>
      <c r="H543" t="n">
        <v>0</v>
      </c>
      <c r="I543" t="n">
        <v>0</v>
      </c>
      <c r="J543" t="n">
        <v>0</v>
      </c>
      <c r="K543" t="n">
        <v>0</v>
      </c>
      <c r="L543" t="n">
        <v>0</v>
      </c>
      <c r="M543" t="n">
        <v>0</v>
      </c>
      <c r="N543" t="n">
        <v>0</v>
      </c>
      <c r="O543" t="n">
        <v>0</v>
      </c>
      <c r="P543" t="n">
        <v>0</v>
      </c>
      <c r="Q543" t="n">
        <v>0</v>
      </c>
      <c r="R543" s="2" t="inlineStr"/>
    </row>
    <row r="544" ht="15" customHeight="1">
      <c r="A544" t="inlineStr">
        <is>
          <t>A 1260-2023</t>
        </is>
      </c>
      <c r="B544" s="1" t="n">
        <v>44936</v>
      </c>
      <c r="C544" s="1" t="n">
        <v>45886</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7702-2023</t>
        </is>
      </c>
      <c r="B545" s="1" t="n">
        <v>44967</v>
      </c>
      <c r="C545" s="1" t="n">
        <v>45886</v>
      </c>
      <c r="D545" t="inlineStr">
        <is>
          <t>ÖSTERGÖTLANDS LÄN</t>
        </is>
      </c>
      <c r="E545" t="inlineStr">
        <is>
          <t>LINKÖPING</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26788-2022</t>
        </is>
      </c>
      <c r="B546" s="1" t="n">
        <v>44740</v>
      </c>
      <c r="C546" s="1" t="n">
        <v>45886</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45886</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45886</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45886</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15121-2022</t>
        </is>
      </c>
      <c r="B550" s="1" t="n">
        <v>44658</v>
      </c>
      <c r="C550" s="1" t="n">
        <v>45886</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36725-2023</t>
        </is>
      </c>
      <c r="B551" s="1" t="n">
        <v>45153.68471064815</v>
      </c>
      <c r="C551" s="1" t="n">
        <v>45886</v>
      </c>
      <c r="D551" t="inlineStr">
        <is>
          <t>ÖSTERGÖTLANDS LÄN</t>
        </is>
      </c>
      <c r="E551" t="inlineStr">
        <is>
          <t>LINKÖPING</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ht="15" customHeight="1">
      <c r="A552" t="inlineStr">
        <is>
          <t>A 51919-2024</t>
        </is>
      </c>
      <c r="B552" s="1" t="n">
        <v>45607.60791666667</v>
      </c>
      <c r="C552" s="1" t="n">
        <v>45886</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45886</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55009-2023</t>
        </is>
      </c>
      <c r="B554" s="1" t="n">
        <v>45237</v>
      </c>
      <c r="C554" s="1" t="n">
        <v>45886</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20291-2025</t>
        </is>
      </c>
      <c r="B555" s="1" t="n">
        <v>45774.74288194445</v>
      </c>
      <c r="C555" s="1" t="n">
        <v>45886</v>
      </c>
      <c r="D555" t="inlineStr">
        <is>
          <t>ÖSTERGÖTLANDS LÄN</t>
        </is>
      </c>
      <c r="E555" t="inlineStr">
        <is>
          <t>LINKÖPING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20293-2025</t>
        </is>
      </c>
      <c r="B556" s="1" t="n">
        <v>45774.74611111111</v>
      </c>
      <c r="C556" s="1" t="n">
        <v>45886</v>
      </c>
      <c r="D556" t="inlineStr">
        <is>
          <t>ÖSTERGÖTLANDS LÄN</t>
        </is>
      </c>
      <c r="E556" t="inlineStr">
        <is>
          <t>LINKÖPING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660-2023</t>
        </is>
      </c>
      <c r="B557" s="1" t="n">
        <v>44930</v>
      </c>
      <c r="C557" s="1" t="n">
        <v>45886</v>
      </c>
      <c r="D557" t="inlineStr">
        <is>
          <t>ÖSTERGÖTLANDS LÄN</t>
        </is>
      </c>
      <c r="E557" t="inlineStr">
        <is>
          <t>LINKÖPING</t>
        </is>
      </c>
      <c r="F557" t="inlineStr">
        <is>
          <t>Kyrkan</t>
        </is>
      </c>
      <c r="G557" t="n">
        <v>1.6</v>
      </c>
      <c r="H557" t="n">
        <v>0</v>
      </c>
      <c r="I557" t="n">
        <v>0</v>
      </c>
      <c r="J557" t="n">
        <v>0</v>
      </c>
      <c r="K557" t="n">
        <v>0</v>
      </c>
      <c r="L557" t="n">
        <v>0</v>
      </c>
      <c r="M557" t="n">
        <v>0</v>
      </c>
      <c r="N557" t="n">
        <v>0</v>
      </c>
      <c r="O557" t="n">
        <v>0</v>
      </c>
      <c r="P557" t="n">
        <v>0</v>
      </c>
      <c r="Q557" t="n">
        <v>0</v>
      </c>
      <c r="R557" s="2" t="inlineStr"/>
    </row>
    <row r="558" ht="15" customHeight="1">
      <c r="A558" t="inlineStr">
        <is>
          <t>A 64694-2023</t>
        </is>
      </c>
      <c r="B558" s="1" t="n">
        <v>45281</v>
      </c>
      <c r="C558" s="1" t="n">
        <v>45886</v>
      </c>
      <c r="D558" t="inlineStr">
        <is>
          <t>ÖSTERGÖTLANDS LÄN</t>
        </is>
      </c>
      <c r="E558" t="inlineStr">
        <is>
          <t>LINKÖPING</t>
        </is>
      </c>
      <c r="F558" t="inlineStr">
        <is>
          <t>Övriga statliga verk och myndigheter</t>
        </is>
      </c>
      <c r="G558" t="n">
        <v>4.9</v>
      </c>
      <c r="H558" t="n">
        <v>0</v>
      </c>
      <c r="I558" t="n">
        <v>0</v>
      </c>
      <c r="J558" t="n">
        <v>0</v>
      </c>
      <c r="K558" t="n">
        <v>0</v>
      </c>
      <c r="L558" t="n">
        <v>0</v>
      </c>
      <c r="M558" t="n">
        <v>0</v>
      </c>
      <c r="N558" t="n">
        <v>0</v>
      </c>
      <c r="O558" t="n">
        <v>0</v>
      </c>
      <c r="P558" t="n">
        <v>0</v>
      </c>
      <c r="Q558" t="n">
        <v>0</v>
      </c>
      <c r="R558" s="2" t="inlineStr"/>
    </row>
    <row r="559" ht="15" customHeight="1">
      <c r="A559" t="inlineStr">
        <is>
          <t>A 22774-2024</t>
        </is>
      </c>
      <c r="B559" s="1" t="n">
        <v>45448.46924768519</v>
      </c>
      <c r="C559" s="1" t="n">
        <v>45886</v>
      </c>
      <c r="D559" t="inlineStr">
        <is>
          <t>ÖSTERGÖTLANDS LÄN</t>
        </is>
      </c>
      <c r="E559" t="inlineStr">
        <is>
          <t>LINKÖPING</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22778-2024</t>
        </is>
      </c>
      <c r="B560" s="1" t="n">
        <v>45448.47233796296</v>
      </c>
      <c r="C560" s="1" t="n">
        <v>45886</v>
      </c>
      <c r="D560" t="inlineStr">
        <is>
          <t>ÖSTERGÖTLANDS LÄN</t>
        </is>
      </c>
      <c r="E560" t="inlineStr">
        <is>
          <t>LINKÖPING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34864-2023</t>
        </is>
      </c>
      <c r="B561" s="1" t="n">
        <v>45141</v>
      </c>
      <c r="C561" s="1" t="n">
        <v>45886</v>
      </c>
      <c r="D561" t="inlineStr">
        <is>
          <t>ÖSTERGÖTLANDS LÄN</t>
        </is>
      </c>
      <c r="E561" t="inlineStr">
        <is>
          <t>LINKÖPING</t>
        </is>
      </c>
      <c r="G561" t="n">
        <v>3.3</v>
      </c>
      <c r="H561" t="n">
        <v>0</v>
      </c>
      <c r="I561" t="n">
        <v>0</v>
      </c>
      <c r="J561" t="n">
        <v>0</v>
      </c>
      <c r="K561" t="n">
        <v>0</v>
      </c>
      <c r="L561" t="n">
        <v>0</v>
      </c>
      <c r="M561" t="n">
        <v>0</v>
      </c>
      <c r="N561" t="n">
        <v>0</v>
      </c>
      <c r="O561" t="n">
        <v>0</v>
      </c>
      <c r="P561" t="n">
        <v>0</v>
      </c>
      <c r="Q561" t="n">
        <v>0</v>
      </c>
      <c r="R561" s="2" t="inlineStr"/>
    </row>
    <row r="562" ht="15" customHeight="1">
      <c r="A562" t="inlineStr">
        <is>
          <t>A 52531-2023</t>
        </is>
      </c>
      <c r="B562" s="1" t="n">
        <v>45225</v>
      </c>
      <c r="C562" s="1" t="n">
        <v>45886</v>
      </c>
      <c r="D562" t="inlineStr">
        <is>
          <t>ÖSTERGÖTLANDS LÄN</t>
        </is>
      </c>
      <c r="E562" t="inlineStr">
        <is>
          <t>LINKÖPING</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34930-2023</t>
        </is>
      </c>
      <c r="B563" s="1" t="n">
        <v>45142</v>
      </c>
      <c r="C563" s="1" t="n">
        <v>45886</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30985-2022</t>
        </is>
      </c>
      <c r="B564" s="1" t="n">
        <v>44768</v>
      </c>
      <c r="C564" s="1" t="n">
        <v>45886</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63487-2023</t>
        </is>
      </c>
      <c r="B565" s="1" t="n">
        <v>45274.66712962963</v>
      </c>
      <c r="C565" s="1" t="n">
        <v>45886</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20455-2024</t>
        </is>
      </c>
      <c r="B566" s="1" t="n">
        <v>45435.65314814815</v>
      </c>
      <c r="C566" s="1" t="n">
        <v>45886</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30471-2023</t>
        </is>
      </c>
      <c r="B567" s="1" t="n">
        <v>45111.58931712963</v>
      </c>
      <c r="C567" s="1" t="n">
        <v>45886</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14093-2024</t>
        </is>
      </c>
      <c r="B568" s="1" t="n">
        <v>45392.60278935185</v>
      </c>
      <c r="C568" s="1" t="n">
        <v>45886</v>
      </c>
      <c r="D568" t="inlineStr">
        <is>
          <t>ÖSTERGÖTLANDS LÄN</t>
        </is>
      </c>
      <c r="E568" t="inlineStr">
        <is>
          <t>LINKÖPING</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25292-2021</t>
        </is>
      </c>
      <c r="B569" s="1" t="n">
        <v>44342</v>
      </c>
      <c r="C569" s="1" t="n">
        <v>45886</v>
      </c>
      <c r="D569" t="inlineStr">
        <is>
          <t>ÖSTERGÖTLANDS LÄN</t>
        </is>
      </c>
      <c r="E569" t="inlineStr">
        <is>
          <t>LINKÖPING</t>
        </is>
      </c>
      <c r="F569" t="inlineStr">
        <is>
          <t>Övriga Aktiebolag</t>
        </is>
      </c>
      <c r="G569" t="n">
        <v>12.8</v>
      </c>
      <c r="H569" t="n">
        <v>0</v>
      </c>
      <c r="I569" t="n">
        <v>0</v>
      </c>
      <c r="J569" t="n">
        <v>0</v>
      </c>
      <c r="K569" t="n">
        <v>0</v>
      </c>
      <c r="L569" t="n">
        <v>0</v>
      </c>
      <c r="M569" t="n">
        <v>0</v>
      </c>
      <c r="N569" t="n">
        <v>0</v>
      </c>
      <c r="O569" t="n">
        <v>0</v>
      </c>
      <c r="P569" t="n">
        <v>0</v>
      </c>
      <c r="Q569" t="n">
        <v>0</v>
      </c>
      <c r="R569" s="2" t="inlineStr"/>
    </row>
    <row r="570" ht="15" customHeight="1">
      <c r="A570" t="inlineStr">
        <is>
          <t>A 49748-2024</t>
        </is>
      </c>
      <c r="B570" s="1" t="n">
        <v>45596</v>
      </c>
      <c r="C570" s="1" t="n">
        <v>45886</v>
      </c>
      <c r="D570" t="inlineStr">
        <is>
          <t>ÖSTERGÖTLANDS LÄN</t>
        </is>
      </c>
      <c r="E570" t="inlineStr">
        <is>
          <t>LINKÖPING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59642-2024</t>
        </is>
      </c>
      <c r="B571" s="1" t="n">
        <v>45639.31511574074</v>
      </c>
      <c r="C571" s="1" t="n">
        <v>45886</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49088-2020</t>
        </is>
      </c>
      <c r="B572" s="1" t="n">
        <v>44104</v>
      </c>
      <c r="C572" s="1" t="n">
        <v>45886</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63304-2021</t>
        </is>
      </c>
      <c r="B573" s="1" t="n">
        <v>44508.4396412037</v>
      </c>
      <c r="C573" s="1" t="n">
        <v>45886</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45886</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31792-2021</t>
        </is>
      </c>
      <c r="B575" s="1" t="n">
        <v>44369</v>
      </c>
      <c r="C575" s="1" t="n">
        <v>45886</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25097-2023</t>
        </is>
      </c>
      <c r="B576" s="1" t="n">
        <v>45086</v>
      </c>
      <c r="C576" s="1" t="n">
        <v>45886</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35735-2023</t>
        </is>
      </c>
      <c r="B577" s="1" t="n">
        <v>45147</v>
      </c>
      <c r="C577" s="1" t="n">
        <v>45886</v>
      </c>
      <c r="D577" t="inlineStr">
        <is>
          <t>ÖSTERGÖTLANDS LÄN</t>
        </is>
      </c>
      <c r="E577" t="inlineStr">
        <is>
          <t>LINKÖPING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16462-2021</t>
        </is>
      </c>
      <c r="B578" s="1" t="n">
        <v>44293</v>
      </c>
      <c r="C578" s="1" t="n">
        <v>45886</v>
      </c>
      <c r="D578" t="inlineStr">
        <is>
          <t>ÖSTERGÖTLANDS LÄN</t>
        </is>
      </c>
      <c r="E578" t="inlineStr">
        <is>
          <t>LINKÖPING</t>
        </is>
      </c>
      <c r="F578" t="inlineStr">
        <is>
          <t>Allmännings- och besparingsskogar</t>
        </is>
      </c>
      <c r="G578" t="n">
        <v>24.7</v>
      </c>
      <c r="H578" t="n">
        <v>0</v>
      </c>
      <c r="I578" t="n">
        <v>0</v>
      </c>
      <c r="J578" t="n">
        <v>0</v>
      </c>
      <c r="K578" t="n">
        <v>0</v>
      </c>
      <c r="L578" t="n">
        <v>0</v>
      </c>
      <c r="M578" t="n">
        <v>0</v>
      </c>
      <c r="N578" t="n">
        <v>0</v>
      </c>
      <c r="O578" t="n">
        <v>0</v>
      </c>
      <c r="P578" t="n">
        <v>0</v>
      </c>
      <c r="Q578" t="n">
        <v>0</v>
      </c>
      <c r="R578" s="2" t="inlineStr"/>
    </row>
    <row r="579" ht="15" customHeight="1">
      <c r="A579" t="inlineStr">
        <is>
          <t>A 19362-2023</t>
        </is>
      </c>
      <c r="B579" s="1" t="n">
        <v>45049</v>
      </c>
      <c r="C579" s="1" t="n">
        <v>45886</v>
      </c>
      <c r="D579" t="inlineStr">
        <is>
          <t>ÖSTERGÖTLANDS LÄN</t>
        </is>
      </c>
      <c r="E579" t="inlineStr">
        <is>
          <t>LINKÖPING</t>
        </is>
      </c>
      <c r="G579" t="n">
        <v>0.1</v>
      </c>
      <c r="H579" t="n">
        <v>0</v>
      </c>
      <c r="I579" t="n">
        <v>0</v>
      </c>
      <c r="J579" t="n">
        <v>0</v>
      </c>
      <c r="K579" t="n">
        <v>0</v>
      </c>
      <c r="L579" t="n">
        <v>0</v>
      </c>
      <c r="M579" t="n">
        <v>0</v>
      </c>
      <c r="N579" t="n">
        <v>0</v>
      </c>
      <c r="O579" t="n">
        <v>0</v>
      </c>
      <c r="P579" t="n">
        <v>0</v>
      </c>
      <c r="Q579" t="n">
        <v>0</v>
      </c>
      <c r="R579" s="2" t="inlineStr"/>
    </row>
    <row r="580" ht="15" customHeight="1">
      <c r="A580" t="inlineStr">
        <is>
          <t>A 25776-2021</t>
        </is>
      </c>
      <c r="B580" s="1" t="n">
        <v>44343</v>
      </c>
      <c r="C580" s="1" t="n">
        <v>45886</v>
      </c>
      <c r="D580" t="inlineStr">
        <is>
          <t>ÖSTERGÖTLANDS LÄN</t>
        </is>
      </c>
      <c r="E580" t="inlineStr">
        <is>
          <t>LINKÖPING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30856-2022</t>
        </is>
      </c>
      <c r="B581" s="1" t="n">
        <v>44767</v>
      </c>
      <c r="C581" s="1" t="n">
        <v>45886</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45886</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19187-2021</t>
        </is>
      </c>
      <c r="B583" s="1" t="n">
        <v>44308</v>
      </c>
      <c r="C583" s="1" t="n">
        <v>45886</v>
      </c>
      <c r="D583" t="inlineStr">
        <is>
          <t>ÖSTERGÖTLANDS LÄN</t>
        </is>
      </c>
      <c r="E583" t="inlineStr">
        <is>
          <t>LINKÖPING</t>
        </is>
      </c>
      <c r="F583" t="inlineStr">
        <is>
          <t>Allmännings- och besparingsskogar</t>
        </is>
      </c>
      <c r="G583" t="n">
        <v>20</v>
      </c>
      <c r="H583" t="n">
        <v>0</v>
      </c>
      <c r="I583" t="n">
        <v>0</v>
      </c>
      <c r="J583" t="n">
        <v>0</v>
      </c>
      <c r="K583" t="n">
        <v>0</v>
      </c>
      <c r="L583" t="n">
        <v>0</v>
      </c>
      <c r="M583" t="n">
        <v>0</v>
      </c>
      <c r="N583" t="n">
        <v>0</v>
      </c>
      <c r="O583" t="n">
        <v>0</v>
      </c>
      <c r="P583" t="n">
        <v>0</v>
      </c>
      <c r="Q583" t="n">
        <v>0</v>
      </c>
      <c r="R583" s="2" t="inlineStr"/>
    </row>
    <row r="584" ht="15" customHeight="1">
      <c r="A584" t="inlineStr">
        <is>
          <t>A 16111-2022</t>
        </is>
      </c>
      <c r="B584" s="1" t="n">
        <v>44665</v>
      </c>
      <c r="C584" s="1" t="n">
        <v>45886</v>
      </c>
      <c r="D584" t="inlineStr">
        <is>
          <t>ÖSTERGÖTLANDS LÄN</t>
        </is>
      </c>
      <c r="E584" t="inlineStr">
        <is>
          <t>LINKÖPING</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31635-2023</t>
        </is>
      </c>
      <c r="B585" s="1" t="n">
        <v>45105</v>
      </c>
      <c r="C585" s="1" t="n">
        <v>45886</v>
      </c>
      <c r="D585" t="inlineStr">
        <is>
          <t>ÖSTERGÖTLANDS LÄN</t>
        </is>
      </c>
      <c r="E585" t="inlineStr">
        <is>
          <t>LINKÖPING</t>
        </is>
      </c>
      <c r="F585" t="inlineStr">
        <is>
          <t>Övriga statliga verk och myndigheter</t>
        </is>
      </c>
      <c r="G585" t="n">
        <v>4.6</v>
      </c>
      <c r="H585" t="n">
        <v>0</v>
      </c>
      <c r="I585" t="n">
        <v>0</v>
      </c>
      <c r="J585" t="n">
        <v>0</v>
      </c>
      <c r="K585" t="n">
        <v>0</v>
      </c>
      <c r="L585" t="n">
        <v>0</v>
      </c>
      <c r="M585" t="n">
        <v>0</v>
      </c>
      <c r="N585" t="n">
        <v>0</v>
      </c>
      <c r="O585" t="n">
        <v>0</v>
      </c>
      <c r="P585" t="n">
        <v>0</v>
      </c>
      <c r="Q585" t="n">
        <v>0</v>
      </c>
      <c r="R585" s="2" t="inlineStr"/>
    </row>
    <row r="586" ht="15" customHeight="1">
      <c r="A586" t="inlineStr">
        <is>
          <t>A 49928-2024</t>
        </is>
      </c>
      <c r="B586" s="1" t="n">
        <v>45597.57811342592</v>
      </c>
      <c r="C586" s="1" t="n">
        <v>45886</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39219-2021</t>
        </is>
      </c>
      <c r="B587" s="1" t="n">
        <v>44413</v>
      </c>
      <c r="C587" s="1" t="n">
        <v>45886</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39224-2021</t>
        </is>
      </c>
      <c r="B588" s="1" t="n">
        <v>44413</v>
      </c>
      <c r="C588" s="1" t="n">
        <v>45886</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54845-2023</t>
        </is>
      </c>
      <c r="B589" s="1" t="n">
        <v>45236</v>
      </c>
      <c r="C589" s="1" t="n">
        <v>45886</v>
      </c>
      <c r="D589" t="inlineStr">
        <is>
          <t>ÖSTERGÖTLANDS LÄN</t>
        </is>
      </c>
      <c r="E589" t="inlineStr">
        <is>
          <t>LINKÖPING</t>
        </is>
      </c>
      <c r="F589" t="inlineStr">
        <is>
          <t>Övriga Aktiebolag</t>
        </is>
      </c>
      <c r="G589" t="n">
        <v>5.7</v>
      </c>
      <c r="H589" t="n">
        <v>0</v>
      </c>
      <c r="I589" t="n">
        <v>0</v>
      </c>
      <c r="J589" t="n">
        <v>0</v>
      </c>
      <c r="K589" t="n">
        <v>0</v>
      </c>
      <c r="L589" t="n">
        <v>0</v>
      </c>
      <c r="M589" t="n">
        <v>0</v>
      </c>
      <c r="N589" t="n">
        <v>0</v>
      </c>
      <c r="O589" t="n">
        <v>0</v>
      </c>
      <c r="P589" t="n">
        <v>0</v>
      </c>
      <c r="Q589" t="n">
        <v>0</v>
      </c>
      <c r="R589" s="2" t="inlineStr"/>
    </row>
    <row r="590" ht="15" customHeight="1">
      <c r="A590" t="inlineStr">
        <is>
          <t>A 46687-2021</t>
        </is>
      </c>
      <c r="B590" s="1" t="n">
        <v>44445</v>
      </c>
      <c r="C590" s="1" t="n">
        <v>45886</v>
      </c>
      <c r="D590" t="inlineStr">
        <is>
          <t>ÖSTERGÖTLANDS LÄN</t>
        </is>
      </c>
      <c r="E590" t="inlineStr">
        <is>
          <t>LINKÖPING</t>
        </is>
      </c>
      <c r="F590" t="inlineStr">
        <is>
          <t>Övriga statliga verk och myndigheter</t>
        </is>
      </c>
      <c r="G590" t="n">
        <v>2.3</v>
      </c>
      <c r="H590" t="n">
        <v>0</v>
      </c>
      <c r="I590" t="n">
        <v>0</v>
      </c>
      <c r="J590" t="n">
        <v>0</v>
      </c>
      <c r="K590" t="n">
        <v>0</v>
      </c>
      <c r="L590" t="n">
        <v>0</v>
      </c>
      <c r="M590" t="n">
        <v>0</v>
      </c>
      <c r="N590" t="n">
        <v>0</v>
      </c>
      <c r="O590" t="n">
        <v>0</v>
      </c>
      <c r="P590" t="n">
        <v>0</v>
      </c>
      <c r="Q590" t="n">
        <v>0</v>
      </c>
      <c r="R590" s="2" t="inlineStr"/>
    </row>
    <row r="591" ht="15" customHeight="1">
      <c r="A591" t="inlineStr">
        <is>
          <t>A 30855-2022</t>
        </is>
      </c>
      <c r="B591" s="1" t="n">
        <v>44767</v>
      </c>
      <c r="C591" s="1" t="n">
        <v>45886</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1355-2023</t>
        </is>
      </c>
      <c r="B592" s="1" t="n">
        <v>44931</v>
      </c>
      <c r="C592" s="1" t="n">
        <v>45886</v>
      </c>
      <c r="D592" t="inlineStr">
        <is>
          <t>ÖSTERGÖTLANDS LÄN</t>
        </is>
      </c>
      <c r="E592" t="inlineStr">
        <is>
          <t>LINKÖPING</t>
        </is>
      </c>
      <c r="G592" t="n">
        <v>4</v>
      </c>
      <c r="H592" t="n">
        <v>0</v>
      </c>
      <c r="I592" t="n">
        <v>0</v>
      </c>
      <c r="J592" t="n">
        <v>0</v>
      </c>
      <c r="K592" t="n">
        <v>0</v>
      </c>
      <c r="L592" t="n">
        <v>0</v>
      </c>
      <c r="M592" t="n">
        <v>0</v>
      </c>
      <c r="N592" t="n">
        <v>0</v>
      </c>
      <c r="O592" t="n">
        <v>0</v>
      </c>
      <c r="P592" t="n">
        <v>0</v>
      </c>
      <c r="Q592" t="n">
        <v>0</v>
      </c>
      <c r="R592" s="2" t="inlineStr"/>
    </row>
    <row r="593" ht="15" customHeight="1">
      <c r="A593" t="inlineStr">
        <is>
          <t>A 27844-2024</t>
        </is>
      </c>
      <c r="B593" s="1" t="n">
        <v>45475.63047453704</v>
      </c>
      <c r="C593" s="1" t="n">
        <v>45886</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43934-2023</t>
        </is>
      </c>
      <c r="B594" s="1" t="n">
        <v>45187</v>
      </c>
      <c r="C594" s="1" t="n">
        <v>45886</v>
      </c>
      <c r="D594" t="inlineStr">
        <is>
          <t>ÖSTERGÖTLANDS LÄN</t>
        </is>
      </c>
      <c r="E594" t="inlineStr">
        <is>
          <t>LINKÖPING</t>
        </is>
      </c>
      <c r="F594" t="inlineStr">
        <is>
          <t>Övriga Aktiebolag</t>
        </is>
      </c>
      <c r="G594" t="n">
        <v>3.8</v>
      </c>
      <c r="H594" t="n">
        <v>0</v>
      </c>
      <c r="I594" t="n">
        <v>0</v>
      </c>
      <c r="J594" t="n">
        <v>0</v>
      </c>
      <c r="K594" t="n">
        <v>0</v>
      </c>
      <c r="L594" t="n">
        <v>0</v>
      </c>
      <c r="M594" t="n">
        <v>0</v>
      </c>
      <c r="N594" t="n">
        <v>0</v>
      </c>
      <c r="O594" t="n">
        <v>0</v>
      </c>
      <c r="P594" t="n">
        <v>0</v>
      </c>
      <c r="Q594" t="n">
        <v>0</v>
      </c>
      <c r="R594" s="2" t="inlineStr"/>
    </row>
    <row r="595" ht="15" customHeight="1">
      <c r="A595" t="inlineStr">
        <is>
          <t>A 10741-2023</t>
        </is>
      </c>
      <c r="B595" s="1" t="n">
        <v>44988.70084490741</v>
      </c>
      <c r="C595" s="1" t="n">
        <v>45886</v>
      </c>
      <c r="D595" t="inlineStr">
        <is>
          <t>ÖSTERGÖTLANDS LÄN</t>
        </is>
      </c>
      <c r="E595" t="inlineStr">
        <is>
          <t>LINKÖPING</t>
        </is>
      </c>
      <c r="F595" t="inlineStr">
        <is>
          <t>Allmännings- och besparingsskogar</t>
        </is>
      </c>
      <c r="G595" t="n">
        <v>11.2</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45886</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7354-2025</t>
        </is>
      </c>
      <c r="B597" s="1" t="n">
        <v>45704.41174768518</v>
      </c>
      <c r="C597" s="1" t="n">
        <v>45886</v>
      </c>
      <c r="D597" t="inlineStr">
        <is>
          <t>ÖSTERGÖTLANDS LÄN</t>
        </is>
      </c>
      <c r="E597" t="inlineStr">
        <is>
          <t>LINKÖPING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45821-2024</t>
        </is>
      </c>
      <c r="B598" s="1" t="n">
        <v>45579.75803240741</v>
      </c>
      <c r="C598" s="1" t="n">
        <v>45886</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63935-2021</t>
        </is>
      </c>
      <c r="B599" s="1" t="n">
        <v>44509</v>
      </c>
      <c r="C599" s="1" t="n">
        <v>45886</v>
      </c>
      <c r="D599" t="inlineStr">
        <is>
          <t>ÖSTERGÖTLANDS LÄN</t>
        </is>
      </c>
      <c r="E599" t="inlineStr">
        <is>
          <t>LINKÖPING</t>
        </is>
      </c>
      <c r="F599" t="inlineStr">
        <is>
          <t>Övriga statliga verk och myndigheter</t>
        </is>
      </c>
      <c r="G599" t="n">
        <v>2.8</v>
      </c>
      <c r="H599" t="n">
        <v>0</v>
      </c>
      <c r="I599" t="n">
        <v>0</v>
      </c>
      <c r="J599" t="n">
        <v>0</v>
      </c>
      <c r="K599" t="n">
        <v>0</v>
      </c>
      <c r="L599" t="n">
        <v>0</v>
      </c>
      <c r="M599" t="n">
        <v>0</v>
      </c>
      <c r="N599" t="n">
        <v>0</v>
      </c>
      <c r="O599" t="n">
        <v>0</v>
      </c>
      <c r="P599" t="n">
        <v>0</v>
      </c>
      <c r="Q599" t="n">
        <v>0</v>
      </c>
      <c r="R599" s="2" t="inlineStr"/>
    </row>
    <row r="600" ht="15" customHeight="1">
      <c r="A600" t="inlineStr">
        <is>
          <t>A 61936-2023</t>
        </is>
      </c>
      <c r="B600" s="1" t="n">
        <v>45266.54534722222</v>
      </c>
      <c r="C600" s="1" t="n">
        <v>45886</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1263-2024</t>
        </is>
      </c>
      <c r="B601" s="1" t="n">
        <v>45302</v>
      </c>
      <c r="C601" s="1" t="n">
        <v>45886</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24464-2023</t>
        </is>
      </c>
      <c r="B602" s="1" t="n">
        <v>45082.58068287037</v>
      </c>
      <c r="C602" s="1" t="n">
        <v>45886</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48389-2024</t>
        </is>
      </c>
      <c r="B603" s="1" t="n">
        <v>45590.59991898148</v>
      </c>
      <c r="C603" s="1" t="n">
        <v>45886</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61281-2021</t>
        </is>
      </c>
      <c r="B604" s="1" t="n">
        <v>44498.60736111111</v>
      </c>
      <c r="C604" s="1" t="n">
        <v>45886</v>
      </c>
      <c r="D604" t="inlineStr">
        <is>
          <t>ÖSTERGÖTLANDS LÄN</t>
        </is>
      </c>
      <c r="E604" t="inlineStr">
        <is>
          <t>LINKÖPING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40810-2022</t>
        </is>
      </c>
      <c r="B605" s="1" t="n">
        <v>44824</v>
      </c>
      <c r="C605" s="1" t="n">
        <v>45886</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6369-2023</t>
        </is>
      </c>
      <c r="B606" s="1" t="n">
        <v>44965.61106481482</v>
      </c>
      <c r="C606" s="1" t="n">
        <v>45886</v>
      </c>
      <c r="D606" t="inlineStr">
        <is>
          <t>ÖSTERGÖTLANDS LÄN</t>
        </is>
      </c>
      <c r="E606" t="inlineStr">
        <is>
          <t>LINKÖPING</t>
        </is>
      </c>
      <c r="G606" t="n">
        <v>4</v>
      </c>
      <c r="H606" t="n">
        <v>0</v>
      </c>
      <c r="I606" t="n">
        <v>0</v>
      </c>
      <c r="J606" t="n">
        <v>0</v>
      </c>
      <c r="K606" t="n">
        <v>0</v>
      </c>
      <c r="L606" t="n">
        <v>0</v>
      </c>
      <c r="M606" t="n">
        <v>0</v>
      </c>
      <c r="N606" t="n">
        <v>0</v>
      </c>
      <c r="O606" t="n">
        <v>0</v>
      </c>
      <c r="P606" t="n">
        <v>0</v>
      </c>
      <c r="Q606" t="n">
        <v>0</v>
      </c>
      <c r="R606" s="2" t="inlineStr"/>
    </row>
    <row r="607" ht="15" customHeight="1">
      <c r="A607" t="inlineStr">
        <is>
          <t>A 20298-2025</t>
        </is>
      </c>
      <c r="B607" s="1" t="n">
        <v>45774.75024305555</v>
      </c>
      <c r="C607" s="1" t="n">
        <v>45886</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10094-2024</t>
        </is>
      </c>
      <c r="B608" s="1" t="n">
        <v>45364</v>
      </c>
      <c r="C608" s="1" t="n">
        <v>45886</v>
      </c>
      <c r="D608" t="inlineStr">
        <is>
          <t>ÖSTERGÖTLANDS LÄN</t>
        </is>
      </c>
      <c r="E608" t="inlineStr">
        <is>
          <t>LINKÖPING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1207-2023</t>
        </is>
      </c>
      <c r="B609" s="1" t="n">
        <v>44930</v>
      </c>
      <c r="C609" s="1" t="n">
        <v>45886</v>
      </c>
      <c r="D609" t="inlineStr">
        <is>
          <t>ÖSTERGÖTLANDS LÄN</t>
        </is>
      </c>
      <c r="E609" t="inlineStr">
        <is>
          <t>LINKÖPING</t>
        </is>
      </c>
      <c r="F609" t="inlineStr">
        <is>
          <t>Övriga statliga verk och myndigheter</t>
        </is>
      </c>
      <c r="G609" t="n">
        <v>32.8</v>
      </c>
      <c r="H609" t="n">
        <v>0</v>
      </c>
      <c r="I609" t="n">
        <v>0</v>
      </c>
      <c r="J609" t="n">
        <v>0</v>
      </c>
      <c r="K609" t="n">
        <v>0</v>
      </c>
      <c r="L609" t="n">
        <v>0</v>
      </c>
      <c r="M609" t="n">
        <v>0</v>
      </c>
      <c r="N609" t="n">
        <v>0</v>
      </c>
      <c r="O609" t="n">
        <v>0</v>
      </c>
      <c r="P609" t="n">
        <v>0</v>
      </c>
      <c r="Q609" t="n">
        <v>0</v>
      </c>
      <c r="R609" s="2" t="inlineStr"/>
    </row>
    <row r="610" ht="15" customHeight="1">
      <c r="A610" t="inlineStr">
        <is>
          <t>A 14576-2023</t>
        </is>
      </c>
      <c r="B610" s="1" t="n">
        <v>45013</v>
      </c>
      <c r="C610" s="1" t="n">
        <v>45886</v>
      </c>
      <c r="D610" t="inlineStr">
        <is>
          <t>ÖSTERGÖTLANDS LÄN</t>
        </is>
      </c>
      <c r="E610" t="inlineStr">
        <is>
          <t>LINKÖPING</t>
        </is>
      </c>
      <c r="G610" t="n">
        <v>3.2</v>
      </c>
      <c r="H610" t="n">
        <v>0</v>
      </c>
      <c r="I610" t="n">
        <v>0</v>
      </c>
      <c r="J610" t="n">
        <v>0</v>
      </c>
      <c r="K610" t="n">
        <v>0</v>
      </c>
      <c r="L610" t="n">
        <v>0</v>
      </c>
      <c r="M610" t="n">
        <v>0</v>
      </c>
      <c r="N610" t="n">
        <v>0</v>
      </c>
      <c r="O610" t="n">
        <v>0</v>
      </c>
      <c r="P610" t="n">
        <v>0</v>
      </c>
      <c r="Q610" t="n">
        <v>0</v>
      </c>
      <c r="R610" s="2" t="inlineStr"/>
    </row>
    <row r="611" ht="15" customHeight="1">
      <c r="A611" t="inlineStr">
        <is>
          <t>A 62015-2024</t>
        </is>
      </c>
      <c r="B611" s="1" t="n">
        <v>45655.80457175926</v>
      </c>
      <c r="C611" s="1" t="n">
        <v>45886</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62020-2024</t>
        </is>
      </c>
      <c r="B612" s="1" t="n">
        <v>45655.83563657408</v>
      </c>
      <c r="C612" s="1" t="n">
        <v>45886</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62021-2024</t>
        </is>
      </c>
      <c r="B613" s="1" t="n">
        <v>45655.84232638889</v>
      </c>
      <c r="C613" s="1" t="n">
        <v>45886</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12089-2025</t>
        </is>
      </c>
      <c r="B614" s="1" t="n">
        <v>45729</v>
      </c>
      <c r="C614" s="1" t="n">
        <v>45886</v>
      </c>
      <c r="D614" t="inlineStr">
        <is>
          <t>ÖSTERGÖTLANDS LÄN</t>
        </is>
      </c>
      <c r="E614" t="inlineStr">
        <is>
          <t>LINKÖPING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27891-2021</t>
        </is>
      </c>
      <c r="B615" s="1" t="n">
        <v>44354.65108796296</v>
      </c>
      <c r="C615" s="1" t="n">
        <v>45886</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45886</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20294-2025</t>
        </is>
      </c>
      <c r="B617" s="1" t="n">
        <v>45774.74667824074</v>
      </c>
      <c r="C617" s="1" t="n">
        <v>45886</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60013-2022</t>
        </is>
      </c>
      <c r="B618" s="1" t="n">
        <v>44909.47482638889</v>
      </c>
      <c r="C618" s="1" t="n">
        <v>45886</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3007-2025</t>
        </is>
      </c>
      <c r="B619" s="1" t="n">
        <v>45678.56328703704</v>
      </c>
      <c r="C619" s="1" t="n">
        <v>45886</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15307-2025</t>
        </is>
      </c>
      <c r="B620" s="1" t="n">
        <v>45746.70038194444</v>
      </c>
      <c r="C620" s="1" t="n">
        <v>45886</v>
      </c>
      <c r="D620" t="inlineStr">
        <is>
          <t>ÖSTERGÖTLANDS LÄN</t>
        </is>
      </c>
      <c r="E620" t="inlineStr">
        <is>
          <t>LINKÖPING</t>
        </is>
      </c>
      <c r="G620" t="n">
        <v>3.3</v>
      </c>
      <c r="H620" t="n">
        <v>0</v>
      </c>
      <c r="I620" t="n">
        <v>0</v>
      </c>
      <c r="J620" t="n">
        <v>0</v>
      </c>
      <c r="K620" t="n">
        <v>0</v>
      </c>
      <c r="L620" t="n">
        <v>0</v>
      </c>
      <c r="M620" t="n">
        <v>0</v>
      </c>
      <c r="N620" t="n">
        <v>0</v>
      </c>
      <c r="O620" t="n">
        <v>0</v>
      </c>
      <c r="P620" t="n">
        <v>0</v>
      </c>
      <c r="Q620" t="n">
        <v>0</v>
      </c>
      <c r="R620" s="2" t="inlineStr"/>
    </row>
    <row r="621" ht="15" customHeight="1">
      <c r="A621" t="inlineStr">
        <is>
          <t>A 34877-2023</t>
        </is>
      </c>
      <c r="B621" s="1" t="n">
        <v>45140</v>
      </c>
      <c r="C621" s="1" t="n">
        <v>45886</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1924-2024</t>
        </is>
      </c>
      <c r="B622" s="1" t="n">
        <v>45308</v>
      </c>
      <c r="C622" s="1" t="n">
        <v>45886</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59954-2020</t>
        </is>
      </c>
      <c r="B623" s="1" t="n">
        <v>44151</v>
      </c>
      <c r="C623" s="1" t="n">
        <v>45886</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59969-2020</t>
        </is>
      </c>
      <c r="B624" s="1" t="n">
        <v>44151</v>
      </c>
      <c r="C624" s="1" t="n">
        <v>45886</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62321-2022</t>
        </is>
      </c>
      <c r="B625" s="1" t="n">
        <v>44916</v>
      </c>
      <c r="C625" s="1" t="n">
        <v>45886</v>
      </c>
      <c r="D625" t="inlineStr">
        <is>
          <t>ÖSTERGÖTLANDS LÄN</t>
        </is>
      </c>
      <c r="E625" t="inlineStr">
        <is>
          <t>LINKÖPING</t>
        </is>
      </c>
      <c r="F625" t="inlineStr">
        <is>
          <t>Kommuner</t>
        </is>
      </c>
      <c r="G625" t="n">
        <v>5.3</v>
      </c>
      <c r="H625" t="n">
        <v>0</v>
      </c>
      <c r="I625" t="n">
        <v>0</v>
      </c>
      <c r="J625" t="n">
        <v>0</v>
      </c>
      <c r="K625" t="n">
        <v>0</v>
      </c>
      <c r="L625" t="n">
        <v>0</v>
      </c>
      <c r="M625" t="n">
        <v>0</v>
      </c>
      <c r="N625" t="n">
        <v>0</v>
      </c>
      <c r="O625" t="n">
        <v>0</v>
      </c>
      <c r="P625" t="n">
        <v>0</v>
      </c>
      <c r="Q625" t="n">
        <v>0</v>
      </c>
      <c r="R625" s="2" t="inlineStr"/>
    </row>
    <row r="626" ht="15" customHeight="1">
      <c r="A626" t="inlineStr">
        <is>
          <t>A 34558-2022</t>
        </is>
      </c>
      <c r="B626" s="1" t="n">
        <v>44794.57594907407</v>
      </c>
      <c r="C626" s="1" t="n">
        <v>45886</v>
      </c>
      <c r="D626" t="inlineStr">
        <is>
          <t>ÖSTERGÖTLANDS LÄN</t>
        </is>
      </c>
      <c r="E626" t="inlineStr">
        <is>
          <t>LINKÖPING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168-2024</t>
        </is>
      </c>
      <c r="B627" s="1" t="n">
        <v>45294</v>
      </c>
      <c r="C627" s="1" t="n">
        <v>45886</v>
      </c>
      <c r="D627" t="inlineStr">
        <is>
          <t>ÖSTERGÖTLANDS LÄN</t>
        </is>
      </c>
      <c r="E627" t="inlineStr">
        <is>
          <t>LINKÖPING</t>
        </is>
      </c>
      <c r="F627" t="inlineStr">
        <is>
          <t>Allmännings- och besparingsskogar</t>
        </is>
      </c>
      <c r="G627" t="n">
        <v>8.9</v>
      </c>
      <c r="H627" t="n">
        <v>0</v>
      </c>
      <c r="I627" t="n">
        <v>0</v>
      </c>
      <c r="J627" t="n">
        <v>0</v>
      </c>
      <c r="K627" t="n">
        <v>0</v>
      </c>
      <c r="L627" t="n">
        <v>0</v>
      </c>
      <c r="M627" t="n">
        <v>0</v>
      </c>
      <c r="N627" t="n">
        <v>0</v>
      </c>
      <c r="O627" t="n">
        <v>0</v>
      </c>
      <c r="P627" t="n">
        <v>0</v>
      </c>
      <c r="Q627" t="n">
        <v>0</v>
      </c>
      <c r="R627" s="2" t="inlineStr"/>
    </row>
    <row r="628" ht="15" customHeight="1">
      <c r="A628" t="inlineStr">
        <is>
          <t>A 43475-2024</t>
        </is>
      </c>
      <c r="B628" s="1" t="n">
        <v>45568</v>
      </c>
      <c r="C628" s="1" t="n">
        <v>45886</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15658-2023</t>
        </is>
      </c>
      <c r="B629" s="1" t="n">
        <v>45021.41194444444</v>
      </c>
      <c r="C629" s="1" t="n">
        <v>45886</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17103-2025</t>
        </is>
      </c>
      <c r="B630" s="1" t="n">
        <v>45755.66143518518</v>
      </c>
      <c r="C630" s="1" t="n">
        <v>45886</v>
      </c>
      <c r="D630" t="inlineStr">
        <is>
          <t>ÖSTERGÖTLANDS LÄN</t>
        </is>
      </c>
      <c r="E630" t="inlineStr">
        <is>
          <t>LINKÖPING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33800-2023</t>
        </is>
      </c>
      <c r="B631" s="1" t="n">
        <v>45121</v>
      </c>
      <c r="C631" s="1" t="n">
        <v>45886</v>
      </c>
      <c r="D631" t="inlineStr">
        <is>
          <t>ÖSTERGÖTLANDS LÄN</t>
        </is>
      </c>
      <c r="E631" t="inlineStr">
        <is>
          <t>LINKÖPING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30551-2023</t>
        </is>
      </c>
      <c r="B632" s="1" t="n">
        <v>45111</v>
      </c>
      <c r="C632" s="1" t="n">
        <v>45886</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50784-2022</t>
        </is>
      </c>
      <c r="B633" s="1" t="n">
        <v>44862</v>
      </c>
      <c r="C633" s="1" t="n">
        <v>45886</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45886</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22043-2023</t>
        </is>
      </c>
      <c r="B635" s="1" t="n">
        <v>45069.39050925926</v>
      </c>
      <c r="C635" s="1" t="n">
        <v>45886</v>
      </c>
      <c r="D635" t="inlineStr">
        <is>
          <t>ÖSTERGÖTLANDS LÄN</t>
        </is>
      </c>
      <c r="E635" t="inlineStr">
        <is>
          <t>LINKÖPING</t>
        </is>
      </c>
      <c r="G635" t="n">
        <v>5.9</v>
      </c>
      <c r="H635" t="n">
        <v>0</v>
      </c>
      <c r="I635" t="n">
        <v>0</v>
      </c>
      <c r="J635" t="n">
        <v>0</v>
      </c>
      <c r="K635" t="n">
        <v>0</v>
      </c>
      <c r="L635" t="n">
        <v>0</v>
      </c>
      <c r="M635" t="n">
        <v>0</v>
      </c>
      <c r="N635" t="n">
        <v>0</v>
      </c>
      <c r="O635" t="n">
        <v>0</v>
      </c>
      <c r="P635" t="n">
        <v>0</v>
      </c>
      <c r="Q635" t="n">
        <v>0</v>
      </c>
      <c r="R635" s="2" t="inlineStr"/>
    </row>
    <row r="636" ht="15" customHeight="1">
      <c r="A636" t="inlineStr">
        <is>
          <t>A 52220-2023</t>
        </is>
      </c>
      <c r="B636" s="1" t="n">
        <v>45217</v>
      </c>
      <c r="C636" s="1" t="n">
        <v>45886</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52225-2023</t>
        </is>
      </c>
      <c r="B637" s="1" t="n">
        <v>45217</v>
      </c>
      <c r="C637" s="1" t="n">
        <v>45886</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49656-2021</t>
        </is>
      </c>
      <c r="B638" s="1" t="n">
        <v>44454</v>
      </c>
      <c r="C638" s="1" t="n">
        <v>45886</v>
      </c>
      <c r="D638" t="inlineStr">
        <is>
          <t>ÖSTERGÖTLANDS LÄN</t>
        </is>
      </c>
      <c r="E638" t="inlineStr">
        <is>
          <t>LINKÖPING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19464-2024</t>
        </is>
      </c>
      <c r="B639" s="1" t="n">
        <v>45429</v>
      </c>
      <c r="C639" s="1" t="n">
        <v>45886</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42044-2023</t>
        </is>
      </c>
      <c r="B640" s="1" t="n">
        <v>45177</v>
      </c>
      <c r="C640" s="1" t="n">
        <v>45886</v>
      </c>
      <c r="D640" t="inlineStr">
        <is>
          <t>ÖSTERGÖTLANDS LÄN</t>
        </is>
      </c>
      <c r="E640" t="inlineStr">
        <is>
          <t>LINKÖPING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630-2024</t>
        </is>
      </c>
      <c r="B641" s="1" t="n">
        <v>45299.67736111111</v>
      </c>
      <c r="C641" s="1" t="n">
        <v>45886</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30465-2023</t>
        </is>
      </c>
      <c r="B642" s="1" t="n">
        <v>45111</v>
      </c>
      <c r="C642" s="1" t="n">
        <v>45886</v>
      </c>
      <c r="D642" t="inlineStr">
        <is>
          <t>ÖSTERGÖTLANDS LÄN</t>
        </is>
      </c>
      <c r="E642" t="inlineStr">
        <is>
          <t>LINKÖPING</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30521-2024</t>
        </is>
      </c>
      <c r="B643" s="1" t="n">
        <v>45492</v>
      </c>
      <c r="C643" s="1" t="n">
        <v>45886</v>
      </c>
      <c r="D643" t="inlineStr">
        <is>
          <t>ÖSTERGÖTLANDS LÄN</t>
        </is>
      </c>
      <c r="E643" t="inlineStr">
        <is>
          <t>LINKÖPING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40618-2021</t>
        </is>
      </c>
      <c r="B644" s="1" t="n">
        <v>44420.49575231481</v>
      </c>
      <c r="C644" s="1" t="n">
        <v>45886</v>
      </c>
      <c r="D644" t="inlineStr">
        <is>
          <t>ÖSTERGÖTLANDS LÄN</t>
        </is>
      </c>
      <c r="E644" t="inlineStr">
        <is>
          <t>LINKÖPING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62012-2024</t>
        </is>
      </c>
      <c r="B645" s="1" t="n">
        <v>45655.79679398148</v>
      </c>
      <c r="C645" s="1" t="n">
        <v>45886</v>
      </c>
      <c r="D645" t="inlineStr">
        <is>
          <t>ÖSTERGÖTLANDS LÄN</t>
        </is>
      </c>
      <c r="E645" t="inlineStr">
        <is>
          <t>LINKÖPING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62374-2020</t>
        </is>
      </c>
      <c r="B646" s="1" t="n">
        <v>44159</v>
      </c>
      <c r="C646" s="1" t="n">
        <v>45886</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23735-2023</t>
        </is>
      </c>
      <c r="B647" s="1" t="n">
        <v>45077</v>
      </c>
      <c r="C647" s="1" t="n">
        <v>45886</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45886</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350-2022</t>
        </is>
      </c>
      <c r="B649" s="1" t="n">
        <v>44565</v>
      </c>
      <c r="C649" s="1" t="n">
        <v>45886</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4256-2022</t>
        </is>
      </c>
      <c r="B650" s="1" t="n">
        <v>44588</v>
      </c>
      <c r="C650" s="1" t="n">
        <v>45886</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25948-2023</t>
        </is>
      </c>
      <c r="B651" s="1" t="n">
        <v>45090</v>
      </c>
      <c r="C651" s="1" t="n">
        <v>45886</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33867-2023</t>
        </is>
      </c>
      <c r="B652" s="1" t="n">
        <v>45133.94640046296</v>
      </c>
      <c r="C652" s="1" t="n">
        <v>45886</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57766-2023</t>
        </is>
      </c>
      <c r="B653" s="1" t="n">
        <v>45246</v>
      </c>
      <c r="C653" s="1" t="n">
        <v>45886</v>
      </c>
      <c r="D653" t="inlineStr">
        <is>
          <t>ÖSTERGÖTLANDS LÄN</t>
        </is>
      </c>
      <c r="E653" t="inlineStr">
        <is>
          <t>LINKÖPING</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53616-2020</t>
        </is>
      </c>
      <c r="B654" s="1" t="n">
        <v>44123</v>
      </c>
      <c r="C654" s="1" t="n">
        <v>45886</v>
      </c>
      <c r="D654" t="inlineStr">
        <is>
          <t>ÖSTERGÖTLANDS LÄN</t>
        </is>
      </c>
      <c r="E654" t="inlineStr">
        <is>
          <t>LINKÖPING</t>
        </is>
      </c>
      <c r="G654" t="n">
        <v>2.7</v>
      </c>
      <c r="H654" t="n">
        <v>0</v>
      </c>
      <c r="I654" t="n">
        <v>0</v>
      </c>
      <c r="J654" t="n">
        <v>0</v>
      </c>
      <c r="K654" t="n">
        <v>0</v>
      </c>
      <c r="L654" t="n">
        <v>0</v>
      </c>
      <c r="M654" t="n">
        <v>0</v>
      </c>
      <c r="N654" t="n">
        <v>0</v>
      </c>
      <c r="O654" t="n">
        <v>0</v>
      </c>
      <c r="P654" t="n">
        <v>0</v>
      </c>
      <c r="Q654" t="n">
        <v>0</v>
      </c>
      <c r="R654" s="2" t="inlineStr"/>
    </row>
    <row r="655" ht="15" customHeight="1">
      <c r="A655" t="inlineStr">
        <is>
          <t>A 27186-2021</t>
        </is>
      </c>
      <c r="B655" s="1" t="n">
        <v>44350.67715277777</v>
      </c>
      <c r="C655" s="1" t="n">
        <v>45886</v>
      </c>
      <c r="D655" t="inlineStr">
        <is>
          <t>ÖSTERGÖTLANDS LÄN</t>
        </is>
      </c>
      <c r="E655" t="inlineStr">
        <is>
          <t>LINKÖPING</t>
        </is>
      </c>
      <c r="F655" t="inlineStr">
        <is>
          <t>Allmännings- och besparingsskogar</t>
        </is>
      </c>
      <c r="G655" t="n">
        <v>1.4</v>
      </c>
      <c r="H655" t="n">
        <v>0</v>
      </c>
      <c r="I655" t="n">
        <v>0</v>
      </c>
      <c r="J655" t="n">
        <v>0</v>
      </c>
      <c r="K655" t="n">
        <v>0</v>
      </c>
      <c r="L655" t="n">
        <v>0</v>
      </c>
      <c r="M655" t="n">
        <v>0</v>
      </c>
      <c r="N655" t="n">
        <v>0</v>
      </c>
      <c r="O655" t="n">
        <v>0</v>
      </c>
      <c r="P655" t="n">
        <v>0</v>
      </c>
      <c r="Q655" t="n">
        <v>0</v>
      </c>
      <c r="R655" s="2" t="inlineStr"/>
    </row>
    <row r="656" ht="15" customHeight="1">
      <c r="A656" t="inlineStr">
        <is>
          <t>A 24462-2023</t>
        </is>
      </c>
      <c r="B656" s="1" t="n">
        <v>45082</v>
      </c>
      <c r="C656" s="1" t="n">
        <v>45886</v>
      </c>
      <c r="D656" t="inlineStr">
        <is>
          <t>ÖSTERGÖTLANDS LÄN</t>
        </is>
      </c>
      <c r="E656" t="inlineStr">
        <is>
          <t>LINKÖPING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10194-2023</t>
        </is>
      </c>
      <c r="B657" s="1" t="n">
        <v>44986.52277777778</v>
      </c>
      <c r="C657" s="1" t="n">
        <v>45886</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55944-2024</t>
        </is>
      </c>
      <c r="B658" s="1" t="n">
        <v>45623.61640046296</v>
      </c>
      <c r="C658" s="1" t="n">
        <v>45886</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55947-2024</t>
        </is>
      </c>
      <c r="B659" s="1" t="n">
        <v>45623</v>
      </c>
      <c r="C659" s="1" t="n">
        <v>45886</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47703-2023</t>
        </is>
      </c>
      <c r="B660" s="1" t="n">
        <v>45203</v>
      </c>
      <c r="C660" s="1" t="n">
        <v>45886</v>
      </c>
      <c r="D660" t="inlineStr">
        <is>
          <t>ÖSTERGÖTLANDS LÄN</t>
        </is>
      </c>
      <c r="E660" t="inlineStr">
        <is>
          <t>LINKÖPING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51559-2024</t>
        </is>
      </c>
      <c r="B661" s="1" t="n">
        <v>45604.61431712963</v>
      </c>
      <c r="C661" s="1" t="n">
        <v>45886</v>
      </c>
      <c r="D661" t="inlineStr">
        <is>
          <t>ÖSTERGÖTLANDS LÄN</t>
        </is>
      </c>
      <c r="E661" t="inlineStr">
        <is>
          <t>LINKÖPING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48829-2023</t>
        </is>
      </c>
      <c r="B662" s="1" t="n">
        <v>45209.38177083333</v>
      </c>
      <c r="C662" s="1" t="n">
        <v>45886</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62353-2022</t>
        </is>
      </c>
      <c r="B663" s="1" t="n">
        <v>44923</v>
      </c>
      <c r="C663" s="1" t="n">
        <v>45886</v>
      </c>
      <c r="D663" t="inlineStr">
        <is>
          <t>ÖSTERGÖTLANDS LÄN</t>
        </is>
      </c>
      <c r="E663" t="inlineStr">
        <is>
          <t>LINKÖPING</t>
        </is>
      </c>
      <c r="F663" t="inlineStr">
        <is>
          <t>Allmännings- och besparingsskogar</t>
        </is>
      </c>
      <c r="G663" t="n">
        <v>1.7</v>
      </c>
      <c r="H663" t="n">
        <v>0</v>
      </c>
      <c r="I663" t="n">
        <v>0</v>
      </c>
      <c r="J663" t="n">
        <v>0</v>
      </c>
      <c r="K663" t="n">
        <v>0</v>
      </c>
      <c r="L663" t="n">
        <v>0</v>
      </c>
      <c r="M663" t="n">
        <v>0</v>
      </c>
      <c r="N663" t="n">
        <v>0</v>
      </c>
      <c r="O663" t="n">
        <v>0</v>
      </c>
      <c r="P663" t="n">
        <v>0</v>
      </c>
      <c r="Q663" t="n">
        <v>0</v>
      </c>
      <c r="R663" s="2" t="inlineStr"/>
    </row>
    <row r="664" ht="15" customHeight="1">
      <c r="A664" t="inlineStr">
        <is>
          <t>A 15754-2025</t>
        </is>
      </c>
      <c r="B664" s="1" t="n">
        <v>45748.56105324074</v>
      </c>
      <c r="C664" s="1" t="n">
        <v>45886</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4298-2023</t>
        </is>
      </c>
      <c r="B665" s="1" t="n">
        <v>44953</v>
      </c>
      <c r="C665" s="1" t="n">
        <v>45886</v>
      </c>
      <c r="D665" t="inlineStr">
        <is>
          <t>ÖSTERGÖTLANDS LÄN</t>
        </is>
      </c>
      <c r="E665" t="inlineStr">
        <is>
          <t>LINKÖPING</t>
        </is>
      </c>
      <c r="G665" t="n">
        <v>2.8</v>
      </c>
      <c r="H665" t="n">
        <v>0</v>
      </c>
      <c r="I665" t="n">
        <v>0</v>
      </c>
      <c r="J665" t="n">
        <v>0</v>
      </c>
      <c r="K665" t="n">
        <v>0</v>
      </c>
      <c r="L665" t="n">
        <v>0</v>
      </c>
      <c r="M665" t="n">
        <v>0</v>
      </c>
      <c r="N665" t="n">
        <v>0</v>
      </c>
      <c r="O665" t="n">
        <v>0</v>
      </c>
      <c r="P665" t="n">
        <v>0</v>
      </c>
      <c r="Q665" t="n">
        <v>0</v>
      </c>
      <c r="R665" s="2" t="inlineStr"/>
    </row>
    <row r="666" ht="15" customHeight="1">
      <c r="A666" t="inlineStr">
        <is>
          <t>A 38231-2022</t>
        </is>
      </c>
      <c r="B666" s="1" t="n">
        <v>44812</v>
      </c>
      <c r="C666" s="1" t="n">
        <v>45886</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50799-2022</t>
        </is>
      </c>
      <c r="B667" s="1" t="n">
        <v>44862</v>
      </c>
      <c r="C667" s="1" t="n">
        <v>45886</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18145-2021</t>
        </is>
      </c>
      <c r="B668" s="1" t="n">
        <v>44302</v>
      </c>
      <c r="C668" s="1" t="n">
        <v>45886</v>
      </c>
      <c r="D668" t="inlineStr">
        <is>
          <t>ÖSTERGÖTLANDS LÄN</t>
        </is>
      </c>
      <c r="E668" t="inlineStr">
        <is>
          <t>LINKÖPING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40431-2024</t>
        </is>
      </c>
      <c r="B669" s="1" t="n">
        <v>45555.47070601852</v>
      </c>
      <c r="C669" s="1" t="n">
        <v>45886</v>
      </c>
      <c r="D669" t="inlineStr">
        <is>
          <t>ÖSTERGÖTLANDS LÄN</t>
        </is>
      </c>
      <c r="E669" t="inlineStr">
        <is>
          <t>LINKÖPING</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25568-2024</t>
        </is>
      </c>
      <c r="B670" s="1" t="n">
        <v>45463.58699074074</v>
      </c>
      <c r="C670" s="1" t="n">
        <v>45886</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267-2023</t>
        </is>
      </c>
      <c r="B671" s="1" t="n">
        <v>44928.80907407407</v>
      </c>
      <c r="C671" s="1" t="n">
        <v>45886</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26618-2023</t>
        </is>
      </c>
      <c r="B672" s="1" t="n">
        <v>45092.70306712963</v>
      </c>
      <c r="C672" s="1" t="n">
        <v>45886</v>
      </c>
      <c r="D672" t="inlineStr">
        <is>
          <t>ÖSTERGÖTLANDS LÄN</t>
        </is>
      </c>
      <c r="E672" t="inlineStr">
        <is>
          <t>LINKÖPING</t>
        </is>
      </c>
      <c r="G672" t="n">
        <v>6.9</v>
      </c>
      <c r="H672" t="n">
        <v>0</v>
      </c>
      <c r="I672" t="n">
        <v>0</v>
      </c>
      <c r="J672" t="n">
        <v>0</v>
      </c>
      <c r="K672" t="n">
        <v>0</v>
      </c>
      <c r="L672" t="n">
        <v>0</v>
      </c>
      <c r="M672" t="n">
        <v>0</v>
      </c>
      <c r="N672" t="n">
        <v>0</v>
      </c>
      <c r="O672" t="n">
        <v>0</v>
      </c>
      <c r="P672" t="n">
        <v>0</v>
      </c>
      <c r="Q672" t="n">
        <v>0</v>
      </c>
      <c r="R672" s="2" t="inlineStr"/>
    </row>
    <row r="673" ht="15" customHeight="1">
      <c r="A673" t="inlineStr">
        <is>
          <t>A 38136-2023</t>
        </is>
      </c>
      <c r="B673" s="1" t="n">
        <v>45161.37310185185</v>
      </c>
      <c r="C673" s="1" t="n">
        <v>45886</v>
      </c>
      <c r="D673" t="inlineStr">
        <is>
          <t>ÖSTERGÖTLANDS LÄN</t>
        </is>
      </c>
      <c r="E673" t="inlineStr">
        <is>
          <t>LINKÖPING</t>
        </is>
      </c>
      <c r="G673" t="n">
        <v>5.6</v>
      </c>
      <c r="H673" t="n">
        <v>0</v>
      </c>
      <c r="I673" t="n">
        <v>0</v>
      </c>
      <c r="J673" t="n">
        <v>0</v>
      </c>
      <c r="K673" t="n">
        <v>0</v>
      </c>
      <c r="L673" t="n">
        <v>0</v>
      </c>
      <c r="M673" t="n">
        <v>0</v>
      </c>
      <c r="N673" t="n">
        <v>0</v>
      </c>
      <c r="O673" t="n">
        <v>0</v>
      </c>
      <c r="P673" t="n">
        <v>0</v>
      </c>
      <c r="Q673" t="n">
        <v>0</v>
      </c>
      <c r="R673" s="2" t="inlineStr"/>
    </row>
    <row r="674" ht="15" customHeight="1">
      <c r="A674" t="inlineStr">
        <is>
          <t>A 12317-2025</t>
        </is>
      </c>
      <c r="B674" s="1" t="n">
        <v>45729.8487037037</v>
      </c>
      <c r="C674" s="1" t="n">
        <v>45886</v>
      </c>
      <c r="D674" t="inlineStr">
        <is>
          <t>ÖSTERGÖTLANDS LÄN</t>
        </is>
      </c>
      <c r="E674" t="inlineStr">
        <is>
          <t>LINKÖPING</t>
        </is>
      </c>
      <c r="G674" t="n">
        <v>8</v>
      </c>
      <c r="H674" t="n">
        <v>0</v>
      </c>
      <c r="I674" t="n">
        <v>0</v>
      </c>
      <c r="J674" t="n">
        <v>0</v>
      </c>
      <c r="K674" t="n">
        <v>0</v>
      </c>
      <c r="L674" t="n">
        <v>0</v>
      </c>
      <c r="M674" t="n">
        <v>0</v>
      </c>
      <c r="N674" t="n">
        <v>0</v>
      </c>
      <c r="O674" t="n">
        <v>0</v>
      </c>
      <c r="P674" t="n">
        <v>0</v>
      </c>
      <c r="Q674" t="n">
        <v>0</v>
      </c>
      <c r="R674" s="2" t="inlineStr"/>
    </row>
    <row r="675" ht="15" customHeight="1">
      <c r="A675" t="inlineStr">
        <is>
          <t>A 63665-2023</t>
        </is>
      </c>
      <c r="B675" s="1" t="n">
        <v>45275</v>
      </c>
      <c r="C675" s="1" t="n">
        <v>45886</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45886</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45886</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45886</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45886</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67123-2020</t>
        </is>
      </c>
      <c r="B680" s="1" t="n">
        <v>44180</v>
      </c>
      <c r="C680" s="1" t="n">
        <v>45886</v>
      </c>
      <c r="D680" t="inlineStr">
        <is>
          <t>ÖSTERGÖTLANDS LÄN</t>
        </is>
      </c>
      <c r="E680" t="inlineStr">
        <is>
          <t>LINKÖPING</t>
        </is>
      </c>
      <c r="F680" t="inlineStr">
        <is>
          <t>Övriga statliga verk och myndigheter</t>
        </is>
      </c>
      <c r="G680" t="n">
        <v>1.3</v>
      </c>
      <c r="H680" t="n">
        <v>0</v>
      </c>
      <c r="I680" t="n">
        <v>0</v>
      </c>
      <c r="J680" t="n">
        <v>0</v>
      </c>
      <c r="K680" t="n">
        <v>0</v>
      </c>
      <c r="L680" t="n">
        <v>0</v>
      </c>
      <c r="M680" t="n">
        <v>0</v>
      </c>
      <c r="N680" t="n">
        <v>0</v>
      </c>
      <c r="O680" t="n">
        <v>0</v>
      </c>
      <c r="P680" t="n">
        <v>0</v>
      </c>
      <c r="Q680" t="n">
        <v>0</v>
      </c>
      <c r="R680" s="2" t="inlineStr"/>
    </row>
    <row r="681" ht="15" customHeight="1">
      <c r="A681" t="inlineStr">
        <is>
          <t>A 13691-2025</t>
        </is>
      </c>
      <c r="B681" s="1" t="n">
        <v>45737.31671296297</v>
      </c>
      <c r="C681" s="1" t="n">
        <v>45886</v>
      </c>
      <c r="D681" t="inlineStr">
        <is>
          <t>ÖSTERGÖTLANDS LÄN</t>
        </is>
      </c>
      <c r="E681" t="inlineStr">
        <is>
          <t>LINKÖPING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45886</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45886</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45886</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45886</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30429-2024</t>
        </is>
      </c>
      <c r="B686" s="1" t="n">
        <v>45491.68972222223</v>
      </c>
      <c r="C686" s="1" t="n">
        <v>45886</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62495-2023</t>
        </is>
      </c>
      <c r="B687" s="1" t="n">
        <v>45268.59717592593</v>
      </c>
      <c r="C687" s="1" t="n">
        <v>45886</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10198-2023</t>
        </is>
      </c>
      <c r="B688" s="1" t="n">
        <v>44986.54665509259</v>
      </c>
      <c r="C688" s="1" t="n">
        <v>45886</v>
      </c>
      <c r="D688" t="inlineStr">
        <is>
          <t>ÖSTERGÖTLANDS LÄN</t>
        </is>
      </c>
      <c r="E688" t="inlineStr">
        <is>
          <t>LINKÖPING</t>
        </is>
      </c>
      <c r="G688" t="n">
        <v>4.6</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45886</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53816-2023</t>
        </is>
      </c>
      <c r="B690" s="1" t="n">
        <v>45231.40012731482</v>
      </c>
      <c r="C690" s="1" t="n">
        <v>45886</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36557-2023</t>
        </is>
      </c>
      <c r="B691" s="1" t="n">
        <v>45153</v>
      </c>
      <c r="C691" s="1" t="n">
        <v>45886</v>
      </c>
      <c r="D691" t="inlineStr">
        <is>
          <t>ÖSTERGÖTLANDS LÄN</t>
        </is>
      </c>
      <c r="E691" t="inlineStr">
        <is>
          <t>LINKÖPING</t>
        </is>
      </c>
      <c r="F691" t="inlineStr">
        <is>
          <t>Övriga Aktiebolag</t>
        </is>
      </c>
      <c r="G691" t="n">
        <v>3.1</v>
      </c>
      <c r="H691" t="n">
        <v>0</v>
      </c>
      <c r="I691" t="n">
        <v>0</v>
      </c>
      <c r="J691" t="n">
        <v>0</v>
      </c>
      <c r="K691" t="n">
        <v>0</v>
      </c>
      <c r="L691" t="n">
        <v>0</v>
      </c>
      <c r="M691" t="n">
        <v>0</v>
      </c>
      <c r="N691" t="n">
        <v>0</v>
      </c>
      <c r="O691" t="n">
        <v>0</v>
      </c>
      <c r="P691" t="n">
        <v>0</v>
      </c>
      <c r="Q691" t="n">
        <v>0</v>
      </c>
      <c r="R691" s="2" t="inlineStr"/>
    </row>
    <row r="692" ht="15" customHeight="1">
      <c r="A692" t="inlineStr">
        <is>
          <t>A 6599-2023</t>
        </is>
      </c>
      <c r="B692" s="1" t="n">
        <v>44966.52603009259</v>
      </c>
      <c r="C692" s="1" t="n">
        <v>45886</v>
      </c>
      <c r="D692" t="inlineStr">
        <is>
          <t>ÖSTERGÖTLANDS LÄN</t>
        </is>
      </c>
      <c r="E692" t="inlineStr">
        <is>
          <t>LINKÖPING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22771-2024</t>
        </is>
      </c>
      <c r="B693" s="1" t="n">
        <v>45448.46574074074</v>
      </c>
      <c r="C693" s="1" t="n">
        <v>45886</v>
      </c>
      <c r="D693" t="inlineStr">
        <is>
          <t>ÖSTERGÖTLANDS LÄN</t>
        </is>
      </c>
      <c r="E693" t="inlineStr">
        <is>
          <t>LINKÖPING</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45886</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17128-2025</t>
        </is>
      </c>
      <c r="B695" s="1" t="n">
        <v>45755.72622685185</v>
      </c>
      <c r="C695" s="1" t="n">
        <v>45886</v>
      </c>
      <c r="D695" t="inlineStr">
        <is>
          <t>ÖSTERGÖTLANDS LÄN</t>
        </is>
      </c>
      <c r="E695" t="inlineStr">
        <is>
          <t>LINKÖPING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62018-2024</t>
        </is>
      </c>
      <c r="B696" s="1" t="n">
        <v>45655.81387731482</v>
      </c>
      <c r="C696" s="1" t="n">
        <v>45886</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62073-2023</t>
        </is>
      </c>
      <c r="B697" s="1" t="n">
        <v>45266.73844907407</v>
      </c>
      <c r="C697" s="1" t="n">
        <v>45886</v>
      </c>
      <c r="D697" t="inlineStr">
        <is>
          <t>ÖSTERGÖTLANDS LÄN</t>
        </is>
      </c>
      <c r="E697" t="inlineStr">
        <is>
          <t>LINKÖPING</t>
        </is>
      </c>
      <c r="F697" t="inlineStr">
        <is>
          <t>Allmännings- och besparingsskogar</t>
        </is>
      </c>
      <c r="G697" t="n">
        <v>1.8</v>
      </c>
      <c r="H697" t="n">
        <v>0</v>
      </c>
      <c r="I697" t="n">
        <v>0</v>
      </c>
      <c r="J697" t="n">
        <v>0</v>
      </c>
      <c r="K697" t="n">
        <v>0</v>
      </c>
      <c r="L697" t="n">
        <v>0</v>
      </c>
      <c r="M697" t="n">
        <v>0</v>
      </c>
      <c r="N697" t="n">
        <v>0</v>
      </c>
      <c r="O697" t="n">
        <v>0</v>
      </c>
      <c r="P697" t="n">
        <v>0</v>
      </c>
      <c r="Q697" t="n">
        <v>0</v>
      </c>
      <c r="R697" s="2" t="inlineStr"/>
    </row>
    <row r="698" ht="15" customHeight="1">
      <c r="A698" t="inlineStr">
        <is>
          <t>A 672-2024</t>
        </is>
      </c>
      <c r="B698" s="1" t="n">
        <v>45300</v>
      </c>
      <c r="C698" s="1" t="n">
        <v>45886</v>
      </c>
      <c r="D698" t="inlineStr">
        <is>
          <t>ÖSTERGÖTLANDS LÄN</t>
        </is>
      </c>
      <c r="E698" t="inlineStr">
        <is>
          <t>LINKÖPING</t>
        </is>
      </c>
      <c r="F698" t="inlineStr">
        <is>
          <t>Sveaskog</t>
        </is>
      </c>
      <c r="G698" t="n">
        <v>4.5</v>
      </c>
      <c r="H698" t="n">
        <v>0</v>
      </c>
      <c r="I698" t="n">
        <v>0</v>
      </c>
      <c r="J698" t="n">
        <v>0</v>
      </c>
      <c r="K698" t="n">
        <v>0</v>
      </c>
      <c r="L698" t="n">
        <v>0</v>
      </c>
      <c r="M698" t="n">
        <v>0</v>
      </c>
      <c r="N698" t="n">
        <v>0</v>
      </c>
      <c r="O698" t="n">
        <v>0</v>
      </c>
      <c r="P698" t="n">
        <v>0</v>
      </c>
      <c r="Q698" t="n">
        <v>0</v>
      </c>
      <c r="R698" s="2" t="inlineStr"/>
    </row>
    <row r="699">
      <c r="A699" t="inlineStr">
        <is>
          <t>A 42832-2023</t>
        </is>
      </c>
      <c r="B699" s="1" t="n">
        <v>45182.38091435185</v>
      </c>
      <c r="C699" s="1" t="n">
        <v>45886</v>
      </c>
      <c r="D699" t="inlineStr">
        <is>
          <t>ÖSTERGÖTLANDS LÄN</t>
        </is>
      </c>
      <c r="E699" t="inlineStr">
        <is>
          <t>LINKÖPING</t>
        </is>
      </c>
      <c r="G699" t="n">
        <v>2.5</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2025-08-17T08:29:05Z</dcterms:created>
  <dcterms:modified xmlns:dcterms="http://purl.org/dc/terms/" xmlns:xsi="http://www.w3.org/2001/XMLSchema-instance" xsi:type="dcterms:W3CDTF">2025-08-17T08:29:05Z</dcterms:modified>
</cp:coreProperties>
</file>