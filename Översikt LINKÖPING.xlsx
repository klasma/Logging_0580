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46030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46030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46030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46030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46030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46030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46030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46030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55683-2025</t>
        </is>
      </c>
      <c r="B11" s="1" t="n">
        <v>45972.4255324074</v>
      </c>
      <c r="C11" s="1" t="n">
        <v>46030</v>
      </c>
      <c r="D11" t="inlineStr">
        <is>
          <t>ÖSTERGÖTLANDS LÄN</t>
        </is>
      </c>
      <c r="E11" t="inlineStr">
        <is>
          <t>LINKÖPING</t>
        </is>
      </c>
      <c r="G11" t="n">
        <v>3.3</v>
      </c>
      <c r="H11" t="n">
        <v>2</v>
      </c>
      <c r="I11" t="n">
        <v>2</v>
      </c>
      <c r="J11" t="n">
        <v>1</v>
      </c>
      <c r="K11" t="n">
        <v>1</v>
      </c>
      <c r="L11" t="n">
        <v>0</v>
      </c>
      <c r="M11" t="n">
        <v>0</v>
      </c>
      <c r="N11" t="n">
        <v>0</v>
      </c>
      <c r="O11" t="n">
        <v>2</v>
      </c>
      <c r="P11" t="n">
        <v>1</v>
      </c>
      <c r="Q11" t="n">
        <v>4</v>
      </c>
      <c r="R11" s="2" t="inlineStr">
        <is>
          <t>Knärot
Spillkråka
Björksplintborre
Flagellkvastmossa</t>
        </is>
      </c>
      <c r="S11">
        <f>HYPERLINK("https://klasma.github.io/Logging_0580/artfynd/A 55683-2025 artfynd.xlsx", "A 55683-2025")</f>
        <v/>
      </c>
      <c r="T11">
        <f>HYPERLINK("https://klasma.github.io/Logging_0580/kartor/A 55683-2025 karta.png", "A 55683-2025")</f>
        <v/>
      </c>
      <c r="U11">
        <f>HYPERLINK("https://klasma.github.io/Logging_0580/knärot/A 55683-2025 karta knärot.png", "A 55683-2025")</f>
        <v/>
      </c>
      <c r="V11">
        <f>HYPERLINK("https://klasma.github.io/Logging_0580/klagomål/A 55683-2025 FSC-klagomål.docx", "A 55683-2025")</f>
        <v/>
      </c>
      <c r="W11">
        <f>HYPERLINK("https://klasma.github.io/Logging_0580/klagomålsmail/A 55683-2025 FSC-klagomål mail.docx", "A 55683-2025")</f>
        <v/>
      </c>
      <c r="X11">
        <f>HYPERLINK("https://klasma.github.io/Logging_0580/tillsyn/A 55683-2025 tillsynsbegäran.docx", "A 55683-2025")</f>
        <v/>
      </c>
      <c r="Y11">
        <f>HYPERLINK("https://klasma.github.io/Logging_0580/tillsynsmail/A 55683-2025 tillsynsbegäran mail.docx", "A 55683-2025")</f>
        <v/>
      </c>
      <c r="Z11">
        <f>HYPERLINK("https://klasma.github.io/Logging_0580/fåglar/A 55683-2025 prioriterade fågelarter.docx", "A 55683-2025")</f>
        <v/>
      </c>
    </row>
    <row r="12" ht="15" customHeight="1">
      <c r="A12" t="inlineStr">
        <is>
          <t>A 9192-2025</t>
        </is>
      </c>
      <c r="B12" s="1" t="n">
        <v>45714.45943287037</v>
      </c>
      <c r="C12" s="1" t="n">
        <v>46030</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46030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46030</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46030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46030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46030</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46030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46030</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46030</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46030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46030</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46030</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58068-2021</t>
        </is>
      </c>
      <c r="B24" s="1" t="n">
        <v>44487</v>
      </c>
      <c r="C24" s="1" t="n">
        <v>46030</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46030</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46030</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46030</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46030</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50048-2025</t>
        </is>
      </c>
      <c r="B29" s="1" t="n">
        <v>45941</v>
      </c>
      <c r="C29" s="1" t="n">
        <v>46030</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25985-2025</t>
        </is>
      </c>
      <c r="B30" s="1" t="n">
        <v>45804.64479166667</v>
      </c>
      <c r="C30" s="1" t="n">
        <v>46030</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58068-2021</t>
        </is>
      </c>
      <c r="B31" s="1" t="n">
        <v>44487</v>
      </c>
      <c r="C31" s="1" t="n">
        <v>46030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22040-2023</t>
        </is>
      </c>
      <c r="B32" s="1" t="n">
        <v>45068</v>
      </c>
      <c r="C32" s="1" t="n">
        <v>46030</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46030</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46030</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46030</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46030</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46030</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46030</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46030</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46030</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46030</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46030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46030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46030</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46030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46030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46030</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46030</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46030</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46030</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46030</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46030</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46030</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56112-2025</t>
        </is>
      </c>
      <c r="B54" s="1" t="n">
        <v>45973.73625</v>
      </c>
      <c r="C54" s="1" t="n">
        <v>46030</v>
      </c>
      <c r="D54" t="inlineStr">
        <is>
          <t>ÖSTERGÖTLANDS LÄN</t>
        </is>
      </c>
      <c r="E54" t="inlineStr">
        <is>
          <t>LINKÖPING</t>
        </is>
      </c>
      <c r="G54" t="n">
        <v>0.6</v>
      </c>
      <c r="H54" t="n">
        <v>0</v>
      </c>
      <c r="I54" t="n">
        <v>0</v>
      </c>
      <c r="J54" t="n">
        <v>1</v>
      </c>
      <c r="K54" t="n">
        <v>0</v>
      </c>
      <c r="L54" t="n">
        <v>0</v>
      </c>
      <c r="M54" t="n">
        <v>0</v>
      </c>
      <c r="N54" t="n">
        <v>0</v>
      </c>
      <c r="O54" t="n">
        <v>1</v>
      </c>
      <c r="P54" t="n">
        <v>0</v>
      </c>
      <c r="Q54" t="n">
        <v>1</v>
      </c>
      <c r="R54" s="2" t="inlineStr">
        <is>
          <t>Solvända</t>
        </is>
      </c>
      <c r="S54">
        <f>HYPERLINK("https://klasma.github.io/Logging_0580/artfynd/A 56112-2025 artfynd.xlsx", "A 56112-2025")</f>
        <v/>
      </c>
      <c r="T54">
        <f>HYPERLINK("https://klasma.github.io/Logging_0580/kartor/A 56112-2025 karta.png", "A 56112-2025")</f>
        <v/>
      </c>
      <c r="V54">
        <f>HYPERLINK("https://klasma.github.io/Logging_0580/klagomål/A 56112-2025 FSC-klagomål.docx", "A 56112-2025")</f>
        <v/>
      </c>
      <c r="W54">
        <f>HYPERLINK("https://klasma.github.io/Logging_0580/klagomålsmail/A 56112-2025 FSC-klagomål mail.docx", "A 56112-2025")</f>
        <v/>
      </c>
      <c r="X54">
        <f>HYPERLINK("https://klasma.github.io/Logging_0580/tillsyn/A 56112-2025 tillsynsbegäran.docx", "A 56112-2025")</f>
        <v/>
      </c>
      <c r="Y54">
        <f>HYPERLINK("https://klasma.github.io/Logging_0580/tillsynsmail/A 56112-2025 tillsynsbegäran mail.docx", "A 56112-2025")</f>
        <v/>
      </c>
    </row>
    <row r="55" ht="15" customHeight="1">
      <c r="A55" t="inlineStr">
        <is>
          <t>A 22526-2025</t>
        </is>
      </c>
      <c r="B55" s="1" t="n">
        <v>45786.78096064815</v>
      </c>
      <c r="C55" s="1" t="n">
        <v>46030</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59948-2022</t>
        </is>
      </c>
      <c r="B56" s="1" t="n">
        <v>44909</v>
      </c>
      <c r="C56" s="1" t="n">
        <v>46030</v>
      </c>
      <c r="D56" t="inlineStr">
        <is>
          <t>ÖSTERGÖTLANDS LÄN</t>
        </is>
      </c>
      <c r="E56" t="inlineStr">
        <is>
          <t>LINKÖPING</t>
        </is>
      </c>
      <c r="G56" t="n">
        <v>6.7</v>
      </c>
      <c r="H56" t="n">
        <v>0</v>
      </c>
      <c r="I56" t="n">
        <v>0</v>
      </c>
      <c r="J56" t="n">
        <v>0</v>
      </c>
      <c r="K56" t="n">
        <v>0</v>
      </c>
      <c r="L56" t="n">
        <v>0</v>
      </c>
      <c r="M56" t="n">
        <v>1</v>
      </c>
      <c r="N56" t="n">
        <v>0</v>
      </c>
      <c r="O56" t="n">
        <v>1</v>
      </c>
      <c r="P56" t="n">
        <v>1</v>
      </c>
      <c r="Q56" t="n">
        <v>1</v>
      </c>
      <c r="R56" s="2" t="inlineStr">
        <is>
          <t>Skogsalm</t>
        </is>
      </c>
      <c r="S56">
        <f>HYPERLINK("https://klasma.github.io/Logging_0580/artfynd/A 59948-2022 artfynd.xlsx", "A 59948-2022")</f>
        <v/>
      </c>
      <c r="T56">
        <f>HYPERLINK("https://klasma.github.io/Logging_0580/kartor/A 59948-2022 karta.png", "A 59948-2022")</f>
        <v/>
      </c>
      <c r="V56">
        <f>HYPERLINK("https://klasma.github.io/Logging_0580/klagomål/A 59948-2022 FSC-klagomål.docx", "A 59948-2022")</f>
        <v/>
      </c>
      <c r="W56">
        <f>HYPERLINK("https://klasma.github.io/Logging_0580/klagomålsmail/A 59948-2022 FSC-klagomål mail.docx", "A 59948-2022")</f>
        <v/>
      </c>
      <c r="X56">
        <f>HYPERLINK("https://klasma.github.io/Logging_0580/tillsyn/A 59948-2022 tillsynsbegäran.docx", "A 59948-2022")</f>
        <v/>
      </c>
      <c r="Y56">
        <f>HYPERLINK("https://klasma.github.io/Logging_0580/tillsynsmail/A 59948-2022 tillsynsbegäran mail.docx", "A 59948-2022")</f>
        <v/>
      </c>
    </row>
    <row r="57" ht="15" customHeight="1">
      <c r="A57" t="inlineStr">
        <is>
          <t>A 27403-2025</t>
        </is>
      </c>
      <c r="B57" s="1" t="n">
        <v>45812.72518518518</v>
      </c>
      <c r="C57" s="1" t="n">
        <v>46030</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43989-2025</t>
        </is>
      </c>
      <c r="B58" s="1" t="n">
        <v>45915.44128472222</v>
      </c>
      <c r="C58" s="1" t="n">
        <v>46030</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44760-2025</t>
        </is>
      </c>
      <c r="B59" s="1" t="n">
        <v>45917.71873842592</v>
      </c>
      <c r="C59" s="1" t="n">
        <v>46030</v>
      </c>
      <c r="D59" t="inlineStr">
        <is>
          <t>ÖSTERGÖTLANDS LÄN</t>
        </is>
      </c>
      <c r="E59" t="inlineStr">
        <is>
          <t>LINKÖPING</t>
        </is>
      </c>
      <c r="G59" t="n">
        <v>0.9</v>
      </c>
      <c r="H59" t="n">
        <v>0</v>
      </c>
      <c r="I59" t="n">
        <v>0</v>
      </c>
      <c r="J59" t="n">
        <v>1</v>
      </c>
      <c r="K59" t="n">
        <v>0</v>
      </c>
      <c r="L59" t="n">
        <v>0</v>
      </c>
      <c r="M59" t="n">
        <v>0</v>
      </c>
      <c r="N59" t="n">
        <v>0</v>
      </c>
      <c r="O59" t="n">
        <v>1</v>
      </c>
      <c r="P59" t="n">
        <v>0</v>
      </c>
      <c r="Q59" t="n">
        <v>1</v>
      </c>
      <c r="R59" s="2" t="inlineStr">
        <is>
          <t>Tallticka</t>
        </is>
      </c>
      <c r="S59">
        <f>HYPERLINK("https://klasma.github.io/Logging_0580/artfynd/A 44760-2025 artfynd.xlsx", "A 44760-2025")</f>
        <v/>
      </c>
      <c r="T59">
        <f>HYPERLINK("https://klasma.github.io/Logging_0580/kartor/A 44760-2025 karta.png", "A 44760-2025")</f>
        <v/>
      </c>
      <c r="V59">
        <f>HYPERLINK("https://klasma.github.io/Logging_0580/klagomål/A 44760-2025 FSC-klagomål.docx", "A 44760-2025")</f>
        <v/>
      </c>
      <c r="W59">
        <f>HYPERLINK("https://klasma.github.io/Logging_0580/klagomålsmail/A 44760-2025 FSC-klagomål mail.docx", "A 44760-2025")</f>
        <v/>
      </c>
      <c r="X59">
        <f>HYPERLINK("https://klasma.github.io/Logging_0580/tillsyn/A 44760-2025 tillsynsbegäran.docx", "A 44760-2025")</f>
        <v/>
      </c>
      <c r="Y59">
        <f>HYPERLINK("https://klasma.github.io/Logging_0580/tillsynsmail/A 44760-2025 tillsynsbegäran mail.docx", "A 44760-2025")</f>
        <v/>
      </c>
    </row>
    <row r="60" ht="15" customHeight="1">
      <c r="A60" t="inlineStr">
        <is>
          <t>A 37683-2024</t>
        </is>
      </c>
      <c r="B60" s="1" t="n">
        <v>45541.59120370371</v>
      </c>
      <c r="C60" s="1" t="n">
        <v>46030</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48347-2025</t>
        </is>
      </c>
      <c r="B61" s="1" t="n">
        <v>45932</v>
      </c>
      <c r="C61" s="1" t="n">
        <v>46030</v>
      </c>
      <c r="D61" t="inlineStr">
        <is>
          <t>ÖSTERGÖTLANDS LÄN</t>
        </is>
      </c>
      <c r="E61" t="inlineStr">
        <is>
          <t>LINKÖPING</t>
        </is>
      </c>
      <c r="F61" t="inlineStr">
        <is>
          <t>Övriga Aktiebolag</t>
        </is>
      </c>
      <c r="G61" t="n">
        <v>0.9</v>
      </c>
      <c r="H61" t="n">
        <v>0</v>
      </c>
      <c r="I61" t="n">
        <v>0</v>
      </c>
      <c r="J61" t="n">
        <v>1</v>
      </c>
      <c r="K61" t="n">
        <v>0</v>
      </c>
      <c r="L61" t="n">
        <v>0</v>
      </c>
      <c r="M61" t="n">
        <v>0</v>
      </c>
      <c r="N61" t="n">
        <v>0</v>
      </c>
      <c r="O61" t="n">
        <v>1</v>
      </c>
      <c r="P61" t="n">
        <v>0</v>
      </c>
      <c r="Q61" t="n">
        <v>1</v>
      </c>
      <c r="R61" s="2" t="inlineStr">
        <is>
          <t>Igelkott</t>
        </is>
      </c>
      <c r="S61">
        <f>HYPERLINK("https://klasma.github.io/Logging_0580/artfynd/A 48347-2025 artfynd.xlsx", "A 48347-2025")</f>
        <v/>
      </c>
      <c r="T61">
        <f>HYPERLINK("https://klasma.github.io/Logging_0580/kartor/A 48347-2025 karta.png", "A 48347-2025")</f>
        <v/>
      </c>
      <c r="V61">
        <f>HYPERLINK("https://klasma.github.io/Logging_0580/klagomål/A 48347-2025 FSC-klagomål.docx", "A 48347-2025")</f>
        <v/>
      </c>
      <c r="W61">
        <f>HYPERLINK("https://klasma.github.io/Logging_0580/klagomålsmail/A 48347-2025 FSC-klagomål mail.docx", "A 48347-2025")</f>
        <v/>
      </c>
      <c r="X61">
        <f>HYPERLINK("https://klasma.github.io/Logging_0580/tillsyn/A 48347-2025 tillsynsbegäran.docx", "A 48347-2025")</f>
        <v/>
      </c>
      <c r="Y61">
        <f>HYPERLINK("https://klasma.github.io/Logging_0580/tillsynsmail/A 48347-2025 tillsynsbegäran mail.docx", "A 48347-2025")</f>
        <v/>
      </c>
    </row>
    <row r="62" ht="15" customHeight="1">
      <c r="A62" t="inlineStr">
        <is>
          <t>A 48353-2025</t>
        </is>
      </c>
      <c r="B62" s="1" t="n">
        <v>45932</v>
      </c>
      <c r="C62" s="1" t="n">
        <v>46030</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48273-2025</t>
        </is>
      </c>
      <c r="B63" s="1" t="n">
        <v>45932</v>
      </c>
      <c r="C63" s="1" t="n">
        <v>46030</v>
      </c>
      <c r="D63" t="inlineStr">
        <is>
          <t>ÖSTERGÖTLANDS LÄN</t>
        </is>
      </c>
      <c r="E63" t="inlineStr">
        <is>
          <t>LINKÖPING</t>
        </is>
      </c>
      <c r="F63" t="inlineStr">
        <is>
          <t>Övriga Aktiebolag</t>
        </is>
      </c>
      <c r="G63" t="n">
        <v>4.6</v>
      </c>
      <c r="H63" t="n">
        <v>0</v>
      </c>
      <c r="I63" t="n">
        <v>0</v>
      </c>
      <c r="J63" t="n">
        <v>1</v>
      </c>
      <c r="K63" t="n">
        <v>0</v>
      </c>
      <c r="L63" t="n">
        <v>0</v>
      </c>
      <c r="M63" t="n">
        <v>0</v>
      </c>
      <c r="N63" t="n">
        <v>0</v>
      </c>
      <c r="O63" t="n">
        <v>1</v>
      </c>
      <c r="P63" t="n">
        <v>0</v>
      </c>
      <c r="Q63" t="n">
        <v>1</v>
      </c>
      <c r="R63" s="2" t="inlineStr">
        <is>
          <t>Barrviolspindling</t>
        </is>
      </c>
      <c r="S63">
        <f>HYPERLINK("https://klasma.github.io/Logging_0580/artfynd/A 48273-2025 artfynd.xlsx", "A 48273-2025")</f>
        <v/>
      </c>
      <c r="T63">
        <f>HYPERLINK("https://klasma.github.io/Logging_0580/kartor/A 48273-2025 karta.png", "A 48273-2025")</f>
        <v/>
      </c>
      <c r="V63">
        <f>HYPERLINK("https://klasma.github.io/Logging_0580/klagomål/A 48273-2025 FSC-klagomål.docx", "A 48273-2025")</f>
        <v/>
      </c>
      <c r="W63">
        <f>HYPERLINK("https://klasma.github.io/Logging_0580/klagomålsmail/A 48273-2025 FSC-klagomål mail.docx", "A 48273-2025")</f>
        <v/>
      </c>
      <c r="X63">
        <f>HYPERLINK("https://klasma.github.io/Logging_0580/tillsyn/A 48273-2025 tillsynsbegäran.docx", "A 48273-2025")</f>
        <v/>
      </c>
      <c r="Y63">
        <f>HYPERLINK("https://klasma.github.io/Logging_0580/tillsynsmail/A 48273-2025 tillsynsbegäran mail.docx", "A 48273-2025")</f>
        <v/>
      </c>
    </row>
    <row r="64" ht="15" customHeight="1">
      <c r="A64" t="inlineStr">
        <is>
          <t>A 48298-2025</t>
        </is>
      </c>
      <c r="B64" s="1" t="n">
        <v>45932</v>
      </c>
      <c r="C64" s="1" t="n">
        <v>46030</v>
      </c>
      <c r="D64" t="inlineStr">
        <is>
          <t>ÖSTERGÖTLANDS LÄN</t>
        </is>
      </c>
      <c r="E64" t="inlineStr">
        <is>
          <t>LINKÖPING</t>
        </is>
      </c>
      <c r="F64" t="inlineStr">
        <is>
          <t>Övriga Aktiebolag</t>
        </is>
      </c>
      <c r="G64" t="n">
        <v>1.7</v>
      </c>
      <c r="H64" t="n">
        <v>0</v>
      </c>
      <c r="I64" t="n">
        <v>1</v>
      </c>
      <c r="J64" t="n">
        <v>0</v>
      </c>
      <c r="K64" t="n">
        <v>0</v>
      </c>
      <c r="L64" t="n">
        <v>0</v>
      </c>
      <c r="M64" t="n">
        <v>0</v>
      </c>
      <c r="N64" t="n">
        <v>0</v>
      </c>
      <c r="O64" t="n">
        <v>0</v>
      </c>
      <c r="P64" t="n">
        <v>0</v>
      </c>
      <c r="Q64" t="n">
        <v>1</v>
      </c>
      <c r="R64" s="2" t="inlineStr">
        <is>
          <t>Västlig hakmossa</t>
        </is>
      </c>
      <c r="S64">
        <f>HYPERLINK("https://klasma.github.io/Logging_0580/artfynd/A 48298-2025 artfynd.xlsx", "A 48298-2025")</f>
        <v/>
      </c>
      <c r="T64">
        <f>HYPERLINK("https://klasma.github.io/Logging_0580/kartor/A 48298-2025 karta.png", "A 48298-2025")</f>
        <v/>
      </c>
      <c r="V64">
        <f>HYPERLINK("https://klasma.github.io/Logging_0580/klagomål/A 48298-2025 FSC-klagomål.docx", "A 48298-2025")</f>
        <v/>
      </c>
      <c r="W64">
        <f>HYPERLINK("https://klasma.github.io/Logging_0580/klagomålsmail/A 48298-2025 FSC-klagomål mail.docx", "A 48298-2025")</f>
        <v/>
      </c>
      <c r="X64">
        <f>HYPERLINK("https://klasma.github.io/Logging_0580/tillsyn/A 48298-2025 tillsynsbegäran.docx", "A 48298-2025")</f>
        <v/>
      </c>
      <c r="Y64">
        <f>HYPERLINK("https://klasma.github.io/Logging_0580/tillsynsmail/A 48298-2025 tillsynsbegäran mail.docx", "A 48298-2025")</f>
        <v/>
      </c>
    </row>
    <row r="65" ht="15" customHeight="1">
      <c r="A65" t="inlineStr">
        <is>
          <t>A 56651-2023</t>
        </is>
      </c>
      <c r="B65" s="1" t="n">
        <v>45243</v>
      </c>
      <c r="C65" s="1" t="n">
        <v>46030</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46030</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50034-2025</t>
        </is>
      </c>
      <c r="B67" s="1" t="n">
        <v>45941</v>
      </c>
      <c r="C67" s="1" t="n">
        <v>46030</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36723-2023</t>
        </is>
      </c>
      <c r="B68" s="1" t="n">
        <v>45153</v>
      </c>
      <c r="C68" s="1" t="n">
        <v>46030</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5911-2022</t>
        </is>
      </c>
      <c r="B69" s="1" t="n">
        <v>44597</v>
      </c>
      <c r="C69" s="1" t="n">
        <v>46030</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59474-2025</t>
        </is>
      </c>
      <c r="B70" s="1" t="n">
        <v>45989.58512731481</v>
      </c>
      <c r="C70" s="1" t="n">
        <v>46030</v>
      </c>
      <c r="D70" t="inlineStr">
        <is>
          <t>ÖSTERGÖTLANDS LÄN</t>
        </is>
      </c>
      <c r="E70" t="inlineStr">
        <is>
          <t>LINKÖPING</t>
        </is>
      </c>
      <c r="G70" t="n">
        <v>8</v>
      </c>
      <c r="H70" t="n">
        <v>0</v>
      </c>
      <c r="I70" t="n">
        <v>1</v>
      </c>
      <c r="J70" t="n">
        <v>0</v>
      </c>
      <c r="K70" t="n">
        <v>0</v>
      </c>
      <c r="L70" t="n">
        <v>0</v>
      </c>
      <c r="M70" t="n">
        <v>0</v>
      </c>
      <c r="N70" t="n">
        <v>0</v>
      </c>
      <c r="O70" t="n">
        <v>0</v>
      </c>
      <c r="P70" t="n">
        <v>0</v>
      </c>
      <c r="Q70" t="n">
        <v>1</v>
      </c>
      <c r="R70" s="2" t="inlineStr">
        <is>
          <t>Fällmossa</t>
        </is>
      </c>
      <c r="S70">
        <f>HYPERLINK("https://klasma.github.io/Logging_0580/artfynd/A 59474-2025 artfynd.xlsx", "A 59474-2025")</f>
        <v/>
      </c>
      <c r="T70">
        <f>HYPERLINK("https://klasma.github.io/Logging_0580/kartor/A 59474-2025 karta.png", "A 59474-2025")</f>
        <v/>
      </c>
      <c r="V70">
        <f>HYPERLINK("https://klasma.github.io/Logging_0580/klagomål/A 59474-2025 FSC-klagomål.docx", "A 59474-2025")</f>
        <v/>
      </c>
      <c r="W70">
        <f>HYPERLINK("https://klasma.github.io/Logging_0580/klagomålsmail/A 59474-2025 FSC-klagomål mail.docx", "A 59474-2025")</f>
        <v/>
      </c>
      <c r="X70">
        <f>HYPERLINK("https://klasma.github.io/Logging_0580/tillsyn/A 59474-2025 tillsynsbegäran.docx", "A 59474-2025")</f>
        <v/>
      </c>
      <c r="Y70">
        <f>HYPERLINK("https://klasma.github.io/Logging_0580/tillsynsmail/A 59474-2025 tillsynsbegäran mail.docx", "A 59474-2025")</f>
        <v/>
      </c>
    </row>
    <row r="71" ht="15" customHeight="1">
      <c r="A71" t="inlineStr">
        <is>
          <t>A 90-2024</t>
        </is>
      </c>
      <c r="B71" s="1" t="n">
        <v>45293</v>
      </c>
      <c r="C71" s="1" t="n">
        <v>46030</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46030</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15290-2025</t>
        </is>
      </c>
      <c r="B73" s="1" t="n">
        <v>45745.45288194445</v>
      </c>
      <c r="C73" s="1" t="n">
        <v>46030</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60311-2025</t>
        </is>
      </c>
      <c r="B74" s="1" t="n">
        <v>45994</v>
      </c>
      <c r="C74" s="1" t="n">
        <v>46030</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Gammelekslav</t>
        </is>
      </c>
      <c r="S74">
        <f>HYPERLINK("https://klasma.github.io/Logging_0580/artfynd/A 60311-2025 artfynd.xlsx", "A 60311-2025")</f>
        <v/>
      </c>
      <c r="T74">
        <f>HYPERLINK("https://klasma.github.io/Logging_0580/kartor/A 60311-2025 karta.png", "A 60311-2025")</f>
        <v/>
      </c>
      <c r="V74">
        <f>HYPERLINK("https://klasma.github.io/Logging_0580/klagomål/A 60311-2025 FSC-klagomål.docx", "A 60311-2025")</f>
        <v/>
      </c>
      <c r="W74">
        <f>HYPERLINK("https://klasma.github.io/Logging_0580/klagomålsmail/A 60311-2025 FSC-klagomål mail.docx", "A 60311-2025")</f>
        <v/>
      </c>
      <c r="X74">
        <f>HYPERLINK("https://klasma.github.io/Logging_0580/tillsyn/A 60311-2025 tillsynsbegäran.docx", "A 60311-2025")</f>
        <v/>
      </c>
      <c r="Y74">
        <f>HYPERLINK("https://klasma.github.io/Logging_0580/tillsynsmail/A 60311-2025 tillsynsbegäran mail.docx", "A 60311-2025")</f>
        <v/>
      </c>
    </row>
    <row r="75" ht="15" customHeight="1">
      <c r="A75" t="inlineStr">
        <is>
          <t>A 34881-2023</t>
        </is>
      </c>
      <c r="B75" s="1" t="n">
        <v>45140</v>
      </c>
      <c r="C75" s="1" t="n">
        <v>46030</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50471-2024</t>
        </is>
      </c>
      <c r="B76" s="1" t="n">
        <v>45601.47166666666</v>
      </c>
      <c r="C76" s="1" t="n">
        <v>46030</v>
      </c>
      <c r="D76" t="inlineStr">
        <is>
          <t>ÖSTERGÖTLANDS LÄN</t>
        </is>
      </c>
      <c r="E76" t="inlineStr">
        <is>
          <t>LINKÖPING</t>
        </is>
      </c>
      <c r="F76" t="inlineStr">
        <is>
          <t>Övriga Aktiebolag</t>
        </is>
      </c>
      <c r="G76" t="n">
        <v>2</v>
      </c>
      <c r="H76" t="n">
        <v>0</v>
      </c>
      <c r="I76" t="n">
        <v>1</v>
      </c>
      <c r="J76" t="n">
        <v>0</v>
      </c>
      <c r="K76" t="n">
        <v>0</v>
      </c>
      <c r="L76" t="n">
        <v>0</v>
      </c>
      <c r="M76" t="n">
        <v>0</v>
      </c>
      <c r="N76" t="n">
        <v>0</v>
      </c>
      <c r="O76" t="n">
        <v>0</v>
      </c>
      <c r="P76" t="n">
        <v>0</v>
      </c>
      <c r="Q76" t="n">
        <v>1</v>
      </c>
      <c r="R76" s="2" t="inlineStr">
        <is>
          <t>Västlig hakmossa</t>
        </is>
      </c>
      <c r="S76">
        <f>HYPERLINK("https://klasma.github.io/Logging_0580/artfynd/A 50471-2024 artfynd.xlsx", "A 50471-2024")</f>
        <v/>
      </c>
      <c r="T76">
        <f>HYPERLINK("https://klasma.github.io/Logging_0580/kartor/A 50471-2024 karta.png", "A 50471-2024")</f>
        <v/>
      </c>
      <c r="V76">
        <f>HYPERLINK("https://klasma.github.io/Logging_0580/klagomål/A 50471-2024 FSC-klagomål.docx", "A 50471-2024")</f>
        <v/>
      </c>
      <c r="W76">
        <f>HYPERLINK("https://klasma.github.io/Logging_0580/klagomålsmail/A 50471-2024 FSC-klagomål mail.docx", "A 50471-2024")</f>
        <v/>
      </c>
      <c r="X76">
        <f>HYPERLINK("https://klasma.github.io/Logging_0580/tillsyn/A 50471-2024 tillsynsbegäran.docx", "A 50471-2024")</f>
        <v/>
      </c>
      <c r="Y76">
        <f>HYPERLINK("https://klasma.github.io/Logging_0580/tillsynsmail/A 50471-2024 tillsynsbegäran mail.docx", "A 50471-2024")</f>
        <v/>
      </c>
    </row>
    <row r="77" ht="15" customHeight="1">
      <c r="A77" t="inlineStr">
        <is>
          <t>A 17389-2021</t>
        </is>
      </c>
      <c r="B77" s="1" t="n">
        <v>44298.96792824074</v>
      </c>
      <c r="C77" s="1" t="n">
        <v>46030</v>
      </c>
      <c r="D77" t="inlineStr">
        <is>
          <t>ÖSTERGÖTLANDS LÄN</t>
        </is>
      </c>
      <c r="E77" t="inlineStr">
        <is>
          <t>LINKÖPING</t>
        </is>
      </c>
      <c r="G77" t="n">
        <v>5.1</v>
      </c>
      <c r="H77" t="n">
        <v>0</v>
      </c>
      <c r="I77" t="n">
        <v>1</v>
      </c>
      <c r="J77" t="n">
        <v>0</v>
      </c>
      <c r="K77" t="n">
        <v>0</v>
      </c>
      <c r="L77" t="n">
        <v>0</v>
      </c>
      <c r="M77" t="n">
        <v>0</v>
      </c>
      <c r="N77" t="n">
        <v>0</v>
      </c>
      <c r="O77" t="n">
        <v>0</v>
      </c>
      <c r="P77" t="n">
        <v>0</v>
      </c>
      <c r="Q77" t="n">
        <v>1</v>
      </c>
      <c r="R77" s="2" t="inlineStr">
        <is>
          <t>Blomkålssvamp</t>
        </is>
      </c>
      <c r="S77">
        <f>HYPERLINK("https://klasma.github.io/Logging_0580/artfynd/A 17389-2021 artfynd.xlsx", "A 17389-2021")</f>
        <v/>
      </c>
      <c r="T77">
        <f>HYPERLINK("https://klasma.github.io/Logging_0580/kartor/A 17389-2021 karta.png", "A 17389-2021")</f>
        <v/>
      </c>
      <c r="V77">
        <f>HYPERLINK("https://klasma.github.io/Logging_0580/klagomål/A 17389-2021 FSC-klagomål.docx", "A 17389-2021")</f>
        <v/>
      </c>
      <c r="W77">
        <f>HYPERLINK("https://klasma.github.io/Logging_0580/klagomålsmail/A 17389-2021 FSC-klagomål mail.docx", "A 17389-2021")</f>
        <v/>
      </c>
      <c r="X77">
        <f>HYPERLINK("https://klasma.github.io/Logging_0580/tillsyn/A 17389-2021 tillsynsbegäran.docx", "A 17389-2021")</f>
        <v/>
      </c>
      <c r="Y77">
        <f>HYPERLINK("https://klasma.github.io/Logging_0580/tillsynsmail/A 17389-2021 tillsynsbegäran mail.docx", "A 17389-2021")</f>
        <v/>
      </c>
    </row>
    <row r="78" ht="15" customHeight="1">
      <c r="A78" t="inlineStr">
        <is>
          <t>A 56128-2022</t>
        </is>
      </c>
      <c r="B78" s="1" t="n">
        <v>44889</v>
      </c>
      <c r="C78" s="1" t="n">
        <v>46030</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40309-2024</t>
        </is>
      </c>
      <c r="B79" s="1" t="n">
        <v>45554.724375</v>
      </c>
      <c r="C79" s="1" t="n">
        <v>46030</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54835-2023</t>
        </is>
      </c>
      <c r="B80" s="1" t="n">
        <v>45236</v>
      </c>
      <c r="C80" s="1" t="n">
        <v>46030</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126-2024</t>
        </is>
      </c>
      <c r="B81" s="1" t="n">
        <v>45294</v>
      </c>
      <c r="C81" s="1" t="n">
        <v>46030</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3395-2023</t>
        </is>
      </c>
      <c r="B82" s="1" t="n">
        <v>44949</v>
      </c>
      <c r="C82" s="1" t="n">
        <v>46030</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46030</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46030</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46030</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46030</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46030</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46030</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46030</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46030</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46030</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46030</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46030</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46030</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46030</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46030</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46030</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46030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46030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46030</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46030</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46030</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46030</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46030</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46030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46030</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46030</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46030</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46030</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46030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46030</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46030</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46030</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46030</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46030</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46030</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46030</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46030</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46030</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46030</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46030</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46030</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46030</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46030</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46030</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46030</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46030</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46030</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46030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46030</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46030</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46030</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46030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46030</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46030</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46030</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46030</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46030</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46030</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46030</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46030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46030</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46030</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46030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46030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46030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46030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46030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46030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46030</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46030</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46030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46030</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46030</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46030</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46030</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46030</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46030</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46030</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46030</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46030</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46030</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46030</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46030</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46030</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46030</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46030</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46030</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46030</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46030</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46030</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46030</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46030</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46030</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46030</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46030</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46030</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46030</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46030</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46030</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46030</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5605-2022</t>
        </is>
      </c>
      <c r="B182" s="1" t="n">
        <v>44595</v>
      </c>
      <c r="C182" s="1" t="n">
        <v>46030</v>
      </c>
      <c r="D182" t="inlineStr">
        <is>
          <t>ÖSTERGÖTLANDS LÄN</t>
        </is>
      </c>
      <c r="E182" t="inlineStr">
        <is>
          <t>LINKÖPING</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46030</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46030</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46030</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46030</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61153-2021</t>
        </is>
      </c>
      <c r="B187" s="1" t="n">
        <v>44497</v>
      </c>
      <c r="C187" s="1" t="n">
        <v>46030</v>
      </c>
      <c r="D187" t="inlineStr">
        <is>
          <t>ÖSTERGÖTLANDS LÄN</t>
        </is>
      </c>
      <c r="E187" t="inlineStr">
        <is>
          <t>LINKÖPING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12413-2022</t>
        </is>
      </c>
      <c r="B188" s="1" t="n">
        <v>44638</v>
      </c>
      <c r="C188" s="1" t="n">
        <v>46030</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46030</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46030</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46030</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46030</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46030</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46030</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46030</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46030</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46030</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61298-2021</t>
        </is>
      </c>
      <c r="B198" s="1" t="n">
        <v>44498.62533564815</v>
      </c>
      <c r="C198" s="1" t="n">
        <v>46030</v>
      </c>
      <c r="D198" t="inlineStr">
        <is>
          <t>ÖSTERGÖTLANDS LÄN</t>
        </is>
      </c>
      <c r="E198" t="inlineStr">
        <is>
          <t>LINKÖPING</t>
        </is>
      </c>
      <c r="G198" t="n">
        <v>4.3</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46030</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46030</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46030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46030</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46030</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46030</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63489-2023</t>
        </is>
      </c>
      <c r="B205" s="1" t="n">
        <v>45274.66761574074</v>
      </c>
      <c r="C205" s="1" t="n">
        <v>46030</v>
      </c>
      <c r="D205" t="inlineStr">
        <is>
          <t>ÖSTERGÖTLANDS LÄN</t>
        </is>
      </c>
      <c r="E205" t="inlineStr">
        <is>
          <t>LINKÖPING</t>
        </is>
      </c>
      <c r="G205" t="n">
        <v>2.3</v>
      </c>
      <c r="H205" t="n">
        <v>0</v>
      </c>
      <c r="I205" t="n">
        <v>0</v>
      </c>
      <c r="J205" t="n">
        <v>0</v>
      </c>
      <c r="K205" t="n">
        <v>0</v>
      </c>
      <c r="L205" t="n">
        <v>0</v>
      </c>
      <c r="M205" t="n">
        <v>0</v>
      </c>
      <c r="N205" t="n">
        <v>0</v>
      </c>
      <c r="O205" t="n">
        <v>0</v>
      </c>
      <c r="P205" t="n">
        <v>0</v>
      </c>
      <c r="Q205" t="n">
        <v>0</v>
      </c>
      <c r="R205" s="2" t="inlineStr"/>
    </row>
    <row r="206" ht="15" customHeight="1">
      <c r="A206" t="inlineStr">
        <is>
          <t>A 28266-2024</t>
        </is>
      </c>
      <c r="B206" s="1" t="n">
        <v>45477.43600694444</v>
      </c>
      <c r="C206" s="1" t="n">
        <v>46030</v>
      </c>
      <c r="D206" t="inlineStr">
        <is>
          <t>ÖSTERGÖTLANDS LÄN</t>
        </is>
      </c>
      <c r="E206" t="inlineStr">
        <is>
          <t>LINKÖPING</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46030</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22772-2024</t>
        </is>
      </c>
      <c r="B208" s="1" t="n">
        <v>45448.46712962963</v>
      </c>
      <c r="C208" s="1" t="n">
        <v>46030</v>
      </c>
      <c r="D208" t="inlineStr">
        <is>
          <t>ÖSTERGÖTLANDS LÄN</t>
        </is>
      </c>
      <c r="E208" t="inlineStr">
        <is>
          <t>LINKÖPING</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46030</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20455-2024</t>
        </is>
      </c>
      <c r="B210" s="1" t="n">
        <v>45435.65314814815</v>
      </c>
      <c r="C210" s="1" t="n">
        <v>46030</v>
      </c>
      <c r="D210" t="inlineStr">
        <is>
          <t>ÖSTERGÖTLANDS LÄN</t>
        </is>
      </c>
      <c r="E210" t="inlineStr">
        <is>
          <t>LINKÖPING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25418-2023</t>
        </is>
      </c>
      <c r="B211" s="1" t="n">
        <v>45089</v>
      </c>
      <c r="C211" s="1" t="n">
        <v>46030</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54845-2023</t>
        </is>
      </c>
      <c r="B212" s="1" t="n">
        <v>45236</v>
      </c>
      <c r="C212" s="1" t="n">
        <v>46030</v>
      </c>
      <c r="D212" t="inlineStr">
        <is>
          <t>ÖSTERGÖTLANDS LÄN</t>
        </is>
      </c>
      <c r="E212" t="inlineStr">
        <is>
          <t>LINKÖPING</t>
        </is>
      </c>
      <c r="F212" t="inlineStr">
        <is>
          <t>Övriga Aktiebolag</t>
        </is>
      </c>
      <c r="G212" t="n">
        <v>5.7</v>
      </c>
      <c r="H212" t="n">
        <v>0</v>
      </c>
      <c r="I212" t="n">
        <v>0</v>
      </c>
      <c r="J212" t="n">
        <v>0</v>
      </c>
      <c r="K212" t="n">
        <v>0</v>
      </c>
      <c r="L212" t="n">
        <v>0</v>
      </c>
      <c r="M212" t="n">
        <v>0</v>
      </c>
      <c r="N212" t="n">
        <v>0</v>
      </c>
      <c r="O212" t="n">
        <v>0</v>
      </c>
      <c r="P212" t="n">
        <v>0</v>
      </c>
      <c r="Q212" t="n">
        <v>0</v>
      </c>
      <c r="R212" s="2" t="inlineStr"/>
    </row>
    <row r="213" ht="15" customHeight="1">
      <c r="A213" t="inlineStr">
        <is>
          <t>A 224-2024</t>
        </is>
      </c>
      <c r="B213" s="1" t="n">
        <v>45294</v>
      </c>
      <c r="C213" s="1" t="n">
        <v>46030</v>
      </c>
      <c r="D213" t="inlineStr">
        <is>
          <t>ÖSTERGÖTLANDS LÄN</t>
        </is>
      </c>
      <c r="E213" t="inlineStr">
        <is>
          <t>LINKÖPING</t>
        </is>
      </c>
      <c r="G213" t="n">
        <v>2.8</v>
      </c>
      <c r="H213" t="n">
        <v>0</v>
      </c>
      <c r="I213" t="n">
        <v>0</v>
      </c>
      <c r="J213" t="n">
        <v>0</v>
      </c>
      <c r="K213" t="n">
        <v>0</v>
      </c>
      <c r="L213" t="n">
        <v>0</v>
      </c>
      <c r="M213" t="n">
        <v>0</v>
      </c>
      <c r="N213" t="n">
        <v>0</v>
      </c>
      <c r="O213" t="n">
        <v>0</v>
      </c>
      <c r="P213" t="n">
        <v>0</v>
      </c>
      <c r="Q213" t="n">
        <v>0</v>
      </c>
      <c r="R213" s="2" t="inlineStr"/>
    </row>
    <row r="214" ht="15" customHeight="1">
      <c r="A214" t="inlineStr">
        <is>
          <t>A 62488-2023</t>
        </is>
      </c>
      <c r="B214" s="1" t="n">
        <v>45268.5847337963</v>
      </c>
      <c r="C214" s="1" t="n">
        <v>46030</v>
      </c>
      <c r="D214" t="inlineStr">
        <is>
          <t>ÖSTERGÖTLANDS LÄN</t>
        </is>
      </c>
      <c r="E214" t="inlineStr">
        <is>
          <t>LINKÖPING</t>
        </is>
      </c>
      <c r="G214" t="n">
        <v>4.1</v>
      </c>
      <c r="H214" t="n">
        <v>0</v>
      </c>
      <c r="I214" t="n">
        <v>0</v>
      </c>
      <c r="J214" t="n">
        <v>0</v>
      </c>
      <c r="K214" t="n">
        <v>0</v>
      </c>
      <c r="L214" t="n">
        <v>0</v>
      </c>
      <c r="M214" t="n">
        <v>0</v>
      </c>
      <c r="N214" t="n">
        <v>0</v>
      </c>
      <c r="O214" t="n">
        <v>0</v>
      </c>
      <c r="P214" t="n">
        <v>0</v>
      </c>
      <c r="Q214" t="n">
        <v>0</v>
      </c>
      <c r="R214" s="2" t="inlineStr"/>
    </row>
    <row r="215" ht="15" customHeight="1">
      <c r="A215" t="inlineStr">
        <is>
          <t>A 24351-2024</t>
        </is>
      </c>
      <c r="B215" s="1" t="n">
        <v>45457.59011574074</v>
      </c>
      <c r="C215" s="1" t="n">
        <v>46030</v>
      </c>
      <c r="D215" t="inlineStr">
        <is>
          <t>ÖSTERGÖTLANDS LÄN</t>
        </is>
      </c>
      <c r="E215" t="inlineStr">
        <is>
          <t>LINKÖPING</t>
        </is>
      </c>
      <c r="G215" t="n">
        <v>11.9</v>
      </c>
      <c r="H215" t="n">
        <v>0</v>
      </c>
      <c r="I215" t="n">
        <v>0</v>
      </c>
      <c r="J215" t="n">
        <v>0</v>
      </c>
      <c r="K215" t="n">
        <v>0</v>
      </c>
      <c r="L215" t="n">
        <v>0</v>
      </c>
      <c r="M215" t="n">
        <v>0</v>
      </c>
      <c r="N215" t="n">
        <v>0</v>
      </c>
      <c r="O215" t="n">
        <v>0</v>
      </c>
      <c r="P215" t="n">
        <v>0</v>
      </c>
      <c r="Q215" t="n">
        <v>0</v>
      </c>
      <c r="R215" s="2" t="inlineStr"/>
    </row>
    <row r="216" ht="15" customHeight="1">
      <c r="A216" t="inlineStr">
        <is>
          <t>A 52796-2023</t>
        </is>
      </c>
      <c r="B216" s="1" t="n">
        <v>45219</v>
      </c>
      <c r="C216" s="1" t="n">
        <v>46030</v>
      </c>
      <c r="D216" t="inlineStr">
        <is>
          <t>ÖSTERGÖTLANDS LÄN</t>
        </is>
      </c>
      <c r="E216" t="inlineStr">
        <is>
          <t>LINKÖPING</t>
        </is>
      </c>
      <c r="F216" t="inlineStr">
        <is>
          <t>Övriga statliga verk och myndigheter</t>
        </is>
      </c>
      <c r="G216" t="n">
        <v>3.9</v>
      </c>
      <c r="H216" t="n">
        <v>0</v>
      </c>
      <c r="I216" t="n">
        <v>0</v>
      </c>
      <c r="J216" t="n">
        <v>0</v>
      </c>
      <c r="K216" t="n">
        <v>0</v>
      </c>
      <c r="L216" t="n">
        <v>0</v>
      </c>
      <c r="M216" t="n">
        <v>0</v>
      </c>
      <c r="N216" t="n">
        <v>0</v>
      </c>
      <c r="O216" t="n">
        <v>0</v>
      </c>
      <c r="P216" t="n">
        <v>0</v>
      </c>
      <c r="Q216" t="n">
        <v>0</v>
      </c>
      <c r="R216" s="2" t="inlineStr"/>
    </row>
    <row r="217" ht="15" customHeight="1">
      <c r="A217" t="inlineStr">
        <is>
          <t>A 30855-2022</t>
        </is>
      </c>
      <c r="B217" s="1" t="n">
        <v>44767</v>
      </c>
      <c r="C217" s="1" t="n">
        <v>46030</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57745-2022</t>
        </is>
      </c>
      <c r="B218" s="1" t="n">
        <v>44897.58119212963</v>
      </c>
      <c r="C218" s="1" t="n">
        <v>46030</v>
      </c>
      <c r="D218" t="inlineStr">
        <is>
          <t>ÖSTERGÖTLANDS LÄN</t>
        </is>
      </c>
      <c r="E218" t="inlineStr">
        <is>
          <t>LINKÖPING</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34877-2023</t>
        </is>
      </c>
      <c r="B219" s="1" t="n">
        <v>45140</v>
      </c>
      <c r="C219" s="1" t="n">
        <v>46030</v>
      </c>
      <c r="D219" t="inlineStr">
        <is>
          <t>ÖSTERGÖTLANDS LÄN</t>
        </is>
      </c>
      <c r="E219" t="inlineStr">
        <is>
          <t>LINKÖPING</t>
        </is>
      </c>
      <c r="G219" t="n">
        <v>1.9</v>
      </c>
      <c r="H219" t="n">
        <v>0</v>
      </c>
      <c r="I219" t="n">
        <v>0</v>
      </c>
      <c r="J219" t="n">
        <v>0</v>
      </c>
      <c r="K219" t="n">
        <v>0</v>
      </c>
      <c r="L219" t="n">
        <v>0</v>
      </c>
      <c r="M219" t="n">
        <v>0</v>
      </c>
      <c r="N219" t="n">
        <v>0</v>
      </c>
      <c r="O219" t="n">
        <v>0</v>
      </c>
      <c r="P219" t="n">
        <v>0</v>
      </c>
      <c r="Q219" t="n">
        <v>0</v>
      </c>
      <c r="R219" s="2" t="inlineStr"/>
    </row>
    <row r="220" ht="15" customHeight="1">
      <c r="A220" t="inlineStr">
        <is>
          <t>A 1993-2023</t>
        </is>
      </c>
      <c r="B220" s="1" t="n">
        <v>44939</v>
      </c>
      <c r="C220" s="1" t="n">
        <v>46030</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34889-2023</t>
        </is>
      </c>
      <c r="B221" s="1" t="n">
        <v>45140</v>
      </c>
      <c r="C221" s="1" t="n">
        <v>46030</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52220-2023</t>
        </is>
      </c>
      <c r="B222" s="1" t="n">
        <v>45217</v>
      </c>
      <c r="C222" s="1" t="n">
        <v>46030</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52225-2023</t>
        </is>
      </c>
      <c r="B223" s="1" t="n">
        <v>45217</v>
      </c>
      <c r="C223" s="1" t="n">
        <v>46030</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30856-2022</t>
        </is>
      </c>
      <c r="B224" s="1" t="n">
        <v>44767</v>
      </c>
      <c r="C224" s="1" t="n">
        <v>46030</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22771-2024</t>
        </is>
      </c>
      <c r="B225" s="1" t="n">
        <v>45448.46574074074</v>
      </c>
      <c r="C225" s="1" t="n">
        <v>46030</v>
      </c>
      <c r="D225" t="inlineStr">
        <is>
          <t>ÖSTERGÖTLANDS LÄN</t>
        </is>
      </c>
      <c r="E225" t="inlineStr">
        <is>
          <t>LINKÖPING</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46030</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56560-2023</t>
        </is>
      </c>
      <c r="B227" s="1" t="n">
        <v>45238</v>
      </c>
      <c r="C227" s="1" t="n">
        <v>46030</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52412-2023</t>
        </is>
      </c>
      <c r="B228" s="1" t="n">
        <v>45225.27888888889</v>
      </c>
      <c r="C228" s="1" t="n">
        <v>46030</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52413-2023</t>
        </is>
      </c>
      <c r="B229" s="1" t="n">
        <v>45225.27950231481</v>
      </c>
      <c r="C229" s="1" t="n">
        <v>46030</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7354-2025</t>
        </is>
      </c>
      <c r="B230" s="1" t="n">
        <v>45704.41174768518</v>
      </c>
      <c r="C230" s="1" t="n">
        <v>46030</v>
      </c>
      <c r="D230" t="inlineStr">
        <is>
          <t>ÖSTERGÖTLANDS LÄN</t>
        </is>
      </c>
      <c r="E230" t="inlineStr">
        <is>
          <t>LINKÖPING</t>
        </is>
      </c>
      <c r="G230" t="n">
        <v>4.8</v>
      </c>
      <c r="H230" t="n">
        <v>0</v>
      </c>
      <c r="I230" t="n">
        <v>0</v>
      </c>
      <c r="J230" t="n">
        <v>0</v>
      </c>
      <c r="K230" t="n">
        <v>0</v>
      </c>
      <c r="L230" t="n">
        <v>0</v>
      </c>
      <c r="M230" t="n">
        <v>0</v>
      </c>
      <c r="N230" t="n">
        <v>0</v>
      </c>
      <c r="O230" t="n">
        <v>0</v>
      </c>
      <c r="P230" t="n">
        <v>0</v>
      </c>
      <c r="Q230" t="n">
        <v>0</v>
      </c>
      <c r="R230" s="2" t="inlineStr"/>
    </row>
    <row r="231" ht="15" customHeight="1">
      <c r="A231" t="inlineStr">
        <is>
          <t>A 34928-2023</t>
        </is>
      </c>
      <c r="B231" s="1" t="n">
        <v>45142</v>
      </c>
      <c r="C231" s="1" t="n">
        <v>46030</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1263-2024</t>
        </is>
      </c>
      <c r="B232" s="1" t="n">
        <v>45302</v>
      </c>
      <c r="C232" s="1" t="n">
        <v>46030</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52531-2023</t>
        </is>
      </c>
      <c r="B233" s="1" t="n">
        <v>45225</v>
      </c>
      <c r="C233" s="1" t="n">
        <v>46030</v>
      </c>
      <c r="D233" t="inlineStr">
        <is>
          <t>ÖSTERGÖTLANDS LÄN</t>
        </is>
      </c>
      <c r="E233" t="inlineStr">
        <is>
          <t>LINKÖPING</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9473-2024</t>
        </is>
      </c>
      <c r="B234" s="1" t="n">
        <v>45359.55474537037</v>
      </c>
      <c r="C234" s="1" t="n">
        <v>46030</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6859-2024</t>
        </is>
      </c>
      <c r="B235" s="1" t="n">
        <v>45342</v>
      </c>
      <c r="C235" s="1" t="n">
        <v>46030</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44287-2024</t>
        </is>
      </c>
      <c r="B236" s="1" t="n">
        <v>45573.50582175926</v>
      </c>
      <c r="C236" s="1" t="n">
        <v>46030</v>
      </c>
      <c r="D236" t="inlineStr">
        <is>
          <t>ÖSTERGÖTLANDS LÄN</t>
        </is>
      </c>
      <c r="E236" t="inlineStr">
        <is>
          <t>LINKÖPING</t>
        </is>
      </c>
      <c r="G236" t="n">
        <v>12.7</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46030</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20291-2025</t>
        </is>
      </c>
      <c r="B238" s="1" t="n">
        <v>45774.74288194445</v>
      </c>
      <c r="C238" s="1" t="n">
        <v>46030</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20293-2025</t>
        </is>
      </c>
      <c r="B239" s="1" t="n">
        <v>45774.74611111111</v>
      </c>
      <c r="C239" s="1" t="n">
        <v>46030</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22364-2025</t>
        </is>
      </c>
      <c r="B240" s="1" t="n">
        <v>45786.46930555555</v>
      </c>
      <c r="C240" s="1" t="n">
        <v>46030</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55165-2025</t>
        </is>
      </c>
      <c r="B241" s="1" t="n">
        <v>45968.48194444444</v>
      </c>
      <c r="C241" s="1" t="n">
        <v>46030</v>
      </c>
      <c r="D241" t="inlineStr">
        <is>
          <t>ÖSTERGÖTLANDS LÄN</t>
        </is>
      </c>
      <c r="E241" t="inlineStr">
        <is>
          <t>LINKÖPING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572-2025</t>
        </is>
      </c>
      <c r="B242" s="1" t="n">
        <v>45664.56349537037</v>
      </c>
      <c r="C242" s="1" t="n">
        <v>46030</v>
      </c>
      <c r="D242" t="inlineStr">
        <is>
          <t>ÖSTERGÖTLANDS LÄN</t>
        </is>
      </c>
      <c r="E242" t="inlineStr">
        <is>
          <t>LINKÖPING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10797-2024</t>
        </is>
      </c>
      <c r="B243" s="1" t="n">
        <v>45369.6190162037</v>
      </c>
      <c r="C243" s="1" t="n">
        <v>46030</v>
      </c>
      <c r="D243" t="inlineStr">
        <is>
          <t>ÖSTERGÖTLANDS LÄN</t>
        </is>
      </c>
      <c r="E243" t="inlineStr">
        <is>
          <t>LINKÖPING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38580-2024</t>
        </is>
      </c>
      <c r="B244" s="1" t="n">
        <v>45546.64825231482</v>
      </c>
      <c r="C244" s="1" t="n">
        <v>46030</v>
      </c>
      <c r="D244" t="inlineStr">
        <is>
          <t>ÖSTERGÖTLANDS LÄN</t>
        </is>
      </c>
      <c r="E244" t="inlineStr">
        <is>
          <t>LINKÖPING</t>
        </is>
      </c>
      <c r="G244" t="n">
        <v>4.8</v>
      </c>
      <c r="H244" t="n">
        <v>0</v>
      </c>
      <c r="I244" t="n">
        <v>0</v>
      </c>
      <c r="J244" t="n">
        <v>0</v>
      </c>
      <c r="K244" t="n">
        <v>0</v>
      </c>
      <c r="L244" t="n">
        <v>0</v>
      </c>
      <c r="M244" t="n">
        <v>0</v>
      </c>
      <c r="N244" t="n">
        <v>0</v>
      </c>
      <c r="O244" t="n">
        <v>0</v>
      </c>
      <c r="P244" t="n">
        <v>0</v>
      </c>
      <c r="Q244" t="n">
        <v>0</v>
      </c>
      <c r="R244" s="2" t="inlineStr"/>
    </row>
    <row r="245" ht="15" customHeight="1">
      <c r="A245" t="inlineStr">
        <is>
          <t>A 57752-2023</t>
        </is>
      </c>
      <c r="B245" s="1" t="n">
        <v>45246.78474537037</v>
      </c>
      <c r="C245" s="1" t="n">
        <v>46030</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3041-2024</t>
        </is>
      </c>
      <c r="B246" s="1" t="n">
        <v>45316.34875</v>
      </c>
      <c r="C246" s="1" t="n">
        <v>46030</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50963-2021</t>
        </is>
      </c>
      <c r="B247" s="1" t="n">
        <v>44460</v>
      </c>
      <c r="C247" s="1" t="n">
        <v>46030</v>
      </c>
      <c r="D247" t="inlineStr">
        <is>
          <t>ÖSTERGÖTLANDS LÄN</t>
        </is>
      </c>
      <c r="E247" t="inlineStr">
        <is>
          <t>LINKÖPING</t>
        </is>
      </c>
      <c r="G247" t="n">
        <v>4.4</v>
      </c>
      <c r="H247" t="n">
        <v>0</v>
      </c>
      <c r="I247" t="n">
        <v>0</v>
      </c>
      <c r="J247" t="n">
        <v>0</v>
      </c>
      <c r="K247" t="n">
        <v>0</v>
      </c>
      <c r="L247" t="n">
        <v>0</v>
      </c>
      <c r="M247" t="n">
        <v>0</v>
      </c>
      <c r="N247" t="n">
        <v>0</v>
      </c>
      <c r="O247" t="n">
        <v>0</v>
      </c>
      <c r="P247" t="n">
        <v>0</v>
      </c>
      <c r="Q247" t="n">
        <v>0</v>
      </c>
      <c r="R247" s="2" t="inlineStr"/>
    </row>
    <row r="248" ht="15" customHeight="1">
      <c r="A248" t="inlineStr">
        <is>
          <t>A 61307-2021</t>
        </is>
      </c>
      <c r="B248" s="1" t="n">
        <v>44498.63928240741</v>
      </c>
      <c r="C248" s="1" t="n">
        <v>46030</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61325-2021</t>
        </is>
      </c>
      <c r="B249" s="1" t="n">
        <v>44498.66814814815</v>
      </c>
      <c r="C249" s="1" t="n">
        <v>46030</v>
      </c>
      <c r="D249" t="inlineStr">
        <is>
          <t>ÖSTERGÖTLANDS LÄN</t>
        </is>
      </c>
      <c r="E249" t="inlineStr">
        <is>
          <t>LINKÖPING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63665-2023</t>
        </is>
      </c>
      <c r="B250" s="1" t="n">
        <v>45275</v>
      </c>
      <c r="C250" s="1" t="n">
        <v>46030</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33867-2023</t>
        </is>
      </c>
      <c r="B251" s="1" t="n">
        <v>45133.94640046296</v>
      </c>
      <c r="C251" s="1" t="n">
        <v>46030</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29312-2024</t>
        </is>
      </c>
      <c r="B252" s="1" t="n">
        <v>45483</v>
      </c>
      <c r="C252" s="1" t="n">
        <v>46030</v>
      </c>
      <c r="D252" t="inlineStr">
        <is>
          <t>ÖSTERGÖTLANDS LÄN</t>
        </is>
      </c>
      <c r="E252" t="inlineStr">
        <is>
          <t>LINKÖPING</t>
        </is>
      </c>
      <c r="G252" t="n">
        <v>2.1</v>
      </c>
      <c r="H252" t="n">
        <v>0</v>
      </c>
      <c r="I252" t="n">
        <v>0</v>
      </c>
      <c r="J252" t="n">
        <v>0</v>
      </c>
      <c r="K252" t="n">
        <v>0</v>
      </c>
      <c r="L252" t="n">
        <v>0</v>
      </c>
      <c r="M252" t="n">
        <v>0</v>
      </c>
      <c r="N252" t="n">
        <v>0</v>
      </c>
      <c r="O252" t="n">
        <v>0</v>
      </c>
      <c r="P252" t="n">
        <v>0</v>
      </c>
      <c r="Q252" t="n">
        <v>0</v>
      </c>
      <c r="R252" s="2" t="inlineStr"/>
    </row>
    <row r="253" ht="15" customHeight="1">
      <c r="A253" t="inlineStr">
        <is>
          <t>A 23120-2025</t>
        </is>
      </c>
      <c r="B253" s="1" t="n">
        <v>45791.37481481482</v>
      </c>
      <c r="C253" s="1" t="n">
        <v>46030</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56113-2025</t>
        </is>
      </c>
      <c r="B254" s="1" t="n">
        <v>45973.73924768518</v>
      </c>
      <c r="C254" s="1" t="n">
        <v>46030</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56105-2025</t>
        </is>
      </c>
      <c r="B255" s="1" t="n">
        <v>45973.72855324074</v>
      </c>
      <c r="C255" s="1" t="n">
        <v>46030</v>
      </c>
      <c r="D255" t="inlineStr">
        <is>
          <t>ÖSTERGÖTLANDS LÄN</t>
        </is>
      </c>
      <c r="E255" t="inlineStr">
        <is>
          <t>LINKÖPING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3008-2023</t>
        </is>
      </c>
      <c r="B256" s="1" t="n">
        <v>44945.79784722222</v>
      </c>
      <c r="C256" s="1" t="n">
        <v>46030</v>
      </c>
      <c r="D256" t="inlineStr">
        <is>
          <t>ÖSTERGÖTLANDS LÄN</t>
        </is>
      </c>
      <c r="E256" t="inlineStr">
        <is>
          <t>LINKÖPING</t>
        </is>
      </c>
      <c r="G256" t="n">
        <v>19.3</v>
      </c>
      <c r="H256" t="n">
        <v>0</v>
      </c>
      <c r="I256" t="n">
        <v>0</v>
      </c>
      <c r="J256" t="n">
        <v>0</v>
      </c>
      <c r="K256" t="n">
        <v>0</v>
      </c>
      <c r="L256" t="n">
        <v>0</v>
      </c>
      <c r="M256" t="n">
        <v>0</v>
      </c>
      <c r="N256" t="n">
        <v>0</v>
      </c>
      <c r="O256" t="n">
        <v>0</v>
      </c>
      <c r="P256" t="n">
        <v>0</v>
      </c>
      <c r="Q256" t="n">
        <v>0</v>
      </c>
      <c r="R256" s="2" t="inlineStr"/>
    </row>
    <row r="257" ht="15" customHeight="1">
      <c r="A257" t="inlineStr">
        <is>
          <t>A 30985-2022</t>
        </is>
      </c>
      <c r="B257" s="1" t="n">
        <v>44768</v>
      </c>
      <c r="C257" s="1" t="n">
        <v>46030</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38317-2024</t>
        </is>
      </c>
      <c r="B258" s="1" t="n">
        <v>45545.65766203704</v>
      </c>
      <c r="C258" s="1" t="n">
        <v>46030</v>
      </c>
      <c r="D258" t="inlineStr">
        <is>
          <t>ÖSTERGÖTLANDS LÄN</t>
        </is>
      </c>
      <c r="E258" t="inlineStr">
        <is>
          <t>LINKÖPING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23768-2025</t>
        </is>
      </c>
      <c r="B259" s="1" t="n">
        <v>45793.47493055555</v>
      </c>
      <c r="C259" s="1" t="n">
        <v>46030</v>
      </c>
      <c r="D259" t="inlineStr">
        <is>
          <t>ÖSTERGÖTLANDS LÄN</t>
        </is>
      </c>
      <c r="E259" t="inlineStr">
        <is>
          <t>LINKÖPING</t>
        </is>
      </c>
      <c r="G259" t="n">
        <v>3.4</v>
      </c>
      <c r="H259" t="n">
        <v>0</v>
      </c>
      <c r="I259" t="n">
        <v>0</v>
      </c>
      <c r="J259" t="n">
        <v>0</v>
      </c>
      <c r="K259" t="n">
        <v>0</v>
      </c>
      <c r="L259" t="n">
        <v>0</v>
      </c>
      <c r="M259" t="n">
        <v>0</v>
      </c>
      <c r="N259" t="n">
        <v>0</v>
      </c>
      <c r="O259" t="n">
        <v>0</v>
      </c>
      <c r="P259" t="n">
        <v>0</v>
      </c>
      <c r="Q259" t="n">
        <v>0</v>
      </c>
      <c r="R259" s="2" t="inlineStr"/>
    </row>
    <row r="260" ht="15" customHeight="1">
      <c r="A260" t="inlineStr">
        <is>
          <t>A 56403-2025</t>
        </is>
      </c>
      <c r="B260" s="1" t="n">
        <v>45974</v>
      </c>
      <c r="C260" s="1" t="n">
        <v>46030</v>
      </c>
      <c r="D260" t="inlineStr">
        <is>
          <t>ÖSTERGÖTLANDS LÄN</t>
        </is>
      </c>
      <c r="E260" t="inlineStr">
        <is>
          <t>LINKÖPING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46030</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27264-2025</t>
        </is>
      </c>
      <c r="B262" s="1" t="n">
        <v>45812.4794212963</v>
      </c>
      <c r="C262" s="1" t="n">
        <v>46030</v>
      </c>
      <c r="D262" t="inlineStr">
        <is>
          <t>ÖSTERGÖTLANDS LÄN</t>
        </is>
      </c>
      <c r="E262" t="inlineStr">
        <is>
          <t>LINKÖPING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39074-2025</t>
        </is>
      </c>
      <c r="B263" s="1" t="n">
        <v>45888</v>
      </c>
      <c r="C263" s="1" t="n">
        <v>46030</v>
      </c>
      <c r="D263" t="inlineStr">
        <is>
          <t>ÖSTERGÖTLANDS LÄN</t>
        </is>
      </c>
      <c r="E263" t="inlineStr">
        <is>
          <t>LINKÖPING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72567-2021</t>
        </is>
      </c>
      <c r="B264" s="1" t="n">
        <v>44546.45023148148</v>
      </c>
      <c r="C264" s="1" t="n">
        <v>46030</v>
      </c>
      <c r="D264" t="inlineStr">
        <is>
          <t>ÖSTERGÖTLANDS LÄN</t>
        </is>
      </c>
      <c r="E264" t="inlineStr">
        <is>
          <t>LINKÖPING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58947-2022</t>
        </is>
      </c>
      <c r="B265" s="1" t="n">
        <v>44903.64769675926</v>
      </c>
      <c r="C265" s="1" t="n">
        <v>46030</v>
      </c>
      <c r="D265" t="inlineStr">
        <is>
          <t>ÖSTERGÖTLANDS LÄN</t>
        </is>
      </c>
      <c r="E265" t="inlineStr">
        <is>
          <t>LINKÖPING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48699-2024</t>
        </is>
      </c>
      <c r="B266" s="1" t="n">
        <v>45593.52091435185</v>
      </c>
      <c r="C266" s="1" t="n">
        <v>46030</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16665-2023</t>
        </is>
      </c>
      <c r="B267" s="1" t="n">
        <v>45030.5583912037</v>
      </c>
      <c r="C267" s="1" t="n">
        <v>46030</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56704-2025</t>
        </is>
      </c>
      <c r="B268" s="1" t="n">
        <v>45977.50608796296</v>
      </c>
      <c r="C268" s="1" t="n">
        <v>46030</v>
      </c>
      <c r="D268" t="inlineStr">
        <is>
          <t>ÖSTERGÖTLANDS LÄN</t>
        </is>
      </c>
      <c r="E268" t="inlineStr">
        <is>
          <t>LINKÖPING</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60001-2022</t>
        </is>
      </c>
      <c r="B269" s="1" t="n">
        <v>44909.47087962963</v>
      </c>
      <c r="C269" s="1" t="n">
        <v>46030</v>
      </c>
      <c r="D269" t="inlineStr">
        <is>
          <t>ÖSTERGÖTLANDS LÄN</t>
        </is>
      </c>
      <c r="E269" t="inlineStr">
        <is>
          <t>LINKÖPING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60013-2022</t>
        </is>
      </c>
      <c r="B270" s="1" t="n">
        <v>44909.47482638889</v>
      </c>
      <c r="C270" s="1" t="n">
        <v>46030</v>
      </c>
      <c r="D270" t="inlineStr">
        <is>
          <t>ÖSTERGÖTLANDS LÄN</t>
        </is>
      </c>
      <c r="E270" t="inlineStr">
        <is>
          <t>LINKÖPING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1211-2023</t>
        </is>
      </c>
      <c r="B271" s="1" t="n">
        <v>44930</v>
      </c>
      <c r="C271" s="1" t="n">
        <v>46030</v>
      </c>
      <c r="D271" t="inlineStr">
        <is>
          <t>ÖSTERGÖTLANDS LÄN</t>
        </is>
      </c>
      <c r="E271" t="inlineStr">
        <is>
          <t>LINKÖPING</t>
        </is>
      </c>
      <c r="F271" t="inlineStr">
        <is>
          <t>Övriga statliga verk och myndigheter</t>
        </is>
      </c>
      <c r="G271" t="n">
        <v>7.9</v>
      </c>
      <c r="H271" t="n">
        <v>0</v>
      </c>
      <c r="I271" t="n">
        <v>0</v>
      </c>
      <c r="J271" t="n">
        <v>0</v>
      </c>
      <c r="K271" t="n">
        <v>0</v>
      </c>
      <c r="L271" t="n">
        <v>0</v>
      </c>
      <c r="M271" t="n">
        <v>0</v>
      </c>
      <c r="N271" t="n">
        <v>0</v>
      </c>
      <c r="O271" t="n">
        <v>0</v>
      </c>
      <c r="P271" t="n">
        <v>0</v>
      </c>
      <c r="Q271" t="n">
        <v>0</v>
      </c>
      <c r="R271" s="2" t="inlineStr"/>
    </row>
    <row r="272" ht="15" customHeight="1">
      <c r="A272" t="inlineStr">
        <is>
          <t>A 40169-2025</t>
        </is>
      </c>
      <c r="B272" s="1" t="n">
        <v>45894.62824074074</v>
      </c>
      <c r="C272" s="1" t="n">
        <v>46030</v>
      </c>
      <c r="D272" t="inlineStr">
        <is>
          <t>ÖSTERGÖTLANDS LÄN</t>
        </is>
      </c>
      <c r="E272" t="inlineStr">
        <is>
          <t>LINKÖPING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38136-2023</t>
        </is>
      </c>
      <c r="B273" s="1" t="n">
        <v>45161.37310185185</v>
      </c>
      <c r="C273" s="1" t="n">
        <v>46030</v>
      </c>
      <c r="D273" t="inlineStr">
        <is>
          <t>ÖSTERGÖTLANDS LÄN</t>
        </is>
      </c>
      <c r="E273" t="inlineStr">
        <is>
          <t>LINKÖPING</t>
        </is>
      </c>
      <c r="G273" t="n">
        <v>5.6</v>
      </c>
      <c r="H273" t="n">
        <v>0</v>
      </c>
      <c r="I273" t="n">
        <v>0</v>
      </c>
      <c r="J273" t="n">
        <v>0</v>
      </c>
      <c r="K273" t="n">
        <v>0</v>
      </c>
      <c r="L273" t="n">
        <v>0</v>
      </c>
      <c r="M273" t="n">
        <v>0</v>
      </c>
      <c r="N273" t="n">
        <v>0</v>
      </c>
      <c r="O273" t="n">
        <v>0</v>
      </c>
      <c r="P273" t="n">
        <v>0</v>
      </c>
      <c r="Q273" t="n">
        <v>0</v>
      </c>
      <c r="R273" s="2" t="inlineStr"/>
    </row>
    <row r="274" ht="15" customHeight="1">
      <c r="A274" t="inlineStr">
        <is>
          <t>A 13911-2025</t>
        </is>
      </c>
      <c r="B274" s="1" t="n">
        <v>45737.64784722222</v>
      </c>
      <c r="C274" s="1" t="n">
        <v>46030</v>
      </c>
      <c r="D274" t="inlineStr">
        <is>
          <t>ÖSTERGÖTLANDS LÄN</t>
        </is>
      </c>
      <c r="E274" t="inlineStr">
        <is>
          <t>LINKÖPING</t>
        </is>
      </c>
      <c r="G274" t="n">
        <v>1.5</v>
      </c>
      <c r="H274" t="n">
        <v>0</v>
      </c>
      <c r="I274" t="n">
        <v>0</v>
      </c>
      <c r="J274" t="n">
        <v>0</v>
      </c>
      <c r="K274" t="n">
        <v>0</v>
      </c>
      <c r="L274" t="n">
        <v>0</v>
      </c>
      <c r="M274" t="n">
        <v>0</v>
      </c>
      <c r="N274" t="n">
        <v>0</v>
      </c>
      <c r="O274" t="n">
        <v>0</v>
      </c>
      <c r="P274" t="n">
        <v>0</v>
      </c>
      <c r="Q274" t="n">
        <v>0</v>
      </c>
      <c r="R274" s="2" t="inlineStr"/>
    </row>
    <row r="275" ht="15" customHeight="1">
      <c r="A275" t="inlineStr">
        <is>
          <t>A 44280-2024</t>
        </is>
      </c>
      <c r="B275" s="1" t="n">
        <v>45573.49461805556</v>
      </c>
      <c r="C275" s="1" t="n">
        <v>46030</v>
      </c>
      <c r="D275" t="inlineStr">
        <is>
          <t>ÖSTERGÖTLANDS LÄN</t>
        </is>
      </c>
      <c r="E275" t="inlineStr">
        <is>
          <t>LINKÖPING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12317-2025</t>
        </is>
      </c>
      <c r="B276" s="1" t="n">
        <v>45729.8487037037</v>
      </c>
      <c r="C276" s="1" t="n">
        <v>46030</v>
      </c>
      <c r="D276" t="inlineStr">
        <is>
          <t>ÖSTERGÖTLANDS LÄN</t>
        </is>
      </c>
      <c r="E276" t="inlineStr">
        <is>
          <t>LINKÖPING</t>
        </is>
      </c>
      <c r="G276" t="n">
        <v>8</v>
      </c>
      <c r="H276" t="n">
        <v>0</v>
      </c>
      <c r="I276" t="n">
        <v>0</v>
      </c>
      <c r="J276" t="n">
        <v>0</v>
      </c>
      <c r="K276" t="n">
        <v>0</v>
      </c>
      <c r="L276" t="n">
        <v>0</v>
      </c>
      <c r="M276" t="n">
        <v>0</v>
      </c>
      <c r="N276" t="n">
        <v>0</v>
      </c>
      <c r="O276" t="n">
        <v>0</v>
      </c>
      <c r="P276" t="n">
        <v>0</v>
      </c>
      <c r="Q276" t="n">
        <v>0</v>
      </c>
      <c r="R276" s="2" t="inlineStr"/>
    </row>
    <row r="277" ht="15" customHeight="1">
      <c r="A277" t="inlineStr">
        <is>
          <t>A 36557-2023</t>
        </is>
      </c>
      <c r="B277" s="1" t="n">
        <v>45153</v>
      </c>
      <c r="C277" s="1" t="n">
        <v>46030</v>
      </c>
      <c r="D277" t="inlineStr">
        <is>
          <t>ÖSTERGÖTLANDS LÄN</t>
        </is>
      </c>
      <c r="E277" t="inlineStr">
        <is>
          <t>LINKÖPING</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2085-2024</t>
        </is>
      </c>
      <c r="B278" s="1" t="n">
        <v>45309</v>
      </c>
      <c r="C278" s="1" t="n">
        <v>46030</v>
      </c>
      <c r="D278" t="inlineStr">
        <is>
          <t>ÖSTERGÖTLANDS LÄN</t>
        </is>
      </c>
      <c r="E278" t="inlineStr">
        <is>
          <t>LINKÖPING</t>
        </is>
      </c>
      <c r="G278" t="n">
        <v>4.5</v>
      </c>
      <c r="H278" t="n">
        <v>0</v>
      </c>
      <c r="I278" t="n">
        <v>0</v>
      </c>
      <c r="J278" t="n">
        <v>0</v>
      </c>
      <c r="K278" t="n">
        <v>0</v>
      </c>
      <c r="L278" t="n">
        <v>0</v>
      </c>
      <c r="M278" t="n">
        <v>0</v>
      </c>
      <c r="N278" t="n">
        <v>0</v>
      </c>
      <c r="O278" t="n">
        <v>0</v>
      </c>
      <c r="P278" t="n">
        <v>0</v>
      </c>
      <c r="Q278" t="n">
        <v>0</v>
      </c>
      <c r="R278" s="2" t="inlineStr"/>
    </row>
    <row r="279" ht="15" customHeight="1">
      <c r="A279" t="inlineStr">
        <is>
          <t>A 30468-2023</t>
        </is>
      </c>
      <c r="B279" s="1" t="n">
        <v>45111.58732638889</v>
      </c>
      <c r="C279" s="1" t="n">
        <v>46030</v>
      </c>
      <c r="D279" t="inlineStr">
        <is>
          <t>ÖSTERGÖTLANDS LÄN</t>
        </is>
      </c>
      <c r="E279" t="inlineStr">
        <is>
          <t>LINKÖPING</t>
        </is>
      </c>
      <c r="G279" t="n">
        <v>10.1</v>
      </c>
      <c r="H279" t="n">
        <v>0</v>
      </c>
      <c r="I279" t="n">
        <v>0</v>
      </c>
      <c r="J279" t="n">
        <v>0</v>
      </c>
      <c r="K279" t="n">
        <v>0</v>
      </c>
      <c r="L279" t="n">
        <v>0</v>
      </c>
      <c r="M279" t="n">
        <v>0</v>
      </c>
      <c r="N279" t="n">
        <v>0</v>
      </c>
      <c r="O279" t="n">
        <v>0</v>
      </c>
      <c r="P279" t="n">
        <v>0</v>
      </c>
      <c r="Q279" t="n">
        <v>0</v>
      </c>
      <c r="R279" s="2" t="inlineStr"/>
    </row>
    <row r="280" ht="15" customHeight="1">
      <c r="A280" t="inlineStr">
        <is>
          <t>A 38715-2023</t>
        </is>
      </c>
      <c r="B280" s="1" t="n">
        <v>45160</v>
      </c>
      <c r="C280" s="1" t="n">
        <v>46030</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34864-2023</t>
        </is>
      </c>
      <c r="B281" s="1" t="n">
        <v>45141</v>
      </c>
      <c r="C281" s="1" t="n">
        <v>46030</v>
      </c>
      <c r="D281" t="inlineStr">
        <is>
          <t>ÖSTERGÖTLANDS LÄN</t>
        </is>
      </c>
      <c r="E281" t="inlineStr">
        <is>
          <t>LINKÖPING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41511-2025</t>
        </is>
      </c>
      <c r="B282" s="1" t="n">
        <v>45901.53839120371</v>
      </c>
      <c r="C282" s="1" t="n">
        <v>46030</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46687-2021</t>
        </is>
      </c>
      <c r="B283" s="1" t="n">
        <v>44445</v>
      </c>
      <c r="C283" s="1" t="n">
        <v>46030</v>
      </c>
      <c r="D283" t="inlineStr">
        <is>
          <t>ÖSTERGÖTLANDS LÄN</t>
        </is>
      </c>
      <c r="E283" t="inlineStr">
        <is>
          <t>LINKÖPING</t>
        </is>
      </c>
      <c r="F283" t="inlineStr">
        <is>
          <t>Övriga statliga verk och myndigheter</t>
        </is>
      </c>
      <c r="G283" t="n">
        <v>2.3</v>
      </c>
      <c r="H283" t="n">
        <v>0</v>
      </c>
      <c r="I283" t="n">
        <v>0</v>
      </c>
      <c r="J283" t="n">
        <v>0</v>
      </c>
      <c r="K283" t="n">
        <v>0</v>
      </c>
      <c r="L283" t="n">
        <v>0</v>
      </c>
      <c r="M283" t="n">
        <v>0</v>
      </c>
      <c r="N283" t="n">
        <v>0</v>
      </c>
      <c r="O283" t="n">
        <v>0</v>
      </c>
      <c r="P283" t="n">
        <v>0</v>
      </c>
      <c r="Q283" t="n">
        <v>0</v>
      </c>
      <c r="R283" s="2" t="inlineStr"/>
    </row>
    <row r="284" ht="15" customHeight="1">
      <c r="A284" t="inlineStr">
        <is>
          <t>A 26002-2025</t>
        </is>
      </c>
      <c r="B284" s="1" t="n">
        <v>45804.66534722222</v>
      </c>
      <c r="C284" s="1" t="n">
        <v>46030</v>
      </c>
      <c r="D284" t="inlineStr">
        <is>
          <t>ÖSTERGÖTLANDS LÄN</t>
        </is>
      </c>
      <c r="E284" t="inlineStr">
        <is>
          <t>LINKÖPING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17103-2025</t>
        </is>
      </c>
      <c r="B285" s="1" t="n">
        <v>45755.66143518518</v>
      </c>
      <c r="C285" s="1" t="n">
        <v>46030</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25996-2025</t>
        </is>
      </c>
      <c r="B286" s="1" t="n">
        <v>45804.65851851852</v>
      </c>
      <c r="C286" s="1" t="n">
        <v>46030</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41706-2025</t>
        </is>
      </c>
      <c r="B287" s="1" t="n">
        <v>45902.42209490741</v>
      </c>
      <c r="C287" s="1" t="n">
        <v>46030</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3042-2024</t>
        </is>
      </c>
      <c r="B288" s="1" t="n">
        <v>45316.35028935185</v>
      </c>
      <c r="C288" s="1" t="n">
        <v>46030</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40618-2021</t>
        </is>
      </c>
      <c r="B289" s="1" t="n">
        <v>44420.49575231481</v>
      </c>
      <c r="C289" s="1" t="n">
        <v>46030</v>
      </c>
      <c r="D289" t="inlineStr">
        <is>
          <t>ÖSTERGÖTLANDS LÄN</t>
        </is>
      </c>
      <c r="E289" t="inlineStr">
        <is>
          <t>LINKÖPING</t>
        </is>
      </c>
      <c r="G289" t="n">
        <v>2.3</v>
      </c>
      <c r="H289" t="n">
        <v>0</v>
      </c>
      <c r="I289" t="n">
        <v>0</v>
      </c>
      <c r="J289" t="n">
        <v>0</v>
      </c>
      <c r="K289" t="n">
        <v>0</v>
      </c>
      <c r="L289" t="n">
        <v>0</v>
      </c>
      <c r="M289" t="n">
        <v>0</v>
      </c>
      <c r="N289" t="n">
        <v>0</v>
      </c>
      <c r="O289" t="n">
        <v>0</v>
      </c>
      <c r="P289" t="n">
        <v>0</v>
      </c>
      <c r="Q289" t="n">
        <v>0</v>
      </c>
      <c r="R289" s="2" t="inlineStr"/>
    </row>
    <row r="290" ht="15" customHeight="1">
      <c r="A290" t="inlineStr">
        <is>
          <t>A 56180-2024</t>
        </is>
      </c>
      <c r="B290" s="1" t="n">
        <v>45624.56611111111</v>
      </c>
      <c r="C290" s="1" t="n">
        <v>46030</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29293-2025</t>
        </is>
      </c>
      <c r="B291" s="1" t="n">
        <v>45824</v>
      </c>
      <c r="C291" s="1" t="n">
        <v>46030</v>
      </c>
      <c r="D291" t="inlineStr">
        <is>
          <t>ÖSTERGÖTLANDS LÄN</t>
        </is>
      </c>
      <c r="E291" t="inlineStr">
        <is>
          <t>LINKÖPING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42624-2025</t>
        </is>
      </c>
      <c r="B292" s="1" t="n">
        <v>45905</v>
      </c>
      <c r="C292" s="1" t="n">
        <v>46030</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42626-2025</t>
        </is>
      </c>
      <c r="B293" s="1" t="n">
        <v>45905</v>
      </c>
      <c r="C293" s="1" t="n">
        <v>46030</v>
      </c>
      <c r="D293" t="inlineStr">
        <is>
          <t>ÖSTERGÖTLANDS LÄN</t>
        </is>
      </c>
      <c r="E293" t="inlineStr">
        <is>
          <t>LINKÖPING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30471-2023</t>
        </is>
      </c>
      <c r="B294" s="1" t="n">
        <v>45111.58931712963</v>
      </c>
      <c r="C294" s="1" t="n">
        <v>46030</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42623-2025</t>
        </is>
      </c>
      <c r="B295" s="1" t="n">
        <v>45905</v>
      </c>
      <c r="C295" s="1" t="n">
        <v>46030</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227-2024</t>
        </is>
      </c>
      <c r="B296" s="1" t="n">
        <v>45294.73603009259</v>
      </c>
      <c r="C296" s="1" t="n">
        <v>46030</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44155-2024</t>
        </is>
      </c>
      <c r="B297" s="1" t="n">
        <v>45572.68226851852</v>
      </c>
      <c r="C297" s="1" t="n">
        <v>46030</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30434-2024</t>
        </is>
      </c>
      <c r="B298" s="1" t="n">
        <v>45491.69811342593</v>
      </c>
      <c r="C298" s="1" t="n">
        <v>46030</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56917-2022</t>
        </is>
      </c>
      <c r="B299" s="1" t="n">
        <v>44894</v>
      </c>
      <c r="C299" s="1" t="n">
        <v>46030</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57766-2023</t>
        </is>
      </c>
      <c r="B300" s="1" t="n">
        <v>45246</v>
      </c>
      <c r="C300" s="1" t="n">
        <v>46030</v>
      </c>
      <c r="D300" t="inlineStr">
        <is>
          <t>ÖSTERGÖTLANDS LÄN</t>
        </is>
      </c>
      <c r="E300" t="inlineStr">
        <is>
          <t>LINKÖPING</t>
        </is>
      </c>
      <c r="F300" t="inlineStr">
        <is>
          <t>Allmännings- och besparingsskogar</t>
        </is>
      </c>
      <c r="G300" t="n">
        <v>12.8</v>
      </c>
      <c r="H300" t="n">
        <v>0</v>
      </c>
      <c r="I300" t="n">
        <v>0</v>
      </c>
      <c r="J300" t="n">
        <v>0</v>
      </c>
      <c r="K300" t="n">
        <v>0</v>
      </c>
      <c r="L300" t="n">
        <v>0</v>
      </c>
      <c r="M300" t="n">
        <v>0</v>
      </c>
      <c r="N300" t="n">
        <v>0</v>
      </c>
      <c r="O300" t="n">
        <v>0</v>
      </c>
      <c r="P300" t="n">
        <v>0</v>
      </c>
      <c r="Q300" t="n">
        <v>0</v>
      </c>
      <c r="R300" s="2" t="inlineStr"/>
    </row>
    <row r="301" ht="15" customHeight="1">
      <c r="A301" t="inlineStr">
        <is>
          <t>A 27950-2025</t>
        </is>
      </c>
      <c r="B301" s="1" t="n">
        <v>45817.52960648148</v>
      </c>
      <c r="C301" s="1" t="n">
        <v>46030</v>
      </c>
      <c r="D301" t="inlineStr">
        <is>
          <t>ÖSTERGÖTLANDS LÄN</t>
        </is>
      </c>
      <c r="E301" t="inlineStr">
        <is>
          <t>LINKÖPING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25568-2024</t>
        </is>
      </c>
      <c r="B302" s="1" t="n">
        <v>45463.58699074074</v>
      </c>
      <c r="C302" s="1" t="n">
        <v>46030</v>
      </c>
      <c r="D302" t="inlineStr">
        <is>
          <t>ÖSTERGÖTLANDS LÄN</t>
        </is>
      </c>
      <c r="E302" t="inlineStr">
        <is>
          <t>LINKÖPING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27797-2025</t>
        </is>
      </c>
      <c r="B303" s="1" t="n">
        <v>45816.80521990741</v>
      </c>
      <c r="C303" s="1" t="n">
        <v>46030</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27798-2025</t>
        </is>
      </c>
      <c r="B304" s="1" t="n">
        <v>45816.81532407407</v>
      </c>
      <c r="C304" s="1" t="n">
        <v>46030</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22833-2023</t>
        </is>
      </c>
      <c r="B305" s="1" t="n">
        <v>45071</v>
      </c>
      <c r="C305" s="1" t="n">
        <v>46030</v>
      </c>
      <c r="D305" t="inlineStr">
        <is>
          <t>ÖSTERGÖTLANDS LÄN</t>
        </is>
      </c>
      <c r="E305" t="inlineStr">
        <is>
          <t>LINKÖPING</t>
        </is>
      </c>
      <c r="F305" t="inlineStr">
        <is>
          <t>Kommuner</t>
        </is>
      </c>
      <c r="G305" t="n">
        <v>1</v>
      </c>
      <c r="H305" t="n">
        <v>0</v>
      </c>
      <c r="I305" t="n">
        <v>0</v>
      </c>
      <c r="J305" t="n">
        <v>0</v>
      </c>
      <c r="K305" t="n">
        <v>0</v>
      </c>
      <c r="L305" t="n">
        <v>0</v>
      </c>
      <c r="M305" t="n">
        <v>0</v>
      </c>
      <c r="N305" t="n">
        <v>0</v>
      </c>
      <c r="O305" t="n">
        <v>0</v>
      </c>
      <c r="P305" t="n">
        <v>0</v>
      </c>
      <c r="Q305" t="n">
        <v>0</v>
      </c>
      <c r="R305" s="2" t="inlineStr"/>
    </row>
    <row r="306" ht="15" customHeight="1">
      <c r="A306" t="inlineStr">
        <is>
          <t>A 44170-2025</t>
        </is>
      </c>
      <c r="B306" s="1" t="n">
        <v>45915.59864583334</v>
      </c>
      <c r="C306" s="1" t="n">
        <v>46030</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28200-2025</t>
        </is>
      </c>
      <c r="B307" s="1" t="n">
        <v>45818.4428125</v>
      </c>
      <c r="C307" s="1" t="n">
        <v>46030</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28204-2025</t>
        </is>
      </c>
      <c r="B308" s="1" t="n">
        <v>45818.4477662037</v>
      </c>
      <c r="C308" s="1" t="n">
        <v>46030</v>
      </c>
      <c r="D308" t="inlineStr">
        <is>
          <t>ÖSTERGÖTLANDS LÄN</t>
        </is>
      </c>
      <c r="E308" t="inlineStr">
        <is>
          <t>LINKÖPING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28416-2025</t>
        </is>
      </c>
      <c r="B309" s="1" t="n">
        <v>45819.35346064815</v>
      </c>
      <c r="C309" s="1" t="n">
        <v>46030</v>
      </c>
      <c r="D309" t="inlineStr">
        <is>
          <t>ÖSTERGÖTLANDS LÄN</t>
        </is>
      </c>
      <c r="E309" t="inlineStr">
        <is>
          <t>LINKÖPING</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46030</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2997-2025</t>
        </is>
      </c>
      <c r="B311" s="1" t="n">
        <v>45678.54631944445</v>
      </c>
      <c r="C311" s="1" t="n">
        <v>46030</v>
      </c>
      <c r="D311" t="inlineStr">
        <is>
          <t>ÖSTERGÖTLANDS LÄN</t>
        </is>
      </c>
      <c r="E311" t="inlineStr">
        <is>
          <t>LINKÖPING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43758-2025</t>
        </is>
      </c>
      <c r="B312" s="1" t="n">
        <v>45912.47711805555</v>
      </c>
      <c r="C312" s="1" t="n">
        <v>46030</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43753-2025</t>
        </is>
      </c>
      <c r="B313" s="1" t="n">
        <v>45912.4715625</v>
      </c>
      <c r="C313" s="1" t="n">
        <v>46030</v>
      </c>
      <c r="D313" t="inlineStr">
        <is>
          <t>ÖSTERGÖTLANDS LÄN</t>
        </is>
      </c>
      <c r="E313" t="inlineStr">
        <is>
          <t>LINKÖPING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41345-2021</t>
        </is>
      </c>
      <c r="B314" s="1" t="n">
        <v>44424.61851851852</v>
      </c>
      <c r="C314" s="1" t="n">
        <v>46030</v>
      </c>
      <c r="D314" t="inlineStr">
        <is>
          <t>ÖSTERGÖTLANDS LÄN</t>
        </is>
      </c>
      <c r="E314" t="inlineStr">
        <is>
          <t>LINKÖPING</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28398-2025</t>
        </is>
      </c>
      <c r="B315" s="1" t="n">
        <v>45819.34208333334</v>
      </c>
      <c r="C315" s="1" t="n">
        <v>46030</v>
      </c>
      <c r="D315" t="inlineStr">
        <is>
          <t>ÖSTERGÖTLANDS LÄN</t>
        </is>
      </c>
      <c r="E315" t="inlineStr">
        <is>
          <t>LINKÖPING</t>
        </is>
      </c>
      <c r="F315" t="inlineStr">
        <is>
          <t>Sveaskog</t>
        </is>
      </c>
      <c r="G315" t="n">
        <v>7.9</v>
      </c>
      <c r="H315" t="n">
        <v>0</v>
      </c>
      <c r="I315" t="n">
        <v>0</v>
      </c>
      <c r="J315" t="n">
        <v>0</v>
      </c>
      <c r="K315" t="n">
        <v>0</v>
      </c>
      <c r="L315" t="n">
        <v>0</v>
      </c>
      <c r="M315" t="n">
        <v>0</v>
      </c>
      <c r="N315" t="n">
        <v>0</v>
      </c>
      <c r="O315" t="n">
        <v>0</v>
      </c>
      <c r="P315" t="n">
        <v>0</v>
      </c>
      <c r="Q315" t="n">
        <v>0</v>
      </c>
      <c r="R315" s="2" t="inlineStr"/>
    </row>
    <row r="316" ht="15" customHeight="1">
      <c r="A316" t="inlineStr">
        <is>
          <t>A 28209-2025</t>
        </is>
      </c>
      <c r="B316" s="1" t="n">
        <v>45818.45112268518</v>
      </c>
      <c r="C316" s="1" t="n">
        <v>46030</v>
      </c>
      <c r="D316" t="inlineStr">
        <is>
          <t>ÖSTERGÖTLANDS LÄN</t>
        </is>
      </c>
      <c r="E316" t="inlineStr">
        <is>
          <t>LINKÖPING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13266-2025</t>
        </is>
      </c>
      <c r="B317" s="1" t="n">
        <v>45735.53318287037</v>
      </c>
      <c r="C317" s="1" t="n">
        <v>46030</v>
      </c>
      <c r="D317" t="inlineStr">
        <is>
          <t>ÖSTERGÖTLANDS LÄN</t>
        </is>
      </c>
      <c r="E317" t="inlineStr">
        <is>
          <t>LINKÖPING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16213-2025</t>
        </is>
      </c>
      <c r="B318" s="1" t="n">
        <v>45750.62740740741</v>
      </c>
      <c r="C318" s="1" t="n">
        <v>46030</v>
      </c>
      <c r="D318" t="inlineStr">
        <is>
          <t>ÖSTERGÖTLANDS LÄN</t>
        </is>
      </c>
      <c r="E318" t="inlineStr">
        <is>
          <t>LINKÖPING</t>
        </is>
      </c>
      <c r="G318" t="n">
        <v>3.4</v>
      </c>
      <c r="H318" t="n">
        <v>0</v>
      </c>
      <c r="I318" t="n">
        <v>0</v>
      </c>
      <c r="J318" t="n">
        <v>0</v>
      </c>
      <c r="K318" t="n">
        <v>0</v>
      </c>
      <c r="L318" t="n">
        <v>0</v>
      </c>
      <c r="M318" t="n">
        <v>0</v>
      </c>
      <c r="N318" t="n">
        <v>0</v>
      </c>
      <c r="O318" t="n">
        <v>0</v>
      </c>
      <c r="P318" t="n">
        <v>0</v>
      </c>
      <c r="Q318" t="n">
        <v>0</v>
      </c>
      <c r="R318" s="2" t="inlineStr"/>
    </row>
    <row r="319" ht="15" customHeight="1">
      <c r="A319" t="inlineStr">
        <is>
          <t>A 44759-2025</t>
        </is>
      </c>
      <c r="B319" s="1" t="n">
        <v>45917.7152662037</v>
      </c>
      <c r="C319" s="1" t="n">
        <v>46030</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44764-2025</t>
        </is>
      </c>
      <c r="B320" s="1" t="n">
        <v>45917.72821759259</v>
      </c>
      <c r="C320" s="1" t="n">
        <v>46030</v>
      </c>
      <c r="D320" t="inlineStr">
        <is>
          <t>ÖSTERGÖTLANDS LÄN</t>
        </is>
      </c>
      <c r="E320" t="inlineStr">
        <is>
          <t>LINKÖPING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29027-2025</t>
        </is>
      </c>
      <c r="B321" s="1" t="n">
        <v>45821.4375462963</v>
      </c>
      <c r="C321" s="1" t="n">
        <v>46030</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29411-2025</t>
        </is>
      </c>
      <c r="B322" s="1" t="n">
        <v>45824.6219212963</v>
      </c>
      <c r="C322" s="1" t="n">
        <v>46030</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29393-2025</t>
        </is>
      </c>
      <c r="B323" s="1" t="n">
        <v>45824.6057175926</v>
      </c>
      <c r="C323" s="1" t="n">
        <v>46030</v>
      </c>
      <c r="D323" t="inlineStr">
        <is>
          <t>ÖSTERGÖTLANDS LÄN</t>
        </is>
      </c>
      <c r="E323" t="inlineStr">
        <is>
          <t>LINKÖPING</t>
        </is>
      </c>
      <c r="F323" t="inlineStr">
        <is>
          <t>Sveaskog</t>
        </is>
      </c>
      <c r="G323" t="n">
        <v>24.6</v>
      </c>
      <c r="H323" t="n">
        <v>0</v>
      </c>
      <c r="I323" t="n">
        <v>0</v>
      </c>
      <c r="J323" t="n">
        <v>0</v>
      </c>
      <c r="K323" t="n">
        <v>0</v>
      </c>
      <c r="L323" t="n">
        <v>0</v>
      </c>
      <c r="M323" t="n">
        <v>0</v>
      </c>
      <c r="N323" t="n">
        <v>0</v>
      </c>
      <c r="O323" t="n">
        <v>0</v>
      </c>
      <c r="P323" t="n">
        <v>0</v>
      </c>
      <c r="Q323" t="n">
        <v>0</v>
      </c>
      <c r="R323" s="2" t="inlineStr"/>
    </row>
    <row r="324" ht="15" customHeight="1">
      <c r="A324" t="inlineStr">
        <is>
          <t>A 45112-2025</t>
        </is>
      </c>
      <c r="B324" s="1" t="n">
        <v>45919</v>
      </c>
      <c r="C324" s="1" t="n">
        <v>46030</v>
      </c>
      <c r="D324" t="inlineStr">
        <is>
          <t>ÖSTERGÖTLANDS LÄN</t>
        </is>
      </c>
      <c r="E324" t="inlineStr">
        <is>
          <t>LINKÖPING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46225-2021</t>
        </is>
      </c>
      <c r="B325" s="1" t="n">
        <v>44442</v>
      </c>
      <c r="C325" s="1" t="n">
        <v>46030</v>
      </c>
      <c r="D325" t="inlineStr">
        <is>
          <t>ÖSTERGÖTLANDS LÄN</t>
        </is>
      </c>
      <c r="E325" t="inlineStr">
        <is>
          <t>LINKÖPING</t>
        </is>
      </c>
      <c r="G325" t="n">
        <v>2.9</v>
      </c>
      <c r="H325" t="n">
        <v>0</v>
      </c>
      <c r="I325" t="n">
        <v>0</v>
      </c>
      <c r="J325" t="n">
        <v>0</v>
      </c>
      <c r="K325" t="n">
        <v>0</v>
      </c>
      <c r="L325" t="n">
        <v>0</v>
      </c>
      <c r="M325" t="n">
        <v>0</v>
      </c>
      <c r="N325" t="n">
        <v>0</v>
      </c>
      <c r="O325" t="n">
        <v>0</v>
      </c>
      <c r="P325" t="n">
        <v>0</v>
      </c>
      <c r="Q325" t="n">
        <v>0</v>
      </c>
      <c r="R325" s="2" t="inlineStr"/>
    </row>
    <row r="326" ht="15" customHeight="1">
      <c r="A326" t="inlineStr">
        <is>
          <t>A 25776-2021</t>
        </is>
      </c>
      <c r="B326" s="1" t="n">
        <v>44343</v>
      </c>
      <c r="C326" s="1" t="n">
        <v>46030</v>
      </c>
      <c r="D326" t="inlineStr">
        <is>
          <t>ÖSTERGÖTLANDS LÄN</t>
        </is>
      </c>
      <c r="E326" t="inlineStr">
        <is>
          <t>LINKÖPING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29599-2025</t>
        </is>
      </c>
      <c r="B327" s="1" t="n">
        <v>45825.41101851852</v>
      </c>
      <c r="C327" s="1" t="n">
        <v>46030</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51484-2023</t>
        </is>
      </c>
      <c r="B328" s="1" t="n">
        <v>45222</v>
      </c>
      <c r="C328" s="1" t="n">
        <v>46030</v>
      </c>
      <c r="D328" t="inlineStr">
        <is>
          <t>ÖSTERGÖTLANDS LÄN</t>
        </is>
      </c>
      <c r="E328" t="inlineStr">
        <is>
          <t>LINKÖPING</t>
        </is>
      </c>
      <c r="F328" t="inlineStr">
        <is>
          <t>Övriga Aktiebolag</t>
        </is>
      </c>
      <c r="G328" t="n">
        <v>7.7</v>
      </c>
      <c r="H328" t="n">
        <v>0</v>
      </c>
      <c r="I328" t="n">
        <v>0</v>
      </c>
      <c r="J328" t="n">
        <v>0</v>
      </c>
      <c r="K328" t="n">
        <v>0</v>
      </c>
      <c r="L328" t="n">
        <v>0</v>
      </c>
      <c r="M328" t="n">
        <v>0</v>
      </c>
      <c r="N328" t="n">
        <v>0</v>
      </c>
      <c r="O328" t="n">
        <v>0</v>
      </c>
      <c r="P328" t="n">
        <v>0</v>
      </c>
      <c r="Q328" t="n">
        <v>0</v>
      </c>
      <c r="R328" s="2" t="inlineStr"/>
    </row>
    <row r="329" ht="15" customHeight="1">
      <c r="A329" t="inlineStr">
        <is>
          <t>A 17898-2022</t>
        </is>
      </c>
      <c r="B329" s="1" t="n">
        <v>44683</v>
      </c>
      <c r="C329" s="1" t="n">
        <v>46030</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45634-2025</t>
        </is>
      </c>
      <c r="B330" s="1" t="n">
        <v>45922.85089120371</v>
      </c>
      <c r="C330" s="1" t="n">
        <v>46030</v>
      </c>
      <c r="D330" t="inlineStr">
        <is>
          <t>ÖSTERGÖTLANDS LÄN</t>
        </is>
      </c>
      <c r="E330" t="inlineStr">
        <is>
          <t>LINKÖPING</t>
        </is>
      </c>
      <c r="F330" t="inlineStr">
        <is>
          <t>Övriga Aktiebolag</t>
        </is>
      </c>
      <c r="G330" t="n">
        <v>0.3</v>
      </c>
      <c r="H330" t="n">
        <v>0</v>
      </c>
      <c r="I330" t="n">
        <v>0</v>
      </c>
      <c r="J330" t="n">
        <v>0</v>
      </c>
      <c r="K330" t="n">
        <v>0</v>
      </c>
      <c r="L330" t="n">
        <v>0</v>
      </c>
      <c r="M330" t="n">
        <v>0</v>
      </c>
      <c r="N330" t="n">
        <v>0</v>
      </c>
      <c r="O330" t="n">
        <v>0</v>
      </c>
      <c r="P330" t="n">
        <v>0</v>
      </c>
      <c r="Q330" t="n">
        <v>0</v>
      </c>
      <c r="R330" s="2" t="inlineStr"/>
    </row>
    <row r="331" ht="15" customHeight="1">
      <c r="A331" t="inlineStr">
        <is>
          <t>A 63487-2023</t>
        </is>
      </c>
      <c r="B331" s="1" t="n">
        <v>45274.66712962963</v>
      </c>
      <c r="C331" s="1" t="n">
        <v>46030</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35463-2023</t>
        </is>
      </c>
      <c r="B332" s="1" t="n">
        <v>45146</v>
      </c>
      <c r="C332" s="1" t="n">
        <v>46030</v>
      </c>
      <c r="D332" t="inlineStr">
        <is>
          <t>ÖSTERGÖTLANDS LÄN</t>
        </is>
      </c>
      <c r="E332" t="inlineStr">
        <is>
          <t>LINKÖPING</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30355-2025</t>
        </is>
      </c>
      <c r="B333" s="1" t="n">
        <v>45827</v>
      </c>
      <c r="C333" s="1" t="n">
        <v>46030</v>
      </c>
      <c r="D333" t="inlineStr">
        <is>
          <t>ÖSTERGÖTLANDS LÄN</t>
        </is>
      </c>
      <c r="E333" t="inlineStr">
        <is>
          <t>LINKÖPING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30353-2025</t>
        </is>
      </c>
      <c r="B334" s="1" t="n">
        <v>45827</v>
      </c>
      <c r="C334" s="1" t="n">
        <v>46030</v>
      </c>
      <c r="D334" t="inlineStr">
        <is>
          <t>ÖSTERGÖTLANDS LÄN</t>
        </is>
      </c>
      <c r="E334" t="inlineStr">
        <is>
          <t>LINKÖPING</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45792-2025</t>
        </is>
      </c>
      <c r="B335" s="1" t="n">
        <v>45923.56998842592</v>
      </c>
      <c r="C335" s="1" t="n">
        <v>46030</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45804-2025</t>
        </is>
      </c>
      <c r="B336" s="1" t="n">
        <v>45923.5819675926</v>
      </c>
      <c r="C336" s="1" t="n">
        <v>46030</v>
      </c>
      <c r="D336" t="inlineStr">
        <is>
          <t>ÖSTERGÖTLANDS LÄN</t>
        </is>
      </c>
      <c r="E336" t="inlineStr">
        <is>
          <t>LINKÖPING</t>
        </is>
      </c>
      <c r="G336" t="n">
        <v>3.3</v>
      </c>
      <c r="H336" t="n">
        <v>0</v>
      </c>
      <c r="I336" t="n">
        <v>0</v>
      </c>
      <c r="J336" t="n">
        <v>0</v>
      </c>
      <c r="K336" t="n">
        <v>0</v>
      </c>
      <c r="L336" t="n">
        <v>0</v>
      </c>
      <c r="M336" t="n">
        <v>0</v>
      </c>
      <c r="N336" t="n">
        <v>0</v>
      </c>
      <c r="O336" t="n">
        <v>0</v>
      </c>
      <c r="P336" t="n">
        <v>0</v>
      </c>
      <c r="Q336" t="n">
        <v>0</v>
      </c>
      <c r="R336" s="2" t="inlineStr"/>
    </row>
    <row r="337" ht="15" customHeight="1">
      <c r="A337" t="inlineStr">
        <is>
          <t>A 55632-2022</t>
        </is>
      </c>
      <c r="B337" s="1" t="n">
        <v>44888</v>
      </c>
      <c r="C337" s="1" t="n">
        <v>46030</v>
      </c>
      <c r="D337" t="inlineStr">
        <is>
          <t>ÖSTERGÖTLANDS LÄN</t>
        </is>
      </c>
      <c r="E337" t="inlineStr">
        <is>
          <t>LINKÖPING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46426-2025</t>
        </is>
      </c>
      <c r="B338" s="1" t="n">
        <v>45925.6012962963</v>
      </c>
      <c r="C338" s="1" t="n">
        <v>46030</v>
      </c>
      <c r="D338" t="inlineStr">
        <is>
          <t>ÖSTERGÖTLANDS LÄN</t>
        </is>
      </c>
      <c r="E338" t="inlineStr">
        <is>
          <t>LINKÖPING</t>
        </is>
      </c>
      <c r="G338" t="n">
        <v>4.4</v>
      </c>
      <c r="H338" t="n">
        <v>0</v>
      </c>
      <c r="I338" t="n">
        <v>0</v>
      </c>
      <c r="J338" t="n">
        <v>0</v>
      </c>
      <c r="K338" t="n">
        <v>0</v>
      </c>
      <c r="L338" t="n">
        <v>0</v>
      </c>
      <c r="M338" t="n">
        <v>0</v>
      </c>
      <c r="N338" t="n">
        <v>0</v>
      </c>
      <c r="O338" t="n">
        <v>0</v>
      </c>
      <c r="P338" t="n">
        <v>0</v>
      </c>
      <c r="Q338" t="n">
        <v>0</v>
      </c>
      <c r="R338" s="2" t="inlineStr"/>
    </row>
    <row r="339" ht="15" customHeight="1">
      <c r="A339" t="inlineStr">
        <is>
          <t>A 63559-2023</t>
        </is>
      </c>
      <c r="B339" s="1" t="n">
        <v>45275.35924768518</v>
      </c>
      <c r="C339" s="1" t="n">
        <v>46030</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46428-2025</t>
        </is>
      </c>
      <c r="B340" s="1" t="n">
        <v>45925.60758101852</v>
      </c>
      <c r="C340" s="1" t="n">
        <v>46030</v>
      </c>
      <c r="D340" t="inlineStr">
        <is>
          <t>ÖSTERGÖTLANDS LÄN</t>
        </is>
      </c>
      <c r="E340" t="inlineStr">
        <is>
          <t>LINKÖPING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58114-2021</t>
        </is>
      </c>
      <c r="B341" s="1" t="n">
        <v>44487</v>
      </c>
      <c r="C341" s="1" t="n">
        <v>46030</v>
      </c>
      <c r="D341" t="inlineStr">
        <is>
          <t>ÖSTERGÖTLANDS LÄN</t>
        </is>
      </c>
      <c r="E341" t="inlineStr">
        <is>
          <t>LINKÖPING</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46377-2025</t>
        </is>
      </c>
      <c r="B342" s="1" t="n">
        <v>45925.51773148148</v>
      </c>
      <c r="C342" s="1" t="n">
        <v>46030</v>
      </c>
      <c r="D342" t="inlineStr">
        <is>
          <t>ÖSTERGÖTLANDS LÄN</t>
        </is>
      </c>
      <c r="E342" t="inlineStr">
        <is>
          <t>LINKÖPING</t>
        </is>
      </c>
      <c r="G342" t="n">
        <v>3.1</v>
      </c>
      <c r="H342" t="n">
        <v>0</v>
      </c>
      <c r="I342" t="n">
        <v>0</v>
      </c>
      <c r="J342" t="n">
        <v>0</v>
      </c>
      <c r="K342" t="n">
        <v>0</v>
      </c>
      <c r="L342" t="n">
        <v>0</v>
      </c>
      <c r="M342" t="n">
        <v>0</v>
      </c>
      <c r="N342" t="n">
        <v>0</v>
      </c>
      <c r="O342" t="n">
        <v>0</v>
      </c>
      <c r="P342" t="n">
        <v>0</v>
      </c>
      <c r="Q342" t="n">
        <v>0</v>
      </c>
      <c r="R342" s="2" t="inlineStr"/>
    </row>
    <row r="343" ht="15" customHeight="1">
      <c r="A343" t="inlineStr">
        <is>
          <t>A 55944-2024</t>
        </is>
      </c>
      <c r="B343" s="1" t="n">
        <v>45623.61640046296</v>
      </c>
      <c r="C343" s="1" t="n">
        <v>46030</v>
      </c>
      <c r="D343" t="inlineStr">
        <is>
          <t>ÖSTERGÖTLANDS LÄN</t>
        </is>
      </c>
      <c r="E343" t="inlineStr">
        <is>
          <t>LINKÖPING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55947-2024</t>
        </is>
      </c>
      <c r="B344" s="1" t="n">
        <v>45623</v>
      </c>
      <c r="C344" s="1" t="n">
        <v>46030</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3374-2023</t>
        </is>
      </c>
      <c r="B345" s="1" t="n">
        <v>44949</v>
      </c>
      <c r="C345" s="1" t="n">
        <v>46030</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31581-2025</t>
        </is>
      </c>
      <c r="B346" s="1" t="n">
        <v>45833.6840162037</v>
      </c>
      <c r="C346" s="1" t="n">
        <v>46030</v>
      </c>
      <c r="D346" t="inlineStr">
        <is>
          <t>ÖSTERGÖTLANDS LÄN</t>
        </is>
      </c>
      <c r="E346" t="inlineStr">
        <is>
          <t>LINKÖPING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31585-2025</t>
        </is>
      </c>
      <c r="B347" s="1" t="n">
        <v>45833.68815972222</v>
      </c>
      <c r="C347" s="1" t="n">
        <v>46030</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24151-2024</t>
        </is>
      </c>
      <c r="B348" s="1" t="n">
        <v>45456.67717592593</v>
      </c>
      <c r="C348" s="1" t="n">
        <v>46030</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46847-2025</t>
        </is>
      </c>
      <c r="B349" s="1" t="n">
        <v>45928.69971064815</v>
      </c>
      <c r="C349" s="1" t="n">
        <v>46030</v>
      </c>
      <c r="D349" t="inlineStr">
        <is>
          <t>ÖSTERGÖTLANDS LÄN</t>
        </is>
      </c>
      <c r="E349" t="inlineStr">
        <is>
          <t>LINKÖPING</t>
        </is>
      </c>
      <c r="G349" t="n">
        <v>4.6</v>
      </c>
      <c r="H349" t="n">
        <v>0</v>
      </c>
      <c r="I349" t="n">
        <v>0</v>
      </c>
      <c r="J349" t="n">
        <v>0</v>
      </c>
      <c r="K349" t="n">
        <v>0</v>
      </c>
      <c r="L349" t="n">
        <v>0</v>
      </c>
      <c r="M349" t="n">
        <v>0</v>
      </c>
      <c r="N349" t="n">
        <v>0</v>
      </c>
      <c r="O349" t="n">
        <v>0</v>
      </c>
      <c r="P349" t="n">
        <v>0</v>
      </c>
      <c r="Q349" t="n">
        <v>0</v>
      </c>
      <c r="R349" s="2" t="inlineStr"/>
    </row>
    <row r="350" ht="15" customHeight="1">
      <c r="A350" t="inlineStr">
        <is>
          <t>A 47233-2025</t>
        </is>
      </c>
      <c r="B350" s="1" t="n">
        <v>45930.40612268518</v>
      </c>
      <c r="C350" s="1" t="n">
        <v>46030</v>
      </c>
      <c r="D350" t="inlineStr">
        <is>
          <t>ÖSTERGÖTLANDS LÄN</t>
        </is>
      </c>
      <c r="E350" t="inlineStr">
        <is>
          <t>LINKÖPING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14576-2023</t>
        </is>
      </c>
      <c r="B351" s="1" t="n">
        <v>45013</v>
      </c>
      <c r="C351" s="1" t="n">
        <v>46030</v>
      </c>
      <c r="D351" t="inlineStr">
        <is>
          <t>ÖSTERGÖTLANDS LÄN</t>
        </is>
      </c>
      <c r="E351" t="inlineStr">
        <is>
          <t>LINKÖPING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47606-2025</t>
        </is>
      </c>
      <c r="B352" s="1" t="n">
        <v>45931.46402777778</v>
      </c>
      <c r="C352" s="1" t="n">
        <v>46030</v>
      </c>
      <c r="D352" t="inlineStr">
        <is>
          <t>ÖSTERGÖTLANDS LÄN</t>
        </is>
      </c>
      <c r="E352" t="inlineStr">
        <is>
          <t>LINKÖPING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47304-2025</t>
        </is>
      </c>
      <c r="B353" s="1" t="n">
        <v>45930.52037037037</v>
      </c>
      <c r="C353" s="1" t="n">
        <v>46030</v>
      </c>
      <c r="D353" t="inlineStr">
        <is>
          <t>ÖSTERGÖTLANDS LÄN</t>
        </is>
      </c>
      <c r="E353" t="inlineStr">
        <is>
          <t>LINKÖPING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74160-2021</t>
        </is>
      </c>
      <c r="B354" s="1" t="n">
        <v>44558</v>
      </c>
      <c r="C354" s="1" t="n">
        <v>46030</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32723-2025</t>
        </is>
      </c>
      <c r="B355" s="1" t="n">
        <v>45838</v>
      </c>
      <c r="C355" s="1" t="n">
        <v>46030</v>
      </c>
      <c r="D355" t="inlineStr">
        <is>
          <t>ÖSTERGÖTLANDS LÄN</t>
        </is>
      </c>
      <c r="E355" t="inlineStr">
        <is>
          <t>LINKÖPING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48343-2025</t>
        </is>
      </c>
      <c r="B356" s="1" t="n">
        <v>45932</v>
      </c>
      <c r="C356" s="1" t="n">
        <v>46030</v>
      </c>
      <c r="D356" t="inlineStr">
        <is>
          <t>ÖSTERGÖTLANDS LÄN</t>
        </is>
      </c>
      <c r="E356" t="inlineStr">
        <is>
          <t>LINKÖPING</t>
        </is>
      </c>
      <c r="F356" t="inlineStr">
        <is>
          <t>Övriga Aktiebolag</t>
        </is>
      </c>
      <c r="G356" t="n">
        <v>2</v>
      </c>
      <c r="H356" t="n">
        <v>0</v>
      </c>
      <c r="I356" t="n">
        <v>0</v>
      </c>
      <c r="J356" t="n">
        <v>0</v>
      </c>
      <c r="K356" t="n">
        <v>0</v>
      </c>
      <c r="L356" t="n">
        <v>0</v>
      </c>
      <c r="M356" t="n">
        <v>0</v>
      </c>
      <c r="N356" t="n">
        <v>0</v>
      </c>
      <c r="O356" t="n">
        <v>0</v>
      </c>
      <c r="P356" t="n">
        <v>0</v>
      </c>
      <c r="Q356" t="n">
        <v>0</v>
      </c>
      <c r="R356" s="2" t="inlineStr"/>
    </row>
    <row r="357" ht="15" customHeight="1">
      <c r="A357" t="inlineStr">
        <is>
          <t>A 48266-2025</t>
        </is>
      </c>
      <c r="B357" s="1" t="n">
        <v>45932</v>
      </c>
      <c r="C357" s="1" t="n">
        <v>46030</v>
      </c>
      <c r="D357" t="inlineStr">
        <is>
          <t>ÖSTERGÖTLANDS LÄN</t>
        </is>
      </c>
      <c r="E357" t="inlineStr">
        <is>
          <t>LINKÖPING</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27766-2022</t>
        </is>
      </c>
      <c r="B358" s="1" t="n">
        <v>44743.53112268518</v>
      </c>
      <c r="C358" s="1" t="n">
        <v>46030</v>
      </c>
      <c r="D358" t="inlineStr">
        <is>
          <t>ÖSTERGÖTLANDS LÄN</t>
        </is>
      </c>
      <c r="E358" t="inlineStr">
        <is>
          <t>LINKÖPING</t>
        </is>
      </c>
      <c r="G358" t="n">
        <v>2</v>
      </c>
      <c r="H358" t="n">
        <v>0</v>
      </c>
      <c r="I358" t="n">
        <v>0</v>
      </c>
      <c r="J358" t="n">
        <v>0</v>
      </c>
      <c r="K358" t="n">
        <v>0</v>
      </c>
      <c r="L358" t="n">
        <v>0</v>
      </c>
      <c r="M358" t="n">
        <v>0</v>
      </c>
      <c r="N358" t="n">
        <v>0</v>
      </c>
      <c r="O358" t="n">
        <v>0</v>
      </c>
      <c r="P358" t="n">
        <v>0</v>
      </c>
      <c r="Q358" t="n">
        <v>0</v>
      </c>
      <c r="R358" s="2" t="inlineStr"/>
    </row>
    <row r="359" ht="15" customHeight="1">
      <c r="A359" t="inlineStr">
        <is>
          <t>A 48254-2025</t>
        </is>
      </c>
      <c r="B359" s="1" t="n">
        <v>45932</v>
      </c>
      <c r="C359" s="1" t="n">
        <v>46030</v>
      </c>
      <c r="D359" t="inlineStr">
        <is>
          <t>ÖSTERGÖTLANDS LÄN</t>
        </is>
      </c>
      <c r="E359" t="inlineStr">
        <is>
          <t>LINKÖPING</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53641-2023</t>
        </is>
      </c>
      <c r="B360" s="1" t="n">
        <v>45230</v>
      </c>
      <c r="C360" s="1" t="n">
        <v>46030</v>
      </c>
      <c r="D360" t="inlineStr">
        <is>
          <t>ÖSTERGÖTLANDS LÄN</t>
        </is>
      </c>
      <c r="E360" t="inlineStr">
        <is>
          <t>LINKÖPING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33000-2023</t>
        </is>
      </c>
      <c r="B361" s="1" t="n">
        <v>45125</v>
      </c>
      <c r="C361" s="1" t="n">
        <v>46030</v>
      </c>
      <c r="D361" t="inlineStr">
        <is>
          <t>ÖSTERGÖTLANDS LÄN</t>
        </is>
      </c>
      <c r="E361" t="inlineStr">
        <is>
          <t>LINKÖPING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52892-2024</t>
        </is>
      </c>
      <c r="B362" s="1" t="n">
        <v>45610</v>
      </c>
      <c r="C362" s="1" t="n">
        <v>46030</v>
      </c>
      <c r="D362" t="inlineStr">
        <is>
          <t>ÖSTERGÖTLANDS LÄN</t>
        </is>
      </c>
      <c r="E362" t="inlineStr">
        <is>
          <t>LINKÖPING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33947-2025</t>
        </is>
      </c>
      <c r="B363" s="1" t="n">
        <v>45842.65444444444</v>
      </c>
      <c r="C363" s="1" t="n">
        <v>46030</v>
      </c>
      <c r="D363" t="inlineStr">
        <is>
          <t>ÖSTERGÖTLANDS LÄN</t>
        </is>
      </c>
      <c r="E363" t="inlineStr">
        <is>
          <t>LINKÖPING</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53529-2024</t>
        </is>
      </c>
      <c r="B364" s="1" t="n">
        <v>45614</v>
      </c>
      <c r="C364" s="1" t="n">
        <v>46030</v>
      </c>
      <c r="D364" t="inlineStr">
        <is>
          <t>ÖSTERGÖTLANDS LÄN</t>
        </is>
      </c>
      <c r="E364" t="inlineStr">
        <is>
          <t>LINKÖPING</t>
        </is>
      </c>
      <c r="G364" t="n">
        <v>6.7</v>
      </c>
      <c r="H364" t="n">
        <v>0</v>
      </c>
      <c r="I364" t="n">
        <v>0</v>
      </c>
      <c r="J364" t="n">
        <v>0</v>
      </c>
      <c r="K364" t="n">
        <v>0</v>
      </c>
      <c r="L364" t="n">
        <v>0</v>
      </c>
      <c r="M364" t="n">
        <v>0</v>
      </c>
      <c r="N364" t="n">
        <v>0</v>
      </c>
      <c r="O364" t="n">
        <v>0</v>
      </c>
      <c r="P364" t="n">
        <v>0</v>
      </c>
      <c r="Q364" t="n">
        <v>0</v>
      </c>
      <c r="R364" s="2" t="inlineStr"/>
    </row>
    <row r="365" ht="15" customHeight="1">
      <c r="A365" t="inlineStr">
        <is>
          <t>A 62012-2024</t>
        </is>
      </c>
      <c r="B365" s="1" t="n">
        <v>45655.79679398148</v>
      </c>
      <c r="C365" s="1" t="n">
        <v>46030</v>
      </c>
      <c r="D365" t="inlineStr">
        <is>
          <t>ÖSTERGÖTLANDS LÄN</t>
        </is>
      </c>
      <c r="E365" t="inlineStr">
        <is>
          <t>LINKÖPING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30521-2024</t>
        </is>
      </c>
      <c r="B366" s="1" t="n">
        <v>45492</v>
      </c>
      <c r="C366" s="1" t="n">
        <v>46030</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51191-2022</t>
        </is>
      </c>
      <c r="B367" s="1" t="n">
        <v>44865</v>
      </c>
      <c r="C367" s="1" t="n">
        <v>46030</v>
      </c>
      <c r="D367" t="inlineStr">
        <is>
          <t>ÖSTERGÖTLANDS LÄN</t>
        </is>
      </c>
      <c r="E367" t="inlineStr">
        <is>
          <t>LINKÖPING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49455-2025</t>
        </is>
      </c>
      <c r="B368" s="1" t="n">
        <v>45938</v>
      </c>
      <c r="C368" s="1" t="n">
        <v>46030</v>
      </c>
      <c r="D368" t="inlineStr">
        <is>
          <t>ÖSTERGÖTLANDS LÄN</t>
        </is>
      </c>
      <c r="E368" t="inlineStr">
        <is>
          <t>LINKÖPING</t>
        </is>
      </c>
      <c r="F368" t="inlineStr">
        <is>
          <t>Övriga Aktiebolag</t>
        </is>
      </c>
      <c r="G368" t="n">
        <v>5.9</v>
      </c>
      <c r="H368" t="n">
        <v>0</v>
      </c>
      <c r="I368" t="n">
        <v>0</v>
      </c>
      <c r="J368" t="n">
        <v>0</v>
      </c>
      <c r="K368" t="n">
        <v>0</v>
      </c>
      <c r="L368" t="n">
        <v>0</v>
      </c>
      <c r="M368" t="n">
        <v>0</v>
      </c>
      <c r="N368" t="n">
        <v>0</v>
      </c>
      <c r="O368" t="n">
        <v>0</v>
      </c>
      <c r="P368" t="n">
        <v>0</v>
      </c>
      <c r="Q368" t="n">
        <v>0</v>
      </c>
      <c r="R368" s="2" t="inlineStr"/>
    </row>
    <row r="369" ht="15" customHeight="1">
      <c r="A369" t="inlineStr">
        <is>
          <t>A 20469-2025</t>
        </is>
      </c>
      <c r="B369" s="1" t="n">
        <v>45775</v>
      </c>
      <c r="C369" s="1" t="n">
        <v>46030</v>
      </c>
      <c r="D369" t="inlineStr">
        <is>
          <t>ÖSTERGÖTLANDS LÄN</t>
        </is>
      </c>
      <c r="E369" t="inlineStr">
        <is>
          <t>LINKÖPING</t>
        </is>
      </c>
      <c r="F369" t="inlineStr">
        <is>
          <t>Kyrkan</t>
        </is>
      </c>
      <c r="G369" t="n">
        <v>6.1</v>
      </c>
      <c r="H369" t="n">
        <v>0</v>
      </c>
      <c r="I369" t="n">
        <v>0</v>
      </c>
      <c r="J369" t="n">
        <v>0</v>
      </c>
      <c r="K369" t="n">
        <v>0</v>
      </c>
      <c r="L369" t="n">
        <v>0</v>
      </c>
      <c r="M369" t="n">
        <v>0</v>
      </c>
      <c r="N369" t="n">
        <v>0</v>
      </c>
      <c r="O369" t="n">
        <v>0</v>
      </c>
      <c r="P369" t="n">
        <v>0</v>
      </c>
      <c r="Q369" t="n">
        <v>0</v>
      </c>
      <c r="R369" s="2" t="inlineStr"/>
    </row>
    <row r="370" ht="15" customHeight="1">
      <c r="A370" t="inlineStr">
        <is>
          <t>A 12289-2025</t>
        </is>
      </c>
      <c r="B370" s="1" t="n">
        <v>45729</v>
      </c>
      <c r="C370" s="1" t="n">
        <v>46030</v>
      </c>
      <c r="D370" t="inlineStr">
        <is>
          <t>ÖSTERGÖTLANDS LÄN</t>
        </is>
      </c>
      <c r="E370" t="inlineStr">
        <is>
          <t>LINKÖPING</t>
        </is>
      </c>
      <c r="F370" t="inlineStr">
        <is>
          <t>Övriga statliga verk och myndigheter</t>
        </is>
      </c>
      <c r="G370" t="n">
        <v>6.5</v>
      </c>
      <c r="H370" t="n">
        <v>0</v>
      </c>
      <c r="I370" t="n">
        <v>0</v>
      </c>
      <c r="J370" t="n">
        <v>0</v>
      </c>
      <c r="K370" t="n">
        <v>0</v>
      </c>
      <c r="L370" t="n">
        <v>0</v>
      </c>
      <c r="M370" t="n">
        <v>0</v>
      </c>
      <c r="N370" t="n">
        <v>0</v>
      </c>
      <c r="O370" t="n">
        <v>0</v>
      </c>
      <c r="P370" t="n">
        <v>0</v>
      </c>
      <c r="Q370" t="n">
        <v>0</v>
      </c>
      <c r="R370" s="2" t="inlineStr"/>
    </row>
    <row r="371" ht="15" customHeight="1">
      <c r="A371" t="inlineStr">
        <is>
          <t>A 49605-2025</t>
        </is>
      </c>
      <c r="B371" s="1" t="n">
        <v>45938</v>
      </c>
      <c r="C371" s="1" t="n">
        <v>46030</v>
      </c>
      <c r="D371" t="inlineStr">
        <is>
          <t>ÖSTERGÖTLANDS LÄN</t>
        </is>
      </c>
      <c r="E371" t="inlineStr">
        <is>
          <t>LINKÖPING</t>
        </is>
      </c>
      <c r="F371" t="inlineStr">
        <is>
          <t>Övriga Aktiebolag</t>
        </is>
      </c>
      <c r="G371" t="n">
        <v>3.3</v>
      </c>
      <c r="H371" t="n">
        <v>0</v>
      </c>
      <c r="I371" t="n">
        <v>0</v>
      </c>
      <c r="J371" t="n">
        <v>0</v>
      </c>
      <c r="K371" t="n">
        <v>0</v>
      </c>
      <c r="L371" t="n">
        <v>0</v>
      </c>
      <c r="M371" t="n">
        <v>0</v>
      </c>
      <c r="N371" t="n">
        <v>0</v>
      </c>
      <c r="O371" t="n">
        <v>0</v>
      </c>
      <c r="P371" t="n">
        <v>0</v>
      </c>
      <c r="Q371" t="n">
        <v>0</v>
      </c>
      <c r="R371" s="2" t="inlineStr"/>
    </row>
    <row r="372" ht="15" customHeight="1">
      <c r="A372" t="inlineStr">
        <is>
          <t>A 49663-2025</t>
        </is>
      </c>
      <c r="B372" s="1" t="n">
        <v>45938</v>
      </c>
      <c r="C372" s="1" t="n">
        <v>46030</v>
      </c>
      <c r="D372" t="inlineStr">
        <is>
          <t>ÖSTERGÖTLANDS LÄN</t>
        </is>
      </c>
      <c r="E372" t="inlineStr">
        <is>
          <t>LINKÖPING</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49632-2025</t>
        </is>
      </c>
      <c r="B373" s="1" t="n">
        <v>45938</v>
      </c>
      <c r="C373" s="1" t="n">
        <v>46030</v>
      </c>
      <c r="D373" t="inlineStr">
        <is>
          <t>ÖSTERGÖTLANDS LÄN</t>
        </is>
      </c>
      <c r="E373" t="inlineStr">
        <is>
          <t>LINKÖPING</t>
        </is>
      </c>
      <c r="F373" t="inlineStr">
        <is>
          <t>Övriga Aktiebolag</t>
        </is>
      </c>
      <c r="G373" t="n">
        <v>1.6</v>
      </c>
      <c r="H373" t="n">
        <v>0</v>
      </c>
      <c r="I373" t="n">
        <v>0</v>
      </c>
      <c r="J373" t="n">
        <v>0</v>
      </c>
      <c r="K373" t="n">
        <v>0</v>
      </c>
      <c r="L373" t="n">
        <v>0</v>
      </c>
      <c r="M373" t="n">
        <v>0</v>
      </c>
      <c r="N373" t="n">
        <v>0</v>
      </c>
      <c r="O373" t="n">
        <v>0</v>
      </c>
      <c r="P373" t="n">
        <v>0</v>
      </c>
      <c r="Q373" t="n">
        <v>0</v>
      </c>
      <c r="R373" s="2" t="inlineStr"/>
    </row>
    <row r="374" ht="15" customHeight="1">
      <c r="A374" t="inlineStr">
        <is>
          <t>A 49647-2025</t>
        </is>
      </c>
      <c r="B374" s="1" t="n">
        <v>45938</v>
      </c>
      <c r="C374" s="1" t="n">
        <v>46030</v>
      </c>
      <c r="D374" t="inlineStr">
        <is>
          <t>ÖSTERGÖTLANDS LÄN</t>
        </is>
      </c>
      <c r="E374" t="inlineStr">
        <is>
          <t>LINKÖPING</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49652-2025</t>
        </is>
      </c>
      <c r="B375" s="1" t="n">
        <v>45938</v>
      </c>
      <c r="C375" s="1" t="n">
        <v>46030</v>
      </c>
      <c r="D375" t="inlineStr">
        <is>
          <t>ÖSTERGÖTLANDS LÄN</t>
        </is>
      </c>
      <c r="E375" t="inlineStr">
        <is>
          <t>LINKÖPING</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49654-2025</t>
        </is>
      </c>
      <c r="B376" s="1" t="n">
        <v>45938</v>
      </c>
      <c r="C376" s="1" t="n">
        <v>46030</v>
      </c>
      <c r="D376" t="inlineStr">
        <is>
          <t>ÖSTERGÖTLANDS LÄN</t>
        </is>
      </c>
      <c r="E376" t="inlineStr">
        <is>
          <t>LINKÖPING</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9434-2024</t>
        </is>
      </c>
      <c r="B377" s="1" t="n">
        <v>45359</v>
      </c>
      <c r="C377" s="1" t="n">
        <v>46030</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49615-2025</t>
        </is>
      </c>
      <c r="B378" s="1" t="n">
        <v>45938</v>
      </c>
      <c r="C378" s="1" t="n">
        <v>46030</v>
      </c>
      <c r="D378" t="inlineStr">
        <is>
          <t>ÖSTERGÖTLANDS LÄN</t>
        </is>
      </c>
      <c r="E378" t="inlineStr">
        <is>
          <t>LINKÖPING</t>
        </is>
      </c>
      <c r="F378" t="inlineStr">
        <is>
          <t>Övriga Aktiebolag</t>
        </is>
      </c>
      <c r="G378" t="n">
        <v>1.6</v>
      </c>
      <c r="H378" t="n">
        <v>0</v>
      </c>
      <c r="I378" t="n">
        <v>0</v>
      </c>
      <c r="J378" t="n">
        <v>0</v>
      </c>
      <c r="K378" t="n">
        <v>0</v>
      </c>
      <c r="L378" t="n">
        <v>0</v>
      </c>
      <c r="M378" t="n">
        <v>0</v>
      </c>
      <c r="N378" t="n">
        <v>0</v>
      </c>
      <c r="O378" t="n">
        <v>0</v>
      </c>
      <c r="P378" t="n">
        <v>0</v>
      </c>
      <c r="Q378" t="n">
        <v>0</v>
      </c>
      <c r="R378" s="2" t="inlineStr"/>
    </row>
    <row r="379" ht="15" customHeight="1">
      <c r="A379" t="inlineStr">
        <is>
          <t>A 49619-2025</t>
        </is>
      </c>
      <c r="B379" s="1" t="n">
        <v>45938</v>
      </c>
      <c r="C379" s="1" t="n">
        <v>46030</v>
      </c>
      <c r="D379" t="inlineStr">
        <is>
          <t>ÖSTERGÖTLANDS LÄN</t>
        </is>
      </c>
      <c r="E379" t="inlineStr">
        <is>
          <t>LINKÖPING</t>
        </is>
      </c>
      <c r="F379" t="inlineStr">
        <is>
          <t>Övriga Aktiebolag</t>
        </is>
      </c>
      <c r="G379" t="n">
        <v>2.3</v>
      </c>
      <c r="H379" t="n">
        <v>0</v>
      </c>
      <c r="I379" t="n">
        <v>0</v>
      </c>
      <c r="J379" t="n">
        <v>0</v>
      </c>
      <c r="K379" t="n">
        <v>0</v>
      </c>
      <c r="L379" t="n">
        <v>0</v>
      </c>
      <c r="M379" t="n">
        <v>0</v>
      </c>
      <c r="N379" t="n">
        <v>0</v>
      </c>
      <c r="O379" t="n">
        <v>0</v>
      </c>
      <c r="P379" t="n">
        <v>0</v>
      </c>
      <c r="Q379" t="n">
        <v>0</v>
      </c>
      <c r="R379" s="2" t="inlineStr"/>
    </row>
    <row r="380" ht="15" customHeight="1">
      <c r="A380" t="inlineStr">
        <is>
          <t>A 49629-2025</t>
        </is>
      </c>
      <c r="B380" s="1" t="n">
        <v>45938</v>
      </c>
      <c r="C380" s="1" t="n">
        <v>46030</v>
      </c>
      <c r="D380" t="inlineStr">
        <is>
          <t>ÖSTERGÖTLANDS LÄN</t>
        </is>
      </c>
      <c r="E380" t="inlineStr">
        <is>
          <t>LINKÖPING</t>
        </is>
      </c>
      <c r="F380" t="inlineStr">
        <is>
          <t>Övriga Aktiebolag</t>
        </is>
      </c>
      <c r="G380" t="n">
        <v>4.5</v>
      </c>
      <c r="H380" t="n">
        <v>0</v>
      </c>
      <c r="I380" t="n">
        <v>0</v>
      </c>
      <c r="J380" t="n">
        <v>0</v>
      </c>
      <c r="K380" t="n">
        <v>0</v>
      </c>
      <c r="L380" t="n">
        <v>0</v>
      </c>
      <c r="M380" t="n">
        <v>0</v>
      </c>
      <c r="N380" t="n">
        <v>0</v>
      </c>
      <c r="O380" t="n">
        <v>0</v>
      </c>
      <c r="P380" t="n">
        <v>0</v>
      </c>
      <c r="Q380" t="n">
        <v>0</v>
      </c>
      <c r="R380" s="2" t="inlineStr"/>
    </row>
    <row r="381" ht="15" customHeight="1">
      <c r="A381" t="inlineStr">
        <is>
          <t>A 49650-2025</t>
        </is>
      </c>
      <c r="B381" s="1" t="n">
        <v>45938</v>
      </c>
      <c r="C381" s="1" t="n">
        <v>46030</v>
      </c>
      <c r="D381" t="inlineStr">
        <is>
          <t>ÖSTERGÖTLANDS LÄN</t>
        </is>
      </c>
      <c r="E381" t="inlineStr">
        <is>
          <t>LINKÖPING</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42054-2022</t>
        </is>
      </c>
      <c r="B382" s="1" t="n">
        <v>44830</v>
      </c>
      <c r="C382" s="1" t="n">
        <v>46030</v>
      </c>
      <c r="D382" t="inlineStr">
        <is>
          <t>ÖSTERGÖTLANDS LÄN</t>
        </is>
      </c>
      <c r="E382" t="inlineStr">
        <is>
          <t>LINKÖPING</t>
        </is>
      </c>
      <c r="G382" t="n">
        <v>1.7</v>
      </c>
      <c r="H382" t="n">
        <v>0</v>
      </c>
      <c r="I382" t="n">
        <v>0</v>
      </c>
      <c r="J382" t="n">
        <v>0</v>
      </c>
      <c r="K382" t="n">
        <v>0</v>
      </c>
      <c r="L382" t="n">
        <v>0</v>
      </c>
      <c r="M382" t="n">
        <v>0</v>
      </c>
      <c r="N382" t="n">
        <v>0</v>
      </c>
      <c r="O382" t="n">
        <v>0</v>
      </c>
      <c r="P382" t="n">
        <v>0</v>
      </c>
      <c r="Q382" t="n">
        <v>0</v>
      </c>
      <c r="R382" s="2" t="inlineStr"/>
    </row>
    <row r="383" ht="15" customHeight="1">
      <c r="A383" t="inlineStr">
        <is>
          <t>A 49633-2025</t>
        </is>
      </c>
      <c r="B383" s="1" t="n">
        <v>45938</v>
      </c>
      <c r="C383" s="1" t="n">
        <v>46030</v>
      </c>
      <c r="D383" t="inlineStr">
        <is>
          <t>ÖSTERGÖTLANDS LÄN</t>
        </is>
      </c>
      <c r="E383" t="inlineStr">
        <is>
          <t>LINKÖPING</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50182-2023</t>
        </is>
      </c>
      <c r="B384" s="1" t="n">
        <v>45208</v>
      </c>
      <c r="C384" s="1" t="n">
        <v>46030</v>
      </c>
      <c r="D384" t="inlineStr">
        <is>
          <t>ÖSTERGÖTLANDS LÄN</t>
        </is>
      </c>
      <c r="E384" t="inlineStr">
        <is>
          <t>LINKÖPING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33800-2023</t>
        </is>
      </c>
      <c r="B385" s="1" t="n">
        <v>45121</v>
      </c>
      <c r="C385" s="1" t="n">
        <v>46030</v>
      </c>
      <c r="D385" t="inlineStr">
        <is>
          <t>ÖSTERGÖTLANDS LÄN</t>
        </is>
      </c>
      <c r="E385" t="inlineStr">
        <is>
          <t>LINKÖPING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26007-2025</t>
        </is>
      </c>
      <c r="B386" s="1" t="n">
        <v>45804.67081018518</v>
      </c>
      <c r="C386" s="1" t="n">
        <v>46030</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35174-2025</t>
        </is>
      </c>
      <c r="B387" s="1" t="n">
        <v>45852.90648148148</v>
      </c>
      <c r="C387" s="1" t="n">
        <v>46030</v>
      </c>
      <c r="D387" t="inlineStr">
        <is>
          <t>ÖSTERGÖTLANDS LÄN</t>
        </is>
      </c>
      <c r="E387" t="inlineStr">
        <is>
          <t>LINKÖPING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40983-2025</t>
        </is>
      </c>
      <c r="B388" s="1" t="n">
        <v>45898</v>
      </c>
      <c r="C388" s="1" t="n">
        <v>46030</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35781-2023</t>
        </is>
      </c>
      <c r="B389" s="1" t="n">
        <v>45147</v>
      </c>
      <c r="C389" s="1" t="n">
        <v>46030</v>
      </c>
      <c r="D389" t="inlineStr">
        <is>
          <t>ÖSTERGÖTLANDS LÄN</t>
        </is>
      </c>
      <c r="E389" t="inlineStr">
        <is>
          <t>LINKÖPING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47991-2023</t>
        </is>
      </c>
      <c r="B390" s="1" t="n">
        <v>45204.62655092592</v>
      </c>
      <c r="C390" s="1" t="n">
        <v>46030</v>
      </c>
      <c r="D390" t="inlineStr">
        <is>
          <t>ÖSTERGÖTLANDS LÄN</t>
        </is>
      </c>
      <c r="E390" t="inlineStr">
        <is>
          <t>LINKÖPING</t>
        </is>
      </c>
      <c r="F390" t="inlineStr">
        <is>
          <t>Allmännings- och besparingsskogar</t>
        </is>
      </c>
      <c r="G390" t="n">
        <v>7.3</v>
      </c>
      <c r="H390" t="n">
        <v>0</v>
      </c>
      <c r="I390" t="n">
        <v>0</v>
      </c>
      <c r="J390" t="n">
        <v>0</v>
      </c>
      <c r="K390" t="n">
        <v>0</v>
      </c>
      <c r="L390" t="n">
        <v>0</v>
      </c>
      <c r="M390" t="n">
        <v>0</v>
      </c>
      <c r="N390" t="n">
        <v>0</v>
      </c>
      <c r="O390" t="n">
        <v>0</v>
      </c>
      <c r="P390" t="n">
        <v>0</v>
      </c>
      <c r="Q390" t="n">
        <v>0</v>
      </c>
      <c r="R390" s="2" t="inlineStr"/>
    </row>
    <row r="391" ht="15" customHeight="1">
      <c r="A391" t="inlineStr">
        <is>
          <t>A 50056-2025</t>
        </is>
      </c>
      <c r="B391" s="1" t="n">
        <v>45941</v>
      </c>
      <c r="C391" s="1" t="n">
        <v>46030</v>
      </c>
      <c r="D391" t="inlineStr">
        <is>
          <t>ÖSTERGÖTLANDS LÄN</t>
        </is>
      </c>
      <c r="E391" t="inlineStr">
        <is>
          <t>LINKÖPING</t>
        </is>
      </c>
      <c r="G391" t="n">
        <v>0.3</v>
      </c>
      <c r="H391" t="n">
        <v>0</v>
      </c>
      <c r="I391" t="n">
        <v>0</v>
      </c>
      <c r="J391" t="n">
        <v>0</v>
      </c>
      <c r="K391" t="n">
        <v>0</v>
      </c>
      <c r="L391" t="n">
        <v>0</v>
      </c>
      <c r="M391" t="n">
        <v>0</v>
      </c>
      <c r="N391" t="n">
        <v>0</v>
      </c>
      <c r="O391" t="n">
        <v>0</v>
      </c>
      <c r="P391" t="n">
        <v>0</v>
      </c>
      <c r="Q391" t="n">
        <v>0</v>
      </c>
      <c r="R391" s="2" t="inlineStr"/>
    </row>
    <row r="392" ht="15" customHeight="1">
      <c r="A392" t="inlineStr">
        <is>
          <t>A 35179-2025</t>
        </is>
      </c>
      <c r="B392" s="1" t="n">
        <v>45852.93737268518</v>
      </c>
      <c r="C392" s="1" t="n">
        <v>46030</v>
      </c>
      <c r="D392" t="inlineStr">
        <is>
          <t>ÖSTERGÖTLANDS LÄN</t>
        </is>
      </c>
      <c r="E392" t="inlineStr">
        <is>
          <t>LINKÖPING</t>
        </is>
      </c>
      <c r="G392" t="n">
        <v>2.2</v>
      </c>
      <c r="H392" t="n">
        <v>0</v>
      </c>
      <c r="I392" t="n">
        <v>0</v>
      </c>
      <c r="J392" t="n">
        <v>0</v>
      </c>
      <c r="K392" t="n">
        <v>0</v>
      </c>
      <c r="L392" t="n">
        <v>0</v>
      </c>
      <c r="M392" t="n">
        <v>0</v>
      </c>
      <c r="N392" t="n">
        <v>0</v>
      </c>
      <c r="O392" t="n">
        <v>0</v>
      </c>
      <c r="P392" t="n">
        <v>0</v>
      </c>
      <c r="Q392" t="n">
        <v>0</v>
      </c>
      <c r="R392" s="2" t="inlineStr"/>
    </row>
    <row r="393" ht="15" customHeight="1">
      <c r="A393" t="inlineStr">
        <is>
          <t>A 35180-2025</t>
        </is>
      </c>
      <c r="B393" s="1" t="n">
        <v>45852.9413425926</v>
      </c>
      <c r="C393" s="1" t="n">
        <v>46030</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35178-2025</t>
        </is>
      </c>
      <c r="B394" s="1" t="n">
        <v>45852.91939814815</v>
      </c>
      <c r="C394" s="1" t="n">
        <v>46030</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46030</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6387-2022</t>
        </is>
      </c>
      <c r="B396" s="1" t="n">
        <v>44600</v>
      </c>
      <c r="C396" s="1" t="n">
        <v>46030</v>
      </c>
      <c r="D396" t="inlineStr">
        <is>
          <t>ÖSTERGÖTLANDS LÄN</t>
        </is>
      </c>
      <c r="E396" t="inlineStr">
        <is>
          <t>LINKÖPING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48707-2023</t>
        </is>
      </c>
      <c r="B397" s="1" t="n">
        <v>45202</v>
      </c>
      <c r="C397" s="1" t="n">
        <v>46030</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35757-2025</t>
        </is>
      </c>
      <c r="B398" s="1" t="n">
        <v>45860.59876157407</v>
      </c>
      <c r="C398" s="1" t="n">
        <v>46030</v>
      </c>
      <c r="D398" t="inlineStr">
        <is>
          <t>ÖSTERGÖTLANDS LÄN</t>
        </is>
      </c>
      <c r="E398" t="inlineStr">
        <is>
          <t>LINKÖPING</t>
        </is>
      </c>
      <c r="G398" t="n">
        <v>5.7</v>
      </c>
      <c r="H398" t="n">
        <v>0</v>
      </c>
      <c r="I398" t="n">
        <v>0</v>
      </c>
      <c r="J398" t="n">
        <v>0</v>
      </c>
      <c r="K398" t="n">
        <v>0</v>
      </c>
      <c r="L398" t="n">
        <v>0</v>
      </c>
      <c r="M398" t="n">
        <v>0</v>
      </c>
      <c r="N398" t="n">
        <v>0</v>
      </c>
      <c r="O398" t="n">
        <v>0</v>
      </c>
      <c r="P398" t="n">
        <v>0</v>
      </c>
      <c r="Q398" t="n">
        <v>0</v>
      </c>
      <c r="R398" s="2" t="inlineStr"/>
    </row>
    <row r="399" ht="15" customHeight="1">
      <c r="A399" t="inlineStr">
        <is>
          <t>A 35745-2025</t>
        </is>
      </c>
      <c r="B399" s="1" t="n">
        <v>45860.54739583333</v>
      </c>
      <c r="C399" s="1" t="n">
        <v>46030</v>
      </c>
      <c r="D399" t="inlineStr">
        <is>
          <t>ÖSTERGÖTLANDS LÄN</t>
        </is>
      </c>
      <c r="E399" t="inlineStr">
        <is>
          <t>LINKÖPING</t>
        </is>
      </c>
      <c r="G399" t="n">
        <v>4.4</v>
      </c>
      <c r="H399" t="n">
        <v>0</v>
      </c>
      <c r="I399" t="n">
        <v>0</v>
      </c>
      <c r="J399" t="n">
        <v>0</v>
      </c>
      <c r="K399" t="n">
        <v>0</v>
      </c>
      <c r="L399" t="n">
        <v>0</v>
      </c>
      <c r="M399" t="n">
        <v>0</v>
      </c>
      <c r="N399" t="n">
        <v>0</v>
      </c>
      <c r="O399" t="n">
        <v>0</v>
      </c>
      <c r="P399" t="n">
        <v>0</v>
      </c>
      <c r="Q399" t="n">
        <v>0</v>
      </c>
      <c r="R399" s="2" t="inlineStr"/>
    </row>
    <row r="400" ht="15" customHeight="1">
      <c r="A400" t="inlineStr">
        <is>
          <t>A 35747-2025</t>
        </is>
      </c>
      <c r="B400" s="1" t="n">
        <v>45860.56385416666</v>
      </c>
      <c r="C400" s="1" t="n">
        <v>46030</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35759-2025</t>
        </is>
      </c>
      <c r="B401" s="1" t="n">
        <v>45860</v>
      </c>
      <c r="C401" s="1" t="n">
        <v>46030</v>
      </c>
      <c r="D401" t="inlineStr">
        <is>
          <t>ÖSTERGÖTLANDS LÄN</t>
        </is>
      </c>
      <c r="E401" t="inlineStr">
        <is>
          <t>LINKÖPING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59472-2025</t>
        </is>
      </c>
      <c r="B402" s="1" t="n">
        <v>45989.58321759259</v>
      </c>
      <c r="C402" s="1" t="n">
        <v>46030</v>
      </c>
      <c r="D402" t="inlineStr">
        <is>
          <t>ÖSTERGÖTLANDS LÄN</t>
        </is>
      </c>
      <c r="E402" t="inlineStr">
        <is>
          <t>LINKÖPING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12089-2025</t>
        </is>
      </c>
      <c r="B403" s="1" t="n">
        <v>45729</v>
      </c>
      <c r="C403" s="1" t="n">
        <v>46030</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15658-2023</t>
        </is>
      </c>
      <c r="B404" s="1" t="n">
        <v>45021.41194444444</v>
      </c>
      <c r="C404" s="1" t="n">
        <v>46030</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38886-2024</t>
        </is>
      </c>
      <c r="B405" s="1" t="n">
        <v>45547.66443287037</v>
      </c>
      <c r="C405" s="1" t="n">
        <v>46030</v>
      </c>
      <c r="D405" t="inlineStr">
        <is>
          <t>ÖSTERGÖTLANDS LÄN</t>
        </is>
      </c>
      <c r="E405" t="inlineStr">
        <is>
          <t>LINKÖPING</t>
        </is>
      </c>
      <c r="G405" t="n">
        <v>5.3</v>
      </c>
      <c r="H405" t="n">
        <v>0</v>
      </c>
      <c r="I405" t="n">
        <v>0</v>
      </c>
      <c r="J405" t="n">
        <v>0</v>
      </c>
      <c r="K405" t="n">
        <v>0</v>
      </c>
      <c r="L405" t="n">
        <v>0</v>
      </c>
      <c r="M405" t="n">
        <v>0</v>
      </c>
      <c r="N405" t="n">
        <v>0</v>
      </c>
      <c r="O405" t="n">
        <v>0</v>
      </c>
      <c r="P405" t="n">
        <v>0</v>
      </c>
      <c r="Q405" t="n">
        <v>0</v>
      </c>
      <c r="R405" s="2" t="inlineStr"/>
    </row>
    <row r="406" ht="15" customHeight="1">
      <c r="A406" t="inlineStr">
        <is>
          <t>A 51583-2024</t>
        </is>
      </c>
      <c r="B406" s="1" t="n">
        <v>45604.6397337963</v>
      </c>
      <c r="C406" s="1" t="n">
        <v>46030</v>
      </c>
      <c r="D406" t="inlineStr">
        <is>
          <t>ÖSTERGÖTLANDS LÄN</t>
        </is>
      </c>
      <c r="E406" t="inlineStr">
        <is>
          <t>LINKÖPING</t>
        </is>
      </c>
      <c r="F406" t="inlineStr">
        <is>
          <t>Övriga Aktiebolag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64694-2023</t>
        </is>
      </c>
      <c r="B407" s="1" t="n">
        <v>45281</v>
      </c>
      <c r="C407" s="1" t="n">
        <v>46030</v>
      </c>
      <c r="D407" t="inlineStr">
        <is>
          <t>ÖSTERGÖTLANDS LÄN</t>
        </is>
      </c>
      <c r="E407" t="inlineStr">
        <is>
          <t>LINKÖPING</t>
        </is>
      </c>
      <c r="F407" t="inlineStr">
        <is>
          <t>Övriga statliga verk och myndigheter</t>
        </is>
      </c>
      <c r="G407" t="n">
        <v>4.9</v>
      </c>
      <c r="H407" t="n">
        <v>0</v>
      </c>
      <c r="I407" t="n">
        <v>0</v>
      </c>
      <c r="J407" t="n">
        <v>0</v>
      </c>
      <c r="K407" t="n">
        <v>0</v>
      </c>
      <c r="L407" t="n">
        <v>0</v>
      </c>
      <c r="M407" t="n">
        <v>0</v>
      </c>
      <c r="N407" t="n">
        <v>0</v>
      </c>
      <c r="O407" t="n">
        <v>0</v>
      </c>
      <c r="P407" t="n">
        <v>0</v>
      </c>
      <c r="Q407" t="n">
        <v>0</v>
      </c>
      <c r="R407" s="2" t="inlineStr"/>
    </row>
    <row r="408" ht="15" customHeight="1">
      <c r="A408" t="inlineStr">
        <is>
          <t>A 32602-2022</t>
        </is>
      </c>
      <c r="B408" s="1" t="n">
        <v>44783.43192129629</v>
      </c>
      <c r="C408" s="1" t="n">
        <v>46030</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62321-2022</t>
        </is>
      </c>
      <c r="B409" s="1" t="n">
        <v>44916</v>
      </c>
      <c r="C409" s="1" t="n">
        <v>46030</v>
      </c>
      <c r="D409" t="inlineStr">
        <is>
          <t>ÖSTERGÖTLANDS LÄN</t>
        </is>
      </c>
      <c r="E409" t="inlineStr">
        <is>
          <t>LINKÖPING</t>
        </is>
      </c>
      <c r="F409" t="inlineStr">
        <is>
          <t>Kommuner</t>
        </is>
      </c>
      <c r="G409" t="n">
        <v>5.3</v>
      </c>
      <c r="H409" t="n">
        <v>0</v>
      </c>
      <c r="I409" t="n">
        <v>0</v>
      </c>
      <c r="J409" t="n">
        <v>0</v>
      </c>
      <c r="K409" t="n">
        <v>0</v>
      </c>
      <c r="L409" t="n">
        <v>0</v>
      </c>
      <c r="M409" t="n">
        <v>0</v>
      </c>
      <c r="N409" t="n">
        <v>0</v>
      </c>
      <c r="O409" t="n">
        <v>0</v>
      </c>
      <c r="P409" t="n">
        <v>0</v>
      </c>
      <c r="Q409" t="n">
        <v>0</v>
      </c>
      <c r="R409" s="2" t="inlineStr"/>
    </row>
    <row r="410" ht="15" customHeight="1">
      <c r="A410" t="inlineStr">
        <is>
          <t>A 51802-2025</t>
        </is>
      </c>
      <c r="B410" s="1" t="n">
        <v>45950</v>
      </c>
      <c r="C410" s="1" t="n">
        <v>46030</v>
      </c>
      <c r="D410" t="inlineStr">
        <is>
          <t>ÖSTERGÖTLANDS LÄN</t>
        </is>
      </c>
      <c r="E410" t="inlineStr">
        <is>
          <t>LINKÖPING</t>
        </is>
      </c>
      <c r="F410" t="inlineStr">
        <is>
          <t>Övriga Aktiebolag</t>
        </is>
      </c>
      <c r="G410" t="n">
        <v>2</v>
      </c>
      <c r="H410" t="n">
        <v>0</v>
      </c>
      <c r="I410" t="n">
        <v>0</v>
      </c>
      <c r="J410" t="n">
        <v>0</v>
      </c>
      <c r="K410" t="n">
        <v>0</v>
      </c>
      <c r="L410" t="n">
        <v>0</v>
      </c>
      <c r="M410" t="n">
        <v>0</v>
      </c>
      <c r="N410" t="n">
        <v>0</v>
      </c>
      <c r="O410" t="n">
        <v>0</v>
      </c>
      <c r="P410" t="n">
        <v>0</v>
      </c>
      <c r="Q410" t="n">
        <v>0</v>
      </c>
      <c r="R410" s="2" t="inlineStr"/>
    </row>
    <row r="411" ht="15" customHeight="1">
      <c r="A411" t="inlineStr">
        <is>
          <t>A 1084-2023</t>
        </is>
      </c>
      <c r="B411" s="1" t="n">
        <v>44929</v>
      </c>
      <c r="C411" s="1" t="n">
        <v>46030</v>
      </c>
      <c r="D411" t="inlineStr">
        <is>
          <t>ÖSTERGÖTLANDS LÄN</t>
        </is>
      </c>
      <c r="E411" t="inlineStr">
        <is>
          <t>LINKÖPING</t>
        </is>
      </c>
      <c r="G411" t="n">
        <v>10.4</v>
      </c>
      <c r="H411" t="n">
        <v>0</v>
      </c>
      <c r="I411" t="n">
        <v>0</v>
      </c>
      <c r="J411" t="n">
        <v>0</v>
      </c>
      <c r="K411" t="n">
        <v>0</v>
      </c>
      <c r="L411" t="n">
        <v>0</v>
      </c>
      <c r="M411" t="n">
        <v>0</v>
      </c>
      <c r="N411" t="n">
        <v>0</v>
      </c>
      <c r="O411" t="n">
        <v>0</v>
      </c>
      <c r="P411" t="n">
        <v>0</v>
      </c>
      <c r="Q411" t="n">
        <v>0</v>
      </c>
      <c r="R411" s="2" t="inlineStr"/>
    </row>
    <row r="412" ht="15" customHeight="1">
      <c r="A412" t="inlineStr">
        <is>
          <t>A 267-2023</t>
        </is>
      </c>
      <c r="B412" s="1" t="n">
        <v>44928.80907407407</v>
      </c>
      <c r="C412" s="1" t="n">
        <v>46030</v>
      </c>
      <c r="D412" t="inlineStr">
        <is>
          <t>ÖSTERGÖTLANDS LÄN</t>
        </is>
      </c>
      <c r="E412" t="inlineStr">
        <is>
          <t>LINKÖPING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940-2023</t>
        </is>
      </c>
      <c r="B413" s="1" t="n">
        <v>44933</v>
      </c>
      <c r="C413" s="1" t="n">
        <v>46030</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10253-2022</t>
        </is>
      </c>
      <c r="B414" s="1" t="n">
        <v>44622</v>
      </c>
      <c r="C414" s="1" t="n">
        <v>46030</v>
      </c>
      <c r="D414" t="inlineStr">
        <is>
          <t>ÖSTERGÖTLANDS LÄN</t>
        </is>
      </c>
      <c r="E414" t="inlineStr">
        <is>
          <t>LINKÖPING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6369-2023</t>
        </is>
      </c>
      <c r="B415" s="1" t="n">
        <v>44965.61106481482</v>
      </c>
      <c r="C415" s="1" t="n">
        <v>46030</v>
      </c>
      <c r="D415" t="inlineStr">
        <is>
          <t>ÖSTERGÖTLANDS LÄN</t>
        </is>
      </c>
      <c r="E415" t="inlineStr">
        <is>
          <t>LINKÖPING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30980-2022</t>
        </is>
      </c>
      <c r="B416" s="1" t="n">
        <v>44768</v>
      </c>
      <c r="C416" s="1" t="n">
        <v>46030</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37057-2025</t>
        </is>
      </c>
      <c r="B417" s="1" t="n">
        <v>45875.37489583333</v>
      </c>
      <c r="C417" s="1" t="n">
        <v>46030</v>
      </c>
      <c r="D417" t="inlineStr">
        <is>
          <t>ÖSTERGÖTLANDS LÄN</t>
        </is>
      </c>
      <c r="E417" t="inlineStr">
        <is>
          <t>LINKÖPING</t>
        </is>
      </c>
      <c r="G417" t="n">
        <v>3.3</v>
      </c>
      <c r="H417" t="n">
        <v>0</v>
      </c>
      <c r="I417" t="n">
        <v>0</v>
      </c>
      <c r="J417" t="n">
        <v>0</v>
      </c>
      <c r="K417" t="n">
        <v>0</v>
      </c>
      <c r="L417" t="n">
        <v>0</v>
      </c>
      <c r="M417" t="n">
        <v>0</v>
      </c>
      <c r="N417" t="n">
        <v>0</v>
      </c>
      <c r="O417" t="n">
        <v>0</v>
      </c>
      <c r="P417" t="n">
        <v>0</v>
      </c>
      <c r="Q417" t="n">
        <v>0</v>
      </c>
      <c r="R417" s="2" t="inlineStr"/>
    </row>
    <row r="418" ht="15" customHeight="1">
      <c r="A418" t="inlineStr">
        <is>
          <t>A 60007-2022</t>
        </is>
      </c>
      <c r="B418" s="1" t="n">
        <v>44909.47282407407</v>
      </c>
      <c r="C418" s="1" t="n">
        <v>46030</v>
      </c>
      <c r="D418" t="inlineStr">
        <is>
          <t>ÖSTERGÖTLANDS LÄN</t>
        </is>
      </c>
      <c r="E418" t="inlineStr">
        <is>
          <t>LINKÖPING</t>
        </is>
      </c>
      <c r="G418" t="n">
        <v>1.2</v>
      </c>
      <c r="H418" t="n">
        <v>0</v>
      </c>
      <c r="I418" t="n">
        <v>0</v>
      </c>
      <c r="J418" t="n">
        <v>0</v>
      </c>
      <c r="K418" t="n">
        <v>0</v>
      </c>
      <c r="L418" t="n">
        <v>0</v>
      </c>
      <c r="M418" t="n">
        <v>0</v>
      </c>
      <c r="N418" t="n">
        <v>0</v>
      </c>
      <c r="O418" t="n">
        <v>0</v>
      </c>
      <c r="P418" t="n">
        <v>0</v>
      </c>
      <c r="Q418" t="n">
        <v>0</v>
      </c>
      <c r="R418" s="2" t="inlineStr"/>
    </row>
    <row r="419" ht="15" customHeight="1">
      <c r="A419" t="inlineStr">
        <is>
          <t>A 50799-2022</t>
        </is>
      </c>
      <c r="B419" s="1" t="n">
        <v>44862</v>
      </c>
      <c r="C419" s="1" t="n">
        <v>46030</v>
      </c>
      <c r="D419" t="inlineStr">
        <is>
          <t>ÖSTERGÖTLANDS LÄN</t>
        </is>
      </c>
      <c r="E419" t="inlineStr">
        <is>
          <t>LINKÖPING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56064-2022</t>
        </is>
      </c>
      <c r="B420" s="1" t="n">
        <v>44889.59107638889</v>
      </c>
      <c r="C420" s="1" t="n">
        <v>46030</v>
      </c>
      <c r="D420" t="inlineStr">
        <is>
          <t>ÖSTERGÖTLANDS LÄN</t>
        </is>
      </c>
      <c r="E420" t="inlineStr">
        <is>
          <t>LINKÖPING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47703-2023</t>
        </is>
      </c>
      <c r="B421" s="1" t="n">
        <v>45203</v>
      </c>
      <c r="C421" s="1" t="n">
        <v>46030</v>
      </c>
      <c r="D421" t="inlineStr">
        <is>
          <t>ÖSTERGÖTLANDS LÄN</t>
        </is>
      </c>
      <c r="E421" t="inlineStr">
        <is>
          <t>LINKÖPING</t>
        </is>
      </c>
      <c r="G421" t="n">
        <v>4.1</v>
      </c>
      <c r="H421" t="n">
        <v>0</v>
      </c>
      <c r="I421" t="n">
        <v>0</v>
      </c>
      <c r="J421" t="n">
        <v>0</v>
      </c>
      <c r="K421" t="n">
        <v>0</v>
      </c>
      <c r="L421" t="n">
        <v>0</v>
      </c>
      <c r="M421" t="n">
        <v>0</v>
      </c>
      <c r="N421" t="n">
        <v>0</v>
      </c>
      <c r="O421" t="n">
        <v>0</v>
      </c>
      <c r="P421" t="n">
        <v>0</v>
      </c>
      <c r="Q421" t="n">
        <v>0</v>
      </c>
      <c r="R421" s="2" t="inlineStr"/>
    </row>
    <row r="422" ht="15" customHeight="1">
      <c r="A422" t="inlineStr">
        <is>
          <t>A 60284-2025</t>
        </is>
      </c>
      <c r="B422" s="1" t="n">
        <v>45994.64373842593</v>
      </c>
      <c r="C422" s="1" t="n">
        <v>46030</v>
      </c>
      <c r="D422" t="inlineStr">
        <is>
          <t>ÖSTERGÖTLANDS LÄN</t>
        </is>
      </c>
      <c r="E422" t="inlineStr">
        <is>
          <t>LINKÖPING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60306-2025</t>
        </is>
      </c>
      <c r="B423" s="1" t="n">
        <v>45994.68326388889</v>
      </c>
      <c r="C423" s="1" t="n">
        <v>46030</v>
      </c>
      <c r="D423" t="inlineStr">
        <is>
          <t>ÖSTERGÖTLANDS LÄN</t>
        </is>
      </c>
      <c r="E423" t="inlineStr">
        <is>
          <t>LINKÖPING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60087-2025</t>
        </is>
      </c>
      <c r="B424" s="1" t="n">
        <v>45993.71726851852</v>
      </c>
      <c r="C424" s="1" t="n">
        <v>46030</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16111-2022</t>
        </is>
      </c>
      <c r="B425" s="1" t="n">
        <v>44665</v>
      </c>
      <c r="C425" s="1" t="n">
        <v>46030</v>
      </c>
      <c r="D425" t="inlineStr">
        <is>
          <t>ÖSTERGÖTLANDS LÄN</t>
        </is>
      </c>
      <c r="E425" t="inlineStr">
        <is>
          <t>LINKÖPING</t>
        </is>
      </c>
      <c r="F425" t="inlineStr">
        <is>
          <t>Övriga Aktiebolag</t>
        </is>
      </c>
      <c r="G425" t="n">
        <v>2.9</v>
      </c>
      <c r="H425" t="n">
        <v>0</v>
      </c>
      <c r="I425" t="n">
        <v>0</v>
      </c>
      <c r="J425" t="n">
        <v>0</v>
      </c>
      <c r="K425" t="n">
        <v>0</v>
      </c>
      <c r="L425" t="n">
        <v>0</v>
      </c>
      <c r="M425" t="n">
        <v>0</v>
      </c>
      <c r="N425" t="n">
        <v>0</v>
      </c>
      <c r="O425" t="n">
        <v>0</v>
      </c>
      <c r="P425" t="n">
        <v>0</v>
      </c>
      <c r="Q425" t="n">
        <v>0</v>
      </c>
      <c r="R425" s="2" t="inlineStr"/>
    </row>
    <row r="426" ht="15" customHeight="1">
      <c r="A426" t="inlineStr">
        <is>
          <t>A 52111-2025</t>
        </is>
      </c>
      <c r="B426" s="1" t="n">
        <v>45952.69527777778</v>
      </c>
      <c r="C426" s="1" t="n">
        <v>46030</v>
      </c>
      <c r="D426" t="inlineStr">
        <is>
          <t>ÖSTERGÖTLANDS LÄN</t>
        </is>
      </c>
      <c r="E426" t="inlineStr">
        <is>
          <t>LINKÖPING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48962-2022</t>
        </is>
      </c>
      <c r="B427" s="1" t="n">
        <v>44860.31635416667</v>
      </c>
      <c r="C427" s="1" t="n">
        <v>46030</v>
      </c>
      <c r="D427" t="inlineStr">
        <is>
          <t>ÖSTERGÖTLANDS LÄN</t>
        </is>
      </c>
      <c r="E427" t="inlineStr">
        <is>
          <t>LINKÖPING</t>
        </is>
      </c>
      <c r="G427" t="n">
        <v>2.9</v>
      </c>
      <c r="H427" t="n">
        <v>0</v>
      </c>
      <c r="I427" t="n">
        <v>0</v>
      </c>
      <c r="J427" t="n">
        <v>0</v>
      </c>
      <c r="K427" t="n">
        <v>0</v>
      </c>
      <c r="L427" t="n">
        <v>0</v>
      </c>
      <c r="M427" t="n">
        <v>0</v>
      </c>
      <c r="N427" t="n">
        <v>0</v>
      </c>
      <c r="O427" t="n">
        <v>0</v>
      </c>
      <c r="P427" t="n">
        <v>0</v>
      </c>
      <c r="Q427" t="n">
        <v>0</v>
      </c>
      <c r="R427" s="2" t="inlineStr"/>
    </row>
    <row r="428" ht="15" customHeight="1">
      <c r="A428" t="inlineStr">
        <is>
          <t>A 27891-2021</t>
        </is>
      </c>
      <c r="B428" s="1" t="n">
        <v>44354.65108796296</v>
      </c>
      <c r="C428" s="1" t="n">
        <v>46030</v>
      </c>
      <c r="D428" t="inlineStr">
        <is>
          <t>ÖSTERGÖTLANDS LÄN</t>
        </is>
      </c>
      <c r="E428" t="inlineStr">
        <is>
          <t>LINKÖPING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58802-2025</t>
        </is>
      </c>
      <c r="B429" s="1" t="n">
        <v>45986.8768287037</v>
      </c>
      <c r="C429" s="1" t="n">
        <v>46030</v>
      </c>
      <c r="D429" t="inlineStr">
        <is>
          <t>ÖSTERGÖTLANDS LÄN</t>
        </is>
      </c>
      <c r="E429" t="inlineStr">
        <is>
          <t>LINKÖPING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25829-2025</t>
        </is>
      </c>
      <c r="B430" s="1" t="n">
        <v>45804.44505787037</v>
      </c>
      <c r="C430" s="1" t="n">
        <v>46030</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38046-2025</t>
        </is>
      </c>
      <c r="B431" s="1" t="n">
        <v>45882.39939814815</v>
      </c>
      <c r="C431" s="1" t="n">
        <v>46030</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1268-2023</t>
        </is>
      </c>
      <c r="B432" s="1" t="n">
        <v>44936</v>
      </c>
      <c r="C432" s="1" t="n">
        <v>46030</v>
      </c>
      <c r="D432" t="inlineStr">
        <is>
          <t>ÖSTERGÖTLANDS LÄN</t>
        </is>
      </c>
      <c r="E432" t="inlineStr">
        <is>
          <t>LINKÖPING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55004-2025</t>
        </is>
      </c>
      <c r="B433" s="1" t="n">
        <v>45967</v>
      </c>
      <c r="C433" s="1" t="n">
        <v>46030</v>
      </c>
      <c r="D433" t="inlineStr">
        <is>
          <t>ÖSTERGÖTLANDS LÄN</t>
        </is>
      </c>
      <c r="E433" t="inlineStr">
        <is>
          <t>LINKÖPING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62687-2023</t>
        </is>
      </c>
      <c r="B434" s="1" t="n">
        <v>45271</v>
      </c>
      <c r="C434" s="1" t="n">
        <v>46030</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52740-2025</t>
        </is>
      </c>
      <c r="B435" s="1" t="n">
        <v>45957.37747685185</v>
      </c>
      <c r="C435" s="1" t="n">
        <v>46030</v>
      </c>
      <c r="D435" t="inlineStr">
        <is>
          <t>ÖSTERGÖTLANDS LÄN</t>
        </is>
      </c>
      <c r="E435" t="inlineStr">
        <is>
          <t>LINKÖPING</t>
        </is>
      </c>
      <c r="G435" t="n">
        <v>3.7</v>
      </c>
      <c r="H435" t="n">
        <v>0</v>
      </c>
      <c r="I435" t="n">
        <v>0</v>
      </c>
      <c r="J435" t="n">
        <v>0</v>
      </c>
      <c r="K435" t="n">
        <v>0</v>
      </c>
      <c r="L435" t="n">
        <v>0</v>
      </c>
      <c r="M435" t="n">
        <v>0</v>
      </c>
      <c r="N435" t="n">
        <v>0</v>
      </c>
      <c r="O435" t="n">
        <v>0</v>
      </c>
      <c r="P435" t="n">
        <v>0</v>
      </c>
      <c r="Q435" t="n">
        <v>0</v>
      </c>
      <c r="R435" s="2" t="inlineStr"/>
    </row>
    <row r="436" ht="15" customHeight="1">
      <c r="A436" t="inlineStr">
        <is>
          <t>A 34641-2022</t>
        </is>
      </c>
      <c r="B436" s="1" t="n">
        <v>44795</v>
      </c>
      <c r="C436" s="1" t="n">
        <v>46030</v>
      </c>
      <c r="D436" t="inlineStr">
        <is>
          <t>ÖSTERGÖTLANDS LÄN</t>
        </is>
      </c>
      <c r="E436" t="inlineStr">
        <is>
          <t>LINKÖPING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60866-2025</t>
        </is>
      </c>
      <c r="B437" s="1" t="n">
        <v>45999</v>
      </c>
      <c r="C437" s="1" t="n">
        <v>46030</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938-2023</t>
        </is>
      </c>
      <c r="B438" s="1" t="n">
        <v>44933</v>
      </c>
      <c r="C438" s="1" t="n">
        <v>46030</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2389-2023</t>
        </is>
      </c>
      <c r="B439" s="1" t="n">
        <v>44942</v>
      </c>
      <c r="C439" s="1" t="n">
        <v>46030</v>
      </c>
      <c r="D439" t="inlineStr">
        <is>
          <t>ÖSTERGÖTLANDS LÄN</t>
        </is>
      </c>
      <c r="E439" t="inlineStr">
        <is>
          <t>LINKÖPING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52800-2025</t>
        </is>
      </c>
      <c r="B440" s="1" t="n">
        <v>45957.44152777778</v>
      </c>
      <c r="C440" s="1" t="n">
        <v>46030</v>
      </c>
      <c r="D440" t="inlineStr">
        <is>
          <t>ÖSTERGÖTLANDS LÄN</t>
        </is>
      </c>
      <c r="E440" t="inlineStr">
        <is>
          <t>LINKÖPING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52802-2025</t>
        </is>
      </c>
      <c r="B441" s="1" t="n">
        <v>45957.44295138889</v>
      </c>
      <c r="C441" s="1" t="n">
        <v>46030</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48-2024</t>
        </is>
      </c>
      <c r="B442" s="1" t="n">
        <v>45293</v>
      </c>
      <c r="C442" s="1" t="n">
        <v>46030</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45771-2023</t>
        </is>
      </c>
      <c r="B443" s="1" t="n">
        <v>45195.4384375</v>
      </c>
      <c r="C443" s="1" t="n">
        <v>46030</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30547-2023</t>
        </is>
      </c>
      <c r="B444" s="1" t="n">
        <v>45111.75905092592</v>
      </c>
      <c r="C444" s="1" t="n">
        <v>46030</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40502-2024</t>
        </is>
      </c>
      <c r="B445" s="1" t="n">
        <v>45555.57263888889</v>
      </c>
      <c r="C445" s="1" t="n">
        <v>46030</v>
      </c>
      <c r="D445" t="inlineStr">
        <is>
          <t>ÖSTERGÖTLANDS LÄN</t>
        </is>
      </c>
      <c r="E445" t="inlineStr">
        <is>
          <t>LINKÖPING</t>
        </is>
      </c>
      <c r="F445" t="inlineStr">
        <is>
          <t>Allmännings- och besparingsskogar</t>
        </is>
      </c>
      <c r="G445" t="n">
        <v>17.5</v>
      </c>
      <c r="H445" t="n">
        <v>0</v>
      </c>
      <c r="I445" t="n">
        <v>0</v>
      </c>
      <c r="J445" t="n">
        <v>0</v>
      </c>
      <c r="K445" t="n">
        <v>0</v>
      </c>
      <c r="L445" t="n">
        <v>0</v>
      </c>
      <c r="M445" t="n">
        <v>0</v>
      </c>
      <c r="N445" t="n">
        <v>0</v>
      </c>
      <c r="O445" t="n">
        <v>0</v>
      </c>
      <c r="P445" t="n">
        <v>0</v>
      </c>
      <c r="Q445" t="n">
        <v>0</v>
      </c>
      <c r="R445" s="2" t="inlineStr"/>
    </row>
    <row r="446" ht="15" customHeight="1">
      <c r="A446" t="inlineStr">
        <is>
          <t>A 52743-2025</t>
        </is>
      </c>
      <c r="B446" s="1" t="n">
        <v>45957.38039351852</v>
      </c>
      <c r="C446" s="1" t="n">
        <v>46030</v>
      </c>
      <c r="D446" t="inlineStr">
        <is>
          <t>ÖSTERGÖTLANDS LÄN</t>
        </is>
      </c>
      <c r="E446" t="inlineStr">
        <is>
          <t>LINKÖPING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52807-2025</t>
        </is>
      </c>
      <c r="B447" s="1" t="n">
        <v>45957.44837962963</v>
      </c>
      <c r="C447" s="1" t="n">
        <v>46030</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60703-2025</t>
        </is>
      </c>
      <c r="B448" s="1" t="n">
        <v>45996.6052662037</v>
      </c>
      <c r="C448" s="1" t="n">
        <v>46030</v>
      </c>
      <c r="D448" t="inlineStr">
        <is>
          <t>ÖSTERGÖTLANDS LÄN</t>
        </is>
      </c>
      <c r="E448" t="inlineStr">
        <is>
          <t>LINKÖPING</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24464-2023</t>
        </is>
      </c>
      <c r="B449" s="1" t="n">
        <v>45082.58068287037</v>
      </c>
      <c r="C449" s="1" t="n">
        <v>46030</v>
      </c>
      <c r="D449" t="inlineStr">
        <is>
          <t>ÖSTERGÖTLANDS LÄN</t>
        </is>
      </c>
      <c r="E449" t="inlineStr">
        <is>
          <t>LINKÖPING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24467-2023</t>
        </is>
      </c>
      <c r="B450" s="1" t="n">
        <v>45082</v>
      </c>
      <c r="C450" s="1" t="n">
        <v>46030</v>
      </c>
      <c r="D450" t="inlineStr">
        <is>
          <t>ÖSTERGÖTLANDS LÄN</t>
        </is>
      </c>
      <c r="E450" t="inlineStr">
        <is>
          <t>LINKÖPING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61281-2021</t>
        </is>
      </c>
      <c r="B451" s="1" t="n">
        <v>44498.60736111111</v>
      </c>
      <c r="C451" s="1" t="n">
        <v>46030</v>
      </c>
      <c r="D451" t="inlineStr">
        <is>
          <t>ÖSTERGÖTLANDS LÄN</t>
        </is>
      </c>
      <c r="E451" t="inlineStr">
        <is>
          <t>LINKÖPING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25292-2021</t>
        </is>
      </c>
      <c r="B452" s="1" t="n">
        <v>44342</v>
      </c>
      <c r="C452" s="1" t="n">
        <v>46030</v>
      </c>
      <c r="D452" t="inlineStr">
        <is>
          <t>ÖSTERGÖTLANDS LÄN</t>
        </is>
      </c>
      <c r="E452" t="inlineStr">
        <is>
          <t>LINKÖPING</t>
        </is>
      </c>
      <c r="F452" t="inlineStr">
        <is>
          <t>Övriga Aktiebolag</t>
        </is>
      </c>
      <c r="G452" t="n">
        <v>12.8</v>
      </c>
      <c r="H452" t="n">
        <v>0</v>
      </c>
      <c r="I452" t="n">
        <v>0</v>
      </c>
      <c r="J452" t="n">
        <v>0</v>
      </c>
      <c r="K452" t="n">
        <v>0</v>
      </c>
      <c r="L452" t="n">
        <v>0</v>
      </c>
      <c r="M452" t="n">
        <v>0</v>
      </c>
      <c r="N452" t="n">
        <v>0</v>
      </c>
      <c r="O452" t="n">
        <v>0</v>
      </c>
      <c r="P452" t="n">
        <v>0</v>
      </c>
      <c r="Q452" t="n">
        <v>0</v>
      </c>
      <c r="R452" s="2" t="inlineStr"/>
    </row>
    <row r="453" ht="15" customHeight="1">
      <c r="A453" t="inlineStr">
        <is>
          <t>A 48389-2024</t>
        </is>
      </c>
      <c r="B453" s="1" t="n">
        <v>45590.59991898148</v>
      </c>
      <c r="C453" s="1" t="n">
        <v>46030</v>
      </c>
      <c r="D453" t="inlineStr">
        <is>
          <t>ÖSTERGÖTLANDS LÄN</t>
        </is>
      </c>
      <c r="E453" t="inlineStr">
        <is>
          <t>LINKÖPING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63935-2021</t>
        </is>
      </c>
      <c r="B454" s="1" t="n">
        <v>44509</v>
      </c>
      <c r="C454" s="1" t="n">
        <v>46030</v>
      </c>
      <c r="D454" t="inlineStr">
        <is>
          <t>ÖSTERGÖTLANDS LÄN</t>
        </is>
      </c>
      <c r="E454" t="inlineStr">
        <is>
          <t>LINKÖPING</t>
        </is>
      </c>
      <c r="F454" t="inlineStr">
        <is>
          <t>Övriga statliga verk och myndigheter</t>
        </is>
      </c>
      <c r="G454" t="n">
        <v>2.8</v>
      </c>
      <c r="H454" t="n">
        <v>0</v>
      </c>
      <c r="I454" t="n">
        <v>0</v>
      </c>
      <c r="J454" t="n">
        <v>0</v>
      </c>
      <c r="K454" t="n">
        <v>0</v>
      </c>
      <c r="L454" t="n">
        <v>0</v>
      </c>
      <c r="M454" t="n">
        <v>0</v>
      </c>
      <c r="N454" t="n">
        <v>0</v>
      </c>
      <c r="O454" t="n">
        <v>0</v>
      </c>
      <c r="P454" t="n">
        <v>0</v>
      </c>
      <c r="Q454" t="n">
        <v>0</v>
      </c>
      <c r="R454" s="2" t="inlineStr"/>
    </row>
    <row r="455" ht="15" customHeight="1">
      <c r="A455" t="inlineStr">
        <is>
          <t>A 38971-2025</t>
        </is>
      </c>
      <c r="B455" s="1" t="n">
        <v>45887.71827546296</v>
      </c>
      <c r="C455" s="1" t="n">
        <v>46030</v>
      </c>
      <c r="D455" t="inlineStr">
        <is>
          <t>ÖSTERGÖTLANDS LÄN</t>
        </is>
      </c>
      <c r="E455" t="inlineStr">
        <is>
          <t>LINKÖPING</t>
        </is>
      </c>
      <c r="G455" t="n">
        <v>3.9</v>
      </c>
      <c r="H455" t="n">
        <v>0</v>
      </c>
      <c r="I455" t="n">
        <v>0</v>
      </c>
      <c r="J455" t="n">
        <v>0</v>
      </c>
      <c r="K455" t="n">
        <v>0</v>
      </c>
      <c r="L455" t="n">
        <v>0</v>
      </c>
      <c r="M455" t="n">
        <v>0</v>
      </c>
      <c r="N455" t="n">
        <v>0</v>
      </c>
      <c r="O455" t="n">
        <v>0</v>
      </c>
      <c r="P455" t="n">
        <v>0</v>
      </c>
      <c r="Q455" t="n">
        <v>0</v>
      </c>
      <c r="R455" s="2" t="inlineStr"/>
    </row>
    <row r="456" ht="15" customHeight="1">
      <c r="A456" t="inlineStr">
        <is>
          <t>A 61447-2025</t>
        </is>
      </c>
      <c r="B456" s="1" t="n">
        <v>46001.57554398148</v>
      </c>
      <c r="C456" s="1" t="n">
        <v>46030</v>
      </c>
      <c r="D456" t="inlineStr">
        <is>
          <t>ÖSTERGÖTLANDS LÄN</t>
        </is>
      </c>
      <c r="E456" t="inlineStr">
        <is>
          <t>LINKÖPING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55345-2021</t>
        </is>
      </c>
      <c r="B457" s="1" t="n">
        <v>44475</v>
      </c>
      <c r="C457" s="1" t="n">
        <v>46030</v>
      </c>
      <c r="D457" t="inlineStr">
        <is>
          <t>ÖSTERGÖTLANDS LÄN</t>
        </is>
      </c>
      <c r="E457" t="inlineStr">
        <is>
          <t>LINKÖPING</t>
        </is>
      </c>
      <c r="G457" t="n">
        <v>5.7</v>
      </c>
      <c r="H457" t="n">
        <v>0</v>
      </c>
      <c r="I457" t="n">
        <v>0</v>
      </c>
      <c r="J457" t="n">
        <v>0</v>
      </c>
      <c r="K457" t="n">
        <v>0</v>
      </c>
      <c r="L457" t="n">
        <v>0</v>
      </c>
      <c r="M457" t="n">
        <v>0</v>
      </c>
      <c r="N457" t="n">
        <v>0</v>
      </c>
      <c r="O457" t="n">
        <v>0</v>
      </c>
      <c r="P457" t="n">
        <v>0</v>
      </c>
      <c r="Q457" t="n">
        <v>0</v>
      </c>
      <c r="R457" s="2" t="inlineStr"/>
    </row>
    <row r="458" ht="15" customHeight="1">
      <c r="A458" t="inlineStr">
        <is>
          <t>A 56792-2023</t>
        </is>
      </c>
      <c r="B458" s="1" t="n">
        <v>45244</v>
      </c>
      <c r="C458" s="1" t="n">
        <v>46030</v>
      </c>
      <c r="D458" t="inlineStr">
        <is>
          <t>ÖSTERGÖTLANDS LÄN</t>
        </is>
      </c>
      <c r="E458" t="inlineStr">
        <is>
          <t>LINKÖPING</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39017-2021</t>
        </is>
      </c>
      <c r="B459" s="1" t="n">
        <v>44412</v>
      </c>
      <c r="C459" s="1" t="n">
        <v>46030</v>
      </c>
      <c r="D459" t="inlineStr">
        <is>
          <t>ÖSTERGÖTLANDS LÄN</t>
        </is>
      </c>
      <c r="E459" t="inlineStr">
        <is>
          <t>LINKÖPING</t>
        </is>
      </c>
      <c r="F459" t="inlineStr">
        <is>
          <t>Övriga statliga verk och myndigheter</t>
        </is>
      </c>
      <c r="G459" t="n">
        <v>0.8</v>
      </c>
      <c r="H459" t="n">
        <v>0</v>
      </c>
      <c r="I459" t="n">
        <v>0</v>
      </c>
      <c r="J459" t="n">
        <v>0</v>
      </c>
      <c r="K459" t="n">
        <v>0</v>
      </c>
      <c r="L459" t="n">
        <v>0</v>
      </c>
      <c r="M459" t="n">
        <v>0</v>
      </c>
      <c r="N459" t="n">
        <v>0</v>
      </c>
      <c r="O459" t="n">
        <v>0</v>
      </c>
      <c r="P459" t="n">
        <v>0</v>
      </c>
      <c r="Q459" t="n">
        <v>0</v>
      </c>
      <c r="R459" s="2" t="inlineStr"/>
    </row>
    <row r="460" ht="15" customHeight="1">
      <c r="A460" t="inlineStr">
        <is>
          <t>A 1260-2023</t>
        </is>
      </c>
      <c r="B460" s="1" t="n">
        <v>44936</v>
      </c>
      <c r="C460" s="1" t="n">
        <v>46030</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1355-2023</t>
        </is>
      </c>
      <c r="B461" s="1" t="n">
        <v>44931</v>
      </c>
      <c r="C461" s="1" t="n">
        <v>46030</v>
      </c>
      <c r="D461" t="inlineStr">
        <is>
          <t>ÖSTERGÖTLANDS LÄN</t>
        </is>
      </c>
      <c r="E461" t="inlineStr">
        <is>
          <t>LINKÖPING</t>
        </is>
      </c>
      <c r="G461" t="n">
        <v>4</v>
      </c>
      <c r="H461" t="n">
        <v>0</v>
      </c>
      <c r="I461" t="n">
        <v>0</v>
      </c>
      <c r="J461" t="n">
        <v>0</v>
      </c>
      <c r="K461" t="n">
        <v>0</v>
      </c>
      <c r="L461" t="n">
        <v>0</v>
      </c>
      <c r="M461" t="n">
        <v>0</v>
      </c>
      <c r="N461" t="n">
        <v>0</v>
      </c>
      <c r="O461" t="n">
        <v>0</v>
      </c>
      <c r="P461" t="n">
        <v>0</v>
      </c>
      <c r="Q461" t="n">
        <v>0</v>
      </c>
      <c r="R461" s="2" t="inlineStr"/>
    </row>
    <row r="462" ht="15" customHeight="1">
      <c r="A462" t="inlineStr">
        <is>
          <t>A 3007-2025</t>
        </is>
      </c>
      <c r="B462" s="1" t="n">
        <v>45678.56328703704</v>
      </c>
      <c r="C462" s="1" t="n">
        <v>46030</v>
      </c>
      <c r="D462" t="inlineStr">
        <is>
          <t>ÖSTERGÖTLANDS LÄN</t>
        </is>
      </c>
      <c r="E462" t="inlineStr">
        <is>
          <t>LINKÖPING</t>
        </is>
      </c>
      <c r="G462" t="n">
        <v>3.1</v>
      </c>
      <c r="H462" t="n">
        <v>0</v>
      </c>
      <c r="I462" t="n">
        <v>0</v>
      </c>
      <c r="J462" t="n">
        <v>0</v>
      </c>
      <c r="K462" t="n">
        <v>0</v>
      </c>
      <c r="L462" t="n">
        <v>0</v>
      </c>
      <c r="M462" t="n">
        <v>0</v>
      </c>
      <c r="N462" t="n">
        <v>0</v>
      </c>
      <c r="O462" t="n">
        <v>0</v>
      </c>
      <c r="P462" t="n">
        <v>0</v>
      </c>
      <c r="Q462" t="n">
        <v>0</v>
      </c>
      <c r="R462" s="2" t="inlineStr"/>
    </row>
    <row r="463" ht="15" customHeight="1">
      <c r="A463" t="inlineStr">
        <is>
          <t>A 10492-2022</t>
        </is>
      </c>
      <c r="B463" s="1" t="n">
        <v>44623.6377199074</v>
      </c>
      <c r="C463" s="1" t="n">
        <v>46030</v>
      </c>
      <c r="D463" t="inlineStr">
        <is>
          <t>ÖSTERGÖTLANDS LÄN</t>
        </is>
      </c>
      <c r="E463" t="inlineStr">
        <is>
          <t>LINKÖPING</t>
        </is>
      </c>
      <c r="G463" t="n">
        <v>2.1</v>
      </c>
      <c r="H463" t="n">
        <v>0</v>
      </c>
      <c r="I463" t="n">
        <v>0</v>
      </c>
      <c r="J463" t="n">
        <v>0</v>
      </c>
      <c r="K463" t="n">
        <v>0</v>
      </c>
      <c r="L463" t="n">
        <v>0</v>
      </c>
      <c r="M463" t="n">
        <v>0</v>
      </c>
      <c r="N463" t="n">
        <v>0</v>
      </c>
      <c r="O463" t="n">
        <v>0</v>
      </c>
      <c r="P463" t="n">
        <v>0</v>
      </c>
      <c r="Q463" t="n">
        <v>0</v>
      </c>
      <c r="R463" s="2" t="inlineStr"/>
    </row>
    <row r="464" ht="15" customHeight="1">
      <c r="A464" t="inlineStr">
        <is>
          <t>A 61899-2025</t>
        </is>
      </c>
      <c r="B464" s="1" t="n">
        <v>46003.46635416667</v>
      </c>
      <c r="C464" s="1" t="n">
        <v>46030</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61643-2025</t>
        </is>
      </c>
      <c r="B465" s="1" t="n">
        <v>46002.43575231481</v>
      </c>
      <c r="C465" s="1" t="n">
        <v>46030</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30465-2023</t>
        </is>
      </c>
      <c r="B466" s="1" t="n">
        <v>45111</v>
      </c>
      <c r="C466" s="1" t="n">
        <v>46030</v>
      </c>
      <c r="D466" t="inlineStr">
        <is>
          <t>ÖSTERGÖTLANDS LÄN</t>
        </is>
      </c>
      <c r="E466" t="inlineStr">
        <is>
          <t>LINKÖPING</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61645-2025</t>
        </is>
      </c>
      <c r="B467" s="1" t="n">
        <v>46002.43697916667</v>
      </c>
      <c r="C467" s="1" t="n">
        <v>46030</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39021-2021</t>
        </is>
      </c>
      <c r="B468" s="1" t="n">
        <v>44412</v>
      </c>
      <c r="C468" s="1" t="n">
        <v>46030</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62353-2022</t>
        </is>
      </c>
      <c r="B469" s="1" t="n">
        <v>44923</v>
      </c>
      <c r="C469" s="1" t="n">
        <v>46030</v>
      </c>
      <c r="D469" t="inlineStr">
        <is>
          <t>ÖSTERGÖTLANDS LÄN</t>
        </is>
      </c>
      <c r="E469" t="inlineStr">
        <is>
          <t>LINKÖPING</t>
        </is>
      </c>
      <c r="F469" t="inlineStr">
        <is>
          <t>Allmännings- och besparingsskogar</t>
        </is>
      </c>
      <c r="G469" t="n">
        <v>1.7</v>
      </c>
      <c r="H469" t="n">
        <v>0</v>
      </c>
      <c r="I469" t="n">
        <v>0</v>
      </c>
      <c r="J469" t="n">
        <v>0</v>
      </c>
      <c r="K469" t="n">
        <v>0</v>
      </c>
      <c r="L469" t="n">
        <v>0</v>
      </c>
      <c r="M469" t="n">
        <v>0</v>
      </c>
      <c r="N469" t="n">
        <v>0</v>
      </c>
      <c r="O469" t="n">
        <v>0</v>
      </c>
      <c r="P469" t="n">
        <v>0</v>
      </c>
      <c r="Q469" t="n">
        <v>0</v>
      </c>
      <c r="R469" s="2" t="inlineStr"/>
    </row>
    <row r="470" ht="15" customHeight="1">
      <c r="A470" t="inlineStr">
        <is>
          <t>A 30111-2024</t>
        </is>
      </c>
      <c r="B470" s="1" t="n">
        <v>45489.46947916667</v>
      </c>
      <c r="C470" s="1" t="n">
        <v>46030</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30119-2024</t>
        </is>
      </c>
      <c r="B471" s="1" t="n">
        <v>45489</v>
      </c>
      <c r="C471" s="1" t="n">
        <v>46030</v>
      </c>
      <c r="D471" t="inlineStr">
        <is>
          <t>ÖSTERGÖTLANDS LÄN</t>
        </is>
      </c>
      <c r="E471" t="inlineStr">
        <is>
          <t>LINKÖPING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54332-2025</t>
        </is>
      </c>
      <c r="B472" s="1" t="n">
        <v>45965.34915509259</v>
      </c>
      <c r="C472" s="1" t="n">
        <v>46030</v>
      </c>
      <c r="D472" t="inlineStr">
        <is>
          <t>ÖSTERGÖTLANDS LÄN</t>
        </is>
      </c>
      <c r="E472" t="inlineStr">
        <is>
          <t>LINKÖPING</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29411-2023</t>
        </is>
      </c>
      <c r="B473" s="1" t="n">
        <v>45106.46225694445</v>
      </c>
      <c r="C473" s="1" t="n">
        <v>46030</v>
      </c>
      <c r="D473" t="inlineStr">
        <is>
          <t>ÖSTERGÖTLANDS LÄN</t>
        </is>
      </c>
      <c r="E473" t="inlineStr">
        <is>
          <t>LINKÖPING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29412-2023</t>
        </is>
      </c>
      <c r="B474" s="1" t="n">
        <v>45106.46359953703</v>
      </c>
      <c r="C474" s="1" t="n">
        <v>46030</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54329-2025</t>
        </is>
      </c>
      <c r="B475" s="1" t="n">
        <v>45965.34706018519</v>
      </c>
      <c r="C475" s="1" t="n">
        <v>46030</v>
      </c>
      <c r="D475" t="inlineStr">
        <is>
          <t>ÖSTERGÖTLANDS LÄN</t>
        </is>
      </c>
      <c r="E475" t="inlineStr">
        <is>
          <t>LINKÖPING</t>
        </is>
      </c>
      <c r="F475" t="inlineStr">
        <is>
          <t>Sveaskog</t>
        </is>
      </c>
      <c r="G475" t="n">
        <v>5.1</v>
      </c>
      <c r="H475" t="n">
        <v>0</v>
      </c>
      <c r="I475" t="n">
        <v>0</v>
      </c>
      <c r="J475" t="n">
        <v>0</v>
      </c>
      <c r="K475" t="n">
        <v>0</v>
      </c>
      <c r="L475" t="n">
        <v>0</v>
      </c>
      <c r="M475" t="n">
        <v>0</v>
      </c>
      <c r="N475" t="n">
        <v>0</v>
      </c>
      <c r="O475" t="n">
        <v>0</v>
      </c>
      <c r="P475" t="n">
        <v>0</v>
      </c>
      <c r="Q475" t="n">
        <v>0</v>
      </c>
      <c r="R475" s="2" t="inlineStr"/>
    </row>
    <row r="476" ht="15" customHeight="1">
      <c r="A476" t="inlineStr">
        <is>
          <t>A 31792-2021</t>
        </is>
      </c>
      <c r="B476" s="1" t="n">
        <v>44369</v>
      </c>
      <c r="C476" s="1" t="n">
        <v>46030</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421-2024</t>
        </is>
      </c>
      <c r="B477" s="1" t="n">
        <v>45296.51877314815</v>
      </c>
      <c r="C477" s="1" t="n">
        <v>46030</v>
      </c>
      <c r="D477" t="inlineStr">
        <is>
          <t>ÖSTERGÖTLANDS LÄN</t>
        </is>
      </c>
      <c r="E477" t="inlineStr">
        <is>
          <t>LINKÖPING</t>
        </is>
      </c>
      <c r="G477" t="n">
        <v>3.7</v>
      </c>
      <c r="H477" t="n">
        <v>0</v>
      </c>
      <c r="I477" t="n">
        <v>0</v>
      </c>
      <c r="J477" t="n">
        <v>0</v>
      </c>
      <c r="K477" t="n">
        <v>0</v>
      </c>
      <c r="L477" t="n">
        <v>0</v>
      </c>
      <c r="M477" t="n">
        <v>0</v>
      </c>
      <c r="N477" t="n">
        <v>0</v>
      </c>
      <c r="O477" t="n">
        <v>0</v>
      </c>
      <c r="P477" t="n">
        <v>0</v>
      </c>
      <c r="Q477" t="n">
        <v>0</v>
      </c>
      <c r="R477" s="2" t="inlineStr"/>
    </row>
    <row r="478" ht="15" customHeight="1">
      <c r="A478" t="inlineStr">
        <is>
          <t>A 61230-2025</t>
        </is>
      </c>
      <c r="B478" s="1" t="n">
        <v>46000.63111111111</v>
      </c>
      <c r="C478" s="1" t="n">
        <v>46030</v>
      </c>
      <c r="D478" t="inlineStr">
        <is>
          <t>ÖSTERGÖTLANDS LÄN</t>
        </is>
      </c>
      <c r="E478" t="inlineStr">
        <is>
          <t>LINKÖPING</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22043-2023</t>
        </is>
      </c>
      <c r="B479" s="1" t="n">
        <v>45069.39050925926</v>
      </c>
      <c r="C479" s="1" t="n">
        <v>46030</v>
      </c>
      <c r="D479" t="inlineStr">
        <is>
          <t>ÖSTERGÖTLANDS LÄN</t>
        </is>
      </c>
      <c r="E479" t="inlineStr">
        <is>
          <t>LINKÖPING</t>
        </is>
      </c>
      <c r="G479" t="n">
        <v>5.9</v>
      </c>
      <c r="H479" t="n">
        <v>0</v>
      </c>
      <c r="I479" t="n">
        <v>0</v>
      </c>
      <c r="J479" t="n">
        <v>0</v>
      </c>
      <c r="K479" t="n">
        <v>0</v>
      </c>
      <c r="L479" t="n">
        <v>0</v>
      </c>
      <c r="M479" t="n">
        <v>0</v>
      </c>
      <c r="N479" t="n">
        <v>0</v>
      </c>
      <c r="O479" t="n">
        <v>0</v>
      </c>
      <c r="P479" t="n">
        <v>0</v>
      </c>
      <c r="Q479" t="n">
        <v>0</v>
      </c>
      <c r="R479" s="2" t="inlineStr"/>
    </row>
    <row r="480" ht="15" customHeight="1">
      <c r="A480" t="inlineStr">
        <is>
          <t>A 62515-2025</t>
        </is>
      </c>
      <c r="B480" s="1" t="n">
        <v>46007.60548611111</v>
      </c>
      <c r="C480" s="1" t="n">
        <v>46030</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61532-2021</t>
        </is>
      </c>
      <c r="B481" s="1" t="n">
        <v>44501</v>
      </c>
      <c r="C481" s="1" t="n">
        <v>46030</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14028-2024</t>
        </is>
      </c>
      <c r="B482" s="1" t="n">
        <v>45392</v>
      </c>
      <c r="C482" s="1" t="n">
        <v>46030</v>
      </c>
      <c r="D482" t="inlineStr">
        <is>
          <t>ÖSTERGÖTLANDS LÄN</t>
        </is>
      </c>
      <c r="E482" t="inlineStr">
        <is>
          <t>LINKÖPING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40431-2024</t>
        </is>
      </c>
      <c r="B483" s="1" t="n">
        <v>45555.47070601852</v>
      </c>
      <c r="C483" s="1" t="n">
        <v>46030</v>
      </c>
      <c r="D483" t="inlineStr">
        <is>
          <t>ÖSTERGÖTLANDS LÄN</t>
        </is>
      </c>
      <c r="E483" t="inlineStr">
        <is>
          <t>LINKÖPING</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60860-2024</t>
        </is>
      </c>
      <c r="B484" s="1" t="n">
        <v>45644.6893287037</v>
      </c>
      <c r="C484" s="1" t="n">
        <v>46030</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54333-2025</t>
        </is>
      </c>
      <c r="B485" s="1" t="n">
        <v>45965.35090277778</v>
      </c>
      <c r="C485" s="1" t="n">
        <v>46030</v>
      </c>
      <c r="D485" t="inlineStr">
        <is>
          <t>ÖSTERGÖTLANDS LÄN</t>
        </is>
      </c>
      <c r="E485" t="inlineStr">
        <is>
          <t>LINKÖPING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46030</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62686-2025</t>
        </is>
      </c>
      <c r="B487" s="1" t="n">
        <v>46008.46769675926</v>
      </c>
      <c r="C487" s="1" t="n">
        <v>46030</v>
      </c>
      <c r="D487" t="inlineStr">
        <is>
          <t>ÖSTERGÖTLANDS LÄN</t>
        </is>
      </c>
      <c r="E487" t="inlineStr">
        <is>
          <t>LINKÖPING</t>
        </is>
      </c>
      <c r="G487" t="n">
        <v>7.6</v>
      </c>
      <c r="H487" t="n">
        <v>0</v>
      </c>
      <c r="I487" t="n">
        <v>0</v>
      </c>
      <c r="J487" t="n">
        <v>0</v>
      </c>
      <c r="K487" t="n">
        <v>0</v>
      </c>
      <c r="L487" t="n">
        <v>0</v>
      </c>
      <c r="M487" t="n">
        <v>0</v>
      </c>
      <c r="N487" t="n">
        <v>0</v>
      </c>
      <c r="O487" t="n">
        <v>0</v>
      </c>
      <c r="P487" t="n">
        <v>0</v>
      </c>
      <c r="Q487" t="n">
        <v>0</v>
      </c>
      <c r="R487" s="2" t="inlineStr"/>
    </row>
    <row r="488" ht="15" customHeight="1">
      <c r="A488" t="inlineStr">
        <is>
          <t>A 45806-2024</t>
        </is>
      </c>
      <c r="B488" s="1" t="n">
        <v>45579.69619212963</v>
      </c>
      <c r="C488" s="1" t="n">
        <v>46030</v>
      </c>
      <c r="D488" t="inlineStr">
        <is>
          <t>ÖSTERGÖTLANDS LÄN</t>
        </is>
      </c>
      <c r="E488" t="inlineStr">
        <is>
          <t>LINKÖPING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56756-2023</t>
        </is>
      </c>
      <c r="B489" s="1" t="n">
        <v>45244</v>
      </c>
      <c r="C489" s="1" t="n">
        <v>46030</v>
      </c>
      <c r="D489" t="inlineStr">
        <is>
          <t>ÖSTERGÖTLANDS LÄN</t>
        </is>
      </c>
      <c r="E489" t="inlineStr">
        <is>
          <t>LINKÖPING</t>
        </is>
      </c>
      <c r="F489" t="inlineStr">
        <is>
          <t>Övriga Aktiebolag</t>
        </is>
      </c>
      <c r="G489" t="n">
        <v>0.8</v>
      </c>
      <c r="H489" t="n">
        <v>0</v>
      </c>
      <c r="I489" t="n">
        <v>0</v>
      </c>
      <c r="J489" t="n">
        <v>0</v>
      </c>
      <c r="K489" t="n">
        <v>0</v>
      </c>
      <c r="L489" t="n">
        <v>0</v>
      </c>
      <c r="M489" t="n">
        <v>0</v>
      </c>
      <c r="N489" t="n">
        <v>0</v>
      </c>
      <c r="O489" t="n">
        <v>0</v>
      </c>
      <c r="P489" t="n">
        <v>0</v>
      </c>
      <c r="Q489" t="n">
        <v>0</v>
      </c>
      <c r="R489" s="2" t="inlineStr"/>
    </row>
    <row r="490" ht="15" customHeight="1">
      <c r="A490" t="inlineStr">
        <is>
          <t>A 60985-2023</t>
        </is>
      </c>
      <c r="B490" s="1" t="n">
        <v>45261.48429398148</v>
      </c>
      <c r="C490" s="1" t="n">
        <v>46030</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62791-2025</t>
        </is>
      </c>
      <c r="B491" s="1" t="n">
        <v>46008.63266203704</v>
      </c>
      <c r="C491" s="1" t="n">
        <v>46030</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24904-2024</t>
        </is>
      </c>
      <c r="B492" s="1" t="n">
        <v>45461</v>
      </c>
      <c r="C492" s="1" t="n">
        <v>46030</v>
      </c>
      <c r="D492" t="inlineStr">
        <is>
          <t>ÖSTERGÖTLANDS LÄN</t>
        </is>
      </c>
      <c r="E492" t="inlineStr">
        <is>
          <t>LINKÖPING</t>
        </is>
      </c>
      <c r="G492" t="n">
        <v>3.8</v>
      </c>
      <c r="H492" t="n">
        <v>0</v>
      </c>
      <c r="I492" t="n">
        <v>0</v>
      </c>
      <c r="J492" t="n">
        <v>0</v>
      </c>
      <c r="K492" t="n">
        <v>0</v>
      </c>
      <c r="L492" t="n">
        <v>0</v>
      </c>
      <c r="M492" t="n">
        <v>0</v>
      </c>
      <c r="N492" t="n">
        <v>0</v>
      </c>
      <c r="O492" t="n">
        <v>0</v>
      </c>
      <c r="P492" t="n">
        <v>0</v>
      </c>
      <c r="Q492" t="n">
        <v>0</v>
      </c>
      <c r="R492" s="2" t="inlineStr"/>
    </row>
    <row r="493" ht="15" customHeight="1">
      <c r="A493" t="inlineStr">
        <is>
          <t>A 55009-2023</t>
        </is>
      </c>
      <c r="B493" s="1" t="n">
        <v>45237</v>
      </c>
      <c r="C493" s="1" t="n">
        <v>46030</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34872-2023</t>
        </is>
      </c>
      <c r="B494" s="1" t="n">
        <v>45140</v>
      </c>
      <c r="C494" s="1" t="n">
        <v>46030</v>
      </c>
      <c r="D494" t="inlineStr">
        <is>
          <t>ÖSTERGÖTLANDS LÄN</t>
        </is>
      </c>
      <c r="E494" t="inlineStr">
        <is>
          <t>LINKÖPING</t>
        </is>
      </c>
      <c r="G494" t="n">
        <v>4.8</v>
      </c>
      <c r="H494" t="n">
        <v>0</v>
      </c>
      <c r="I494" t="n">
        <v>0</v>
      </c>
      <c r="J494" t="n">
        <v>0</v>
      </c>
      <c r="K494" t="n">
        <v>0</v>
      </c>
      <c r="L494" t="n">
        <v>0</v>
      </c>
      <c r="M494" t="n">
        <v>0</v>
      </c>
      <c r="N494" t="n">
        <v>0</v>
      </c>
      <c r="O494" t="n">
        <v>0</v>
      </c>
      <c r="P494" t="n">
        <v>0</v>
      </c>
      <c r="Q494" t="n">
        <v>0</v>
      </c>
      <c r="R494" s="2" t="inlineStr"/>
    </row>
    <row r="495" ht="15" customHeight="1">
      <c r="A495" t="inlineStr">
        <is>
          <t>A 55102-2025</t>
        </is>
      </c>
      <c r="B495" s="1" t="n">
        <v>45968.35410879629</v>
      </c>
      <c r="C495" s="1" t="n">
        <v>46030</v>
      </c>
      <c r="D495" t="inlineStr">
        <is>
          <t>ÖSTERGÖTLANDS LÄN</t>
        </is>
      </c>
      <c r="E495" t="inlineStr">
        <is>
          <t>LINKÖPING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36336-2022</t>
        </is>
      </c>
      <c r="B496" s="1" t="n">
        <v>44803</v>
      </c>
      <c r="C496" s="1" t="n">
        <v>46030</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55132-2025</t>
        </is>
      </c>
      <c r="B497" s="1" t="n">
        <v>45968.41912037037</v>
      </c>
      <c r="C497" s="1" t="n">
        <v>46030</v>
      </c>
      <c r="D497" t="inlineStr">
        <is>
          <t>ÖSTERGÖTLANDS LÄN</t>
        </is>
      </c>
      <c r="E497" t="inlineStr">
        <is>
          <t>LINKÖPING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63147-2025</t>
        </is>
      </c>
      <c r="B498" s="1" t="n">
        <v>46010.35003472222</v>
      </c>
      <c r="C498" s="1" t="n">
        <v>46030</v>
      </c>
      <c r="D498" t="inlineStr">
        <is>
          <t>ÖSTERGÖTLANDS LÄN</t>
        </is>
      </c>
      <c r="E498" t="inlineStr">
        <is>
          <t>LINKÖPING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25097-2023</t>
        </is>
      </c>
      <c r="B499" s="1" t="n">
        <v>45086</v>
      </c>
      <c r="C499" s="1" t="n">
        <v>46030</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55109-2025</t>
        </is>
      </c>
      <c r="B500" s="1" t="n">
        <v>45968.37731481482</v>
      </c>
      <c r="C500" s="1" t="n">
        <v>46030</v>
      </c>
      <c r="D500" t="inlineStr">
        <is>
          <t>ÖSTERGÖTLANDS LÄN</t>
        </is>
      </c>
      <c r="E500" t="inlineStr">
        <is>
          <t>LINKÖPING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59205-2025</t>
        </is>
      </c>
      <c r="B501" s="1" t="n">
        <v>45988.60721064815</v>
      </c>
      <c r="C501" s="1" t="n">
        <v>46030</v>
      </c>
      <c r="D501" t="inlineStr">
        <is>
          <t>ÖSTERGÖTLANDS LÄN</t>
        </is>
      </c>
      <c r="E501" t="inlineStr">
        <is>
          <t>LINKÖPING</t>
        </is>
      </c>
      <c r="F501" t="inlineStr">
        <is>
          <t>Sveaskog</t>
        </is>
      </c>
      <c r="G501" t="n">
        <v>11.3</v>
      </c>
      <c r="H501" t="n">
        <v>0</v>
      </c>
      <c r="I501" t="n">
        <v>0</v>
      </c>
      <c r="J501" t="n">
        <v>0</v>
      </c>
      <c r="K501" t="n">
        <v>0</v>
      </c>
      <c r="L501" t="n">
        <v>0</v>
      </c>
      <c r="M501" t="n">
        <v>0</v>
      </c>
      <c r="N501" t="n">
        <v>0</v>
      </c>
      <c r="O501" t="n">
        <v>0</v>
      </c>
      <c r="P501" t="n">
        <v>0</v>
      </c>
      <c r="Q501" t="n">
        <v>0</v>
      </c>
      <c r="R501" s="2" t="inlineStr"/>
    </row>
    <row r="502" ht="15" customHeight="1">
      <c r="A502" t="inlineStr">
        <is>
          <t>A 63144-2025</t>
        </is>
      </c>
      <c r="B502" s="1" t="n">
        <v>46010.34716435185</v>
      </c>
      <c r="C502" s="1" t="n">
        <v>46030</v>
      </c>
      <c r="D502" t="inlineStr">
        <is>
          <t>ÖSTERGÖTLANDS LÄN</t>
        </is>
      </c>
      <c r="E502" t="inlineStr">
        <is>
          <t>LINKÖPING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10461-2023</t>
        </is>
      </c>
      <c r="B503" s="1" t="n">
        <v>44987.5969212963</v>
      </c>
      <c r="C503" s="1" t="n">
        <v>46030</v>
      </c>
      <c r="D503" t="inlineStr">
        <is>
          <t>ÖSTERGÖTLANDS LÄN</t>
        </is>
      </c>
      <c r="E503" t="inlineStr">
        <is>
          <t>LINKÖPING</t>
        </is>
      </c>
      <c r="G503" t="n">
        <v>7.8</v>
      </c>
      <c r="H503" t="n">
        <v>0</v>
      </c>
      <c r="I503" t="n">
        <v>0</v>
      </c>
      <c r="J503" t="n">
        <v>0</v>
      </c>
      <c r="K503" t="n">
        <v>0</v>
      </c>
      <c r="L503" t="n">
        <v>0</v>
      </c>
      <c r="M503" t="n">
        <v>0</v>
      </c>
      <c r="N503" t="n">
        <v>0</v>
      </c>
      <c r="O503" t="n">
        <v>0</v>
      </c>
      <c r="P503" t="n">
        <v>0</v>
      </c>
      <c r="Q503" t="n">
        <v>0</v>
      </c>
      <c r="R503" s="2" t="inlineStr"/>
    </row>
    <row r="504" ht="15" customHeight="1">
      <c r="A504" t="inlineStr">
        <is>
          <t>A 50386-2021</t>
        </is>
      </c>
      <c r="B504" s="1" t="n">
        <v>44459</v>
      </c>
      <c r="C504" s="1" t="n">
        <v>46030</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350-2022</t>
        </is>
      </c>
      <c r="B505" s="1" t="n">
        <v>44565</v>
      </c>
      <c r="C505" s="1" t="n">
        <v>46030</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18891-2022</t>
        </is>
      </c>
      <c r="B506" s="1" t="n">
        <v>44690</v>
      </c>
      <c r="C506" s="1" t="n">
        <v>46030</v>
      </c>
      <c r="D506" t="inlineStr">
        <is>
          <t>ÖSTERGÖTLANDS LÄN</t>
        </is>
      </c>
      <c r="E506" t="inlineStr">
        <is>
          <t>LINKÖPING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30976-2022</t>
        </is>
      </c>
      <c r="B507" s="1" t="n">
        <v>44768</v>
      </c>
      <c r="C507" s="1" t="n">
        <v>46030</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55736-2022</t>
        </is>
      </c>
      <c r="B508" s="1" t="n">
        <v>44888</v>
      </c>
      <c r="C508" s="1" t="n">
        <v>46030</v>
      </c>
      <c r="D508" t="inlineStr">
        <is>
          <t>ÖSTERGÖTLANDS LÄN</t>
        </is>
      </c>
      <c r="E508" t="inlineStr">
        <is>
          <t>LINKÖPING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10194-2023</t>
        </is>
      </c>
      <c r="B509" s="1" t="n">
        <v>44986.52277777778</v>
      </c>
      <c r="C509" s="1" t="n">
        <v>46030</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7702-2023</t>
        </is>
      </c>
      <c r="B510" s="1" t="n">
        <v>44967</v>
      </c>
      <c r="C510" s="1" t="n">
        <v>46030</v>
      </c>
      <c r="D510" t="inlineStr">
        <is>
          <t>ÖSTERGÖTLANDS LÄN</t>
        </is>
      </c>
      <c r="E510" t="inlineStr">
        <is>
          <t>LINKÖPING</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42000-2023</t>
        </is>
      </c>
      <c r="B511" s="1" t="n">
        <v>45177</v>
      </c>
      <c r="C511" s="1" t="n">
        <v>46030</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31534-2023</t>
        </is>
      </c>
      <c r="B512" s="1" t="n">
        <v>45116</v>
      </c>
      <c r="C512" s="1" t="n">
        <v>46030</v>
      </c>
      <c r="D512" t="inlineStr">
        <is>
          <t>ÖSTERGÖTLANDS LÄN</t>
        </is>
      </c>
      <c r="E512" t="inlineStr">
        <is>
          <t>LINKÖPING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35427-2023</t>
        </is>
      </c>
      <c r="B513" s="1" t="n">
        <v>45146</v>
      </c>
      <c r="C513" s="1" t="n">
        <v>46030</v>
      </c>
      <c r="D513" t="inlineStr">
        <is>
          <t>ÖSTERGÖTLANDS LÄN</t>
        </is>
      </c>
      <c r="E513" t="inlineStr">
        <is>
          <t>LINKÖPING</t>
        </is>
      </c>
      <c r="F513" t="inlineStr">
        <is>
          <t>Övriga Aktiebolag</t>
        </is>
      </c>
      <c r="G513" t="n">
        <v>2.5</v>
      </c>
      <c r="H513" t="n">
        <v>0</v>
      </c>
      <c r="I513" t="n">
        <v>0</v>
      </c>
      <c r="J513" t="n">
        <v>0</v>
      </c>
      <c r="K513" t="n">
        <v>0</v>
      </c>
      <c r="L513" t="n">
        <v>0</v>
      </c>
      <c r="M513" t="n">
        <v>0</v>
      </c>
      <c r="N513" t="n">
        <v>0</v>
      </c>
      <c r="O513" t="n">
        <v>0</v>
      </c>
      <c r="P513" t="n">
        <v>0</v>
      </c>
      <c r="Q513" t="n">
        <v>0</v>
      </c>
      <c r="R513" s="2" t="inlineStr"/>
    </row>
    <row r="514" ht="15" customHeight="1">
      <c r="A514" t="inlineStr">
        <is>
          <t>A 36725-2023</t>
        </is>
      </c>
      <c r="B514" s="1" t="n">
        <v>45153.68471064815</v>
      </c>
      <c r="C514" s="1" t="n">
        <v>46030</v>
      </c>
      <c r="D514" t="inlineStr">
        <is>
          <t>ÖSTERGÖTLANDS LÄN</t>
        </is>
      </c>
      <c r="E514" t="inlineStr">
        <is>
          <t>LINKÖPING</t>
        </is>
      </c>
      <c r="F514" t="inlineStr">
        <is>
          <t>Allmännings- och besparingsskogar</t>
        </is>
      </c>
      <c r="G514" t="n">
        <v>2.6</v>
      </c>
      <c r="H514" t="n">
        <v>0</v>
      </c>
      <c r="I514" t="n">
        <v>0</v>
      </c>
      <c r="J514" t="n">
        <v>0</v>
      </c>
      <c r="K514" t="n">
        <v>0</v>
      </c>
      <c r="L514" t="n">
        <v>0</v>
      </c>
      <c r="M514" t="n">
        <v>0</v>
      </c>
      <c r="N514" t="n">
        <v>0</v>
      </c>
      <c r="O514" t="n">
        <v>0</v>
      </c>
      <c r="P514" t="n">
        <v>0</v>
      </c>
      <c r="Q514" t="n">
        <v>0</v>
      </c>
      <c r="R514" s="2" t="inlineStr"/>
    </row>
    <row r="515" ht="15" customHeight="1">
      <c r="A515" t="inlineStr">
        <is>
          <t>A 53639-2023</t>
        </is>
      </c>
      <c r="B515" s="1" t="n">
        <v>45230.59686342593</v>
      </c>
      <c r="C515" s="1" t="n">
        <v>46030</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1657-2024</t>
        </is>
      </c>
      <c r="B516" s="1" t="n">
        <v>45306.82501157407</v>
      </c>
      <c r="C516" s="1" t="n">
        <v>46030</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50784-2022</t>
        </is>
      </c>
      <c r="B517" s="1" t="n">
        <v>44862</v>
      </c>
      <c r="C517" s="1" t="n">
        <v>46030</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26803-2024</t>
        </is>
      </c>
      <c r="B518" s="1" t="n">
        <v>45470</v>
      </c>
      <c r="C518" s="1" t="n">
        <v>46030</v>
      </c>
      <c r="D518" t="inlineStr">
        <is>
          <t>ÖSTERGÖTLANDS LÄN</t>
        </is>
      </c>
      <c r="E518" t="inlineStr">
        <is>
          <t>LINKÖPING</t>
        </is>
      </c>
      <c r="F518" t="inlineStr">
        <is>
          <t>Allmännings- och besparingsskogar</t>
        </is>
      </c>
      <c r="G518" t="n">
        <v>4.5</v>
      </c>
      <c r="H518" t="n">
        <v>0</v>
      </c>
      <c r="I518" t="n">
        <v>0</v>
      </c>
      <c r="J518" t="n">
        <v>0</v>
      </c>
      <c r="K518" t="n">
        <v>0</v>
      </c>
      <c r="L518" t="n">
        <v>0</v>
      </c>
      <c r="M518" t="n">
        <v>0</v>
      </c>
      <c r="N518" t="n">
        <v>0</v>
      </c>
      <c r="O518" t="n">
        <v>0</v>
      </c>
      <c r="P518" t="n">
        <v>0</v>
      </c>
      <c r="Q518" t="n">
        <v>0</v>
      </c>
      <c r="R518" s="2" t="inlineStr"/>
    </row>
    <row r="519" ht="15" customHeight="1">
      <c r="A519" t="inlineStr">
        <is>
          <t>A 19187-2021</t>
        </is>
      </c>
      <c r="B519" s="1" t="n">
        <v>44308</v>
      </c>
      <c r="C519" s="1" t="n">
        <v>46030</v>
      </c>
      <c r="D519" t="inlineStr">
        <is>
          <t>ÖSTERGÖTLANDS LÄN</t>
        </is>
      </c>
      <c r="E519" t="inlineStr">
        <is>
          <t>LINKÖPING</t>
        </is>
      </c>
      <c r="F519" t="inlineStr">
        <is>
          <t>Allmännings- och besparingsskogar</t>
        </is>
      </c>
      <c r="G519" t="n">
        <v>20</v>
      </c>
      <c r="H519" t="n">
        <v>0</v>
      </c>
      <c r="I519" t="n">
        <v>0</v>
      </c>
      <c r="J519" t="n">
        <v>0</v>
      </c>
      <c r="K519" t="n">
        <v>0</v>
      </c>
      <c r="L519" t="n">
        <v>0</v>
      </c>
      <c r="M519" t="n">
        <v>0</v>
      </c>
      <c r="N519" t="n">
        <v>0</v>
      </c>
      <c r="O519" t="n">
        <v>0</v>
      </c>
      <c r="P519" t="n">
        <v>0</v>
      </c>
      <c r="Q519" t="n">
        <v>0</v>
      </c>
      <c r="R519" s="2" t="inlineStr"/>
    </row>
    <row r="520" ht="15" customHeight="1">
      <c r="A520" t="inlineStr">
        <is>
          <t>A 60472-2022</t>
        </is>
      </c>
      <c r="B520" s="1" t="n">
        <v>44911.41037037037</v>
      </c>
      <c r="C520" s="1" t="n">
        <v>46030</v>
      </c>
      <c r="D520" t="inlineStr">
        <is>
          <t>ÖSTERGÖTLANDS LÄN</t>
        </is>
      </c>
      <c r="E520" t="inlineStr">
        <is>
          <t>LINKÖPING</t>
        </is>
      </c>
      <c r="G520" t="n">
        <v>1.4</v>
      </c>
      <c r="H520" t="n">
        <v>0</v>
      </c>
      <c r="I520" t="n">
        <v>0</v>
      </c>
      <c r="J520" t="n">
        <v>0</v>
      </c>
      <c r="K520" t="n">
        <v>0</v>
      </c>
      <c r="L520" t="n">
        <v>0</v>
      </c>
      <c r="M520" t="n">
        <v>0</v>
      </c>
      <c r="N520" t="n">
        <v>0</v>
      </c>
      <c r="O520" t="n">
        <v>0</v>
      </c>
      <c r="P520" t="n">
        <v>0</v>
      </c>
      <c r="Q520" t="n">
        <v>0</v>
      </c>
      <c r="R520" s="2" t="inlineStr"/>
    </row>
    <row r="521" ht="15" customHeight="1">
      <c r="A521" t="inlineStr">
        <is>
          <t>A 43934-2023</t>
        </is>
      </c>
      <c r="B521" s="1" t="n">
        <v>45187</v>
      </c>
      <c r="C521" s="1" t="n">
        <v>46030</v>
      </c>
      <c r="D521" t="inlineStr">
        <is>
          <t>ÖSTERGÖTLANDS LÄN</t>
        </is>
      </c>
      <c r="E521" t="inlineStr">
        <is>
          <t>LINKÖPING</t>
        </is>
      </c>
      <c r="F521" t="inlineStr">
        <is>
          <t>Övriga Aktiebolag</t>
        </is>
      </c>
      <c r="G521" t="n">
        <v>3.8</v>
      </c>
      <c r="H521" t="n">
        <v>0</v>
      </c>
      <c r="I521" t="n">
        <v>0</v>
      </c>
      <c r="J521" t="n">
        <v>0</v>
      </c>
      <c r="K521" t="n">
        <v>0</v>
      </c>
      <c r="L521" t="n">
        <v>0</v>
      </c>
      <c r="M521" t="n">
        <v>0</v>
      </c>
      <c r="N521" t="n">
        <v>0</v>
      </c>
      <c r="O521" t="n">
        <v>0</v>
      </c>
      <c r="P521" t="n">
        <v>0</v>
      </c>
      <c r="Q521" t="n">
        <v>0</v>
      </c>
      <c r="R521" s="2" t="inlineStr"/>
    </row>
    <row r="522" ht="15" customHeight="1">
      <c r="A522" t="inlineStr">
        <is>
          <t>A 22774-2024</t>
        </is>
      </c>
      <c r="B522" s="1" t="n">
        <v>45448.46924768519</v>
      </c>
      <c r="C522" s="1" t="n">
        <v>46030</v>
      </c>
      <c r="D522" t="inlineStr">
        <is>
          <t>ÖSTERGÖTLANDS LÄN</t>
        </is>
      </c>
      <c r="E522" t="inlineStr">
        <is>
          <t>LINKÖPING</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22778-2024</t>
        </is>
      </c>
      <c r="B523" s="1" t="n">
        <v>45448.47233796296</v>
      </c>
      <c r="C523" s="1" t="n">
        <v>46030</v>
      </c>
      <c r="D523" t="inlineStr">
        <is>
          <t>ÖSTERGÖTLANDS LÄN</t>
        </is>
      </c>
      <c r="E523" t="inlineStr">
        <is>
          <t>LINKÖPING</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1209-2023</t>
        </is>
      </c>
      <c r="B524" s="1" t="n">
        <v>44930</v>
      </c>
      <c r="C524" s="1" t="n">
        <v>46030</v>
      </c>
      <c r="D524" t="inlineStr">
        <is>
          <t>ÖSTERGÖTLANDS LÄN</t>
        </is>
      </c>
      <c r="E524" t="inlineStr">
        <is>
          <t>LINKÖPING</t>
        </is>
      </c>
      <c r="F524" t="inlineStr">
        <is>
          <t>Övriga statliga verk och myndigheter</t>
        </is>
      </c>
      <c r="G524" t="n">
        <v>25.8</v>
      </c>
      <c r="H524" t="n">
        <v>0</v>
      </c>
      <c r="I524" t="n">
        <v>0</v>
      </c>
      <c r="J524" t="n">
        <v>0</v>
      </c>
      <c r="K524" t="n">
        <v>0</v>
      </c>
      <c r="L524" t="n">
        <v>0</v>
      </c>
      <c r="M524" t="n">
        <v>0</v>
      </c>
      <c r="N524" t="n">
        <v>0</v>
      </c>
      <c r="O524" t="n">
        <v>0</v>
      </c>
      <c r="P524" t="n">
        <v>0</v>
      </c>
      <c r="Q524" t="n">
        <v>0</v>
      </c>
      <c r="R524" s="2" t="inlineStr"/>
    </row>
    <row r="525" ht="15" customHeight="1">
      <c r="A525" t="inlineStr">
        <is>
          <t>A 10407-2025</t>
        </is>
      </c>
      <c r="B525" s="1" t="n">
        <v>45720.62863425926</v>
      </c>
      <c r="C525" s="1" t="n">
        <v>46030</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11590-2023</t>
        </is>
      </c>
      <c r="B526" s="1" t="n">
        <v>44994.36689814815</v>
      </c>
      <c r="C526" s="1" t="n">
        <v>46030</v>
      </c>
      <c r="D526" t="inlineStr">
        <is>
          <t>ÖSTERGÖTLANDS LÄN</t>
        </is>
      </c>
      <c r="E526" t="inlineStr">
        <is>
          <t>LINKÖPING</t>
        </is>
      </c>
      <c r="G526" t="n">
        <v>3.1</v>
      </c>
      <c r="H526" t="n">
        <v>0</v>
      </c>
      <c r="I526" t="n">
        <v>0</v>
      </c>
      <c r="J526" t="n">
        <v>0</v>
      </c>
      <c r="K526" t="n">
        <v>0</v>
      </c>
      <c r="L526" t="n">
        <v>0</v>
      </c>
      <c r="M526" t="n">
        <v>0</v>
      </c>
      <c r="N526" t="n">
        <v>0</v>
      </c>
      <c r="O526" t="n">
        <v>0</v>
      </c>
      <c r="P526" t="n">
        <v>0</v>
      </c>
      <c r="Q526" t="n">
        <v>0</v>
      </c>
      <c r="R526" s="2" t="inlineStr"/>
    </row>
    <row r="527" ht="15" customHeight="1">
      <c r="A527" t="inlineStr">
        <is>
          <t>A 19169-2023</t>
        </is>
      </c>
      <c r="B527" s="1" t="n">
        <v>45044</v>
      </c>
      <c r="C527" s="1" t="n">
        <v>46030</v>
      </c>
      <c r="D527" t="inlineStr">
        <is>
          <t>ÖSTERGÖTLANDS LÄN</t>
        </is>
      </c>
      <c r="E527" t="inlineStr">
        <is>
          <t>LINKÖPING</t>
        </is>
      </c>
      <c r="G527" t="n">
        <v>2.7</v>
      </c>
      <c r="H527" t="n">
        <v>0</v>
      </c>
      <c r="I527" t="n">
        <v>0</v>
      </c>
      <c r="J527" t="n">
        <v>0</v>
      </c>
      <c r="K527" t="n">
        <v>0</v>
      </c>
      <c r="L527" t="n">
        <v>0</v>
      </c>
      <c r="M527" t="n">
        <v>0</v>
      </c>
      <c r="N527" t="n">
        <v>0</v>
      </c>
      <c r="O527" t="n">
        <v>0</v>
      </c>
      <c r="P527" t="n">
        <v>0</v>
      </c>
      <c r="Q527" t="n">
        <v>0</v>
      </c>
      <c r="R527" s="2" t="inlineStr"/>
    </row>
    <row r="528" ht="15" customHeight="1">
      <c r="A528" t="inlineStr">
        <is>
          <t>A 672-2024</t>
        </is>
      </c>
      <c r="B528" s="1" t="n">
        <v>45300</v>
      </c>
      <c r="C528" s="1" t="n">
        <v>46030</v>
      </c>
      <c r="D528" t="inlineStr">
        <is>
          <t>ÖSTERGÖTLANDS LÄN</t>
        </is>
      </c>
      <c r="E528" t="inlineStr">
        <is>
          <t>LINKÖPING</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55493-2021</t>
        </is>
      </c>
      <c r="B529" s="1" t="n">
        <v>44475.61988425926</v>
      </c>
      <c r="C529" s="1" t="n">
        <v>46030</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14093-2024</t>
        </is>
      </c>
      <c r="B530" s="1" t="n">
        <v>45392.60278935185</v>
      </c>
      <c r="C530" s="1" t="n">
        <v>46030</v>
      </c>
      <c r="D530" t="inlineStr">
        <is>
          <t>ÖSTERGÖTLANDS LÄN</t>
        </is>
      </c>
      <c r="E530" t="inlineStr">
        <is>
          <t>LINKÖPING</t>
        </is>
      </c>
      <c r="F530" t="inlineStr">
        <is>
          <t>Övriga Aktiebolag</t>
        </is>
      </c>
      <c r="G530" t="n">
        <v>0.6</v>
      </c>
      <c r="H530" t="n">
        <v>0</v>
      </c>
      <c r="I530" t="n">
        <v>0</v>
      </c>
      <c r="J530" t="n">
        <v>0</v>
      </c>
      <c r="K530" t="n">
        <v>0</v>
      </c>
      <c r="L530" t="n">
        <v>0</v>
      </c>
      <c r="M530" t="n">
        <v>0</v>
      </c>
      <c r="N530" t="n">
        <v>0</v>
      </c>
      <c r="O530" t="n">
        <v>0</v>
      </c>
      <c r="P530" t="n">
        <v>0</v>
      </c>
      <c r="Q530" t="n">
        <v>0</v>
      </c>
      <c r="R530" s="2" t="inlineStr"/>
    </row>
    <row r="531" ht="15" customHeight="1">
      <c r="A531" t="inlineStr">
        <is>
          <t>A 62019-2024</t>
        </is>
      </c>
      <c r="B531" s="1" t="n">
        <v>45655.82</v>
      </c>
      <c r="C531" s="1" t="n">
        <v>46030</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25119-2023</t>
        </is>
      </c>
      <c r="B532" s="1" t="n">
        <v>45086.42326388889</v>
      </c>
      <c r="C532" s="1" t="n">
        <v>46030</v>
      </c>
      <c r="D532" t="inlineStr">
        <is>
          <t>ÖSTERGÖTLANDS LÄN</t>
        </is>
      </c>
      <c r="E532" t="inlineStr">
        <is>
          <t>LINKÖPING</t>
        </is>
      </c>
      <c r="G532" t="n">
        <v>3.2</v>
      </c>
      <c r="H532" t="n">
        <v>0</v>
      </c>
      <c r="I532" t="n">
        <v>0</v>
      </c>
      <c r="J532" t="n">
        <v>0</v>
      </c>
      <c r="K532" t="n">
        <v>0</v>
      </c>
      <c r="L532" t="n">
        <v>0</v>
      </c>
      <c r="M532" t="n">
        <v>0</v>
      </c>
      <c r="N532" t="n">
        <v>0</v>
      </c>
      <c r="O532" t="n">
        <v>0</v>
      </c>
      <c r="P532" t="n">
        <v>0</v>
      </c>
      <c r="Q532" t="n">
        <v>0</v>
      </c>
      <c r="R532" s="2" t="inlineStr"/>
    </row>
    <row r="533" ht="15" customHeight="1">
      <c r="A533" t="inlineStr">
        <is>
          <t>A 57396-2021</t>
        </is>
      </c>
      <c r="B533" s="1" t="n">
        <v>44483.56151620371</v>
      </c>
      <c r="C533" s="1" t="n">
        <v>46030</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51571-2024</t>
        </is>
      </c>
      <c r="B534" s="1" t="n">
        <v>45604</v>
      </c>
      <c r="C534" s="1" t="n">
        <v>46030</v>
      </c>
      <c r="D534" t="inlineStr">
        <is>
          <t>ÖSTERGÖTLANDS LÄN</t>
        </is>
      </c>
      <c r="E534" t="inlineStr">
        <is>
          <t>LINKÖPING</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17143-2025</t>
        </is>
      </c>
      <c r="B535" s="1" t="n">
        <v>45755.92731481481</v>
      </c>
      <c r="C535" s="1" t="n">
        <v>46030</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17124-2025</t>
        </is>
      </c>
      <c r="B536" s="1" t="n">
        <v>45755.69678240741</v>
      </c>
      <c r="C536" s="1" t="n">
        <v>46030</v>
      </c>
      <c r="D536" t="inlineStr">
        <is>
          <t>ÖSTERGÖTLANDS LÄN</t>
        </is>
      </c>
      <c r="E536" t="inlineStr">
        <is>
          <t>LINKÖPING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17126-2025</t>
        </is>
      </c>
      <c r="B537" s="1" t="n">
        <v>45755.70814814815</v>
      </c>
      <c r="C537" s="1" t="n">
        <v>46030</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31640-2023</t>
        </is>
      </c>
      <c r="B538" s="1" t="n">
        <v>45117</v>
      </c>
      <c r="C538" s="1" t="n">
        <v>46030</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11790-2024</t>
        </is>
      </c>
      <c r="B539" s="1" t="n">
        <v>45374</v>
      </c>
      <c r="C539" s="1" t="n">
        <v>46030</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61281-2021</t>
        </is>
      </c>
      <c r="B540" s="1" t="n">
        <v>44498.60736111111</v>
      </c>
      <c r="C540" s="1" t="n">
        <v>46030</v>
      </c>
      <c r="D540" t="inlineStr">
        <is>
          <t>ÖSTERGÖTLANDS LÄN</t>
        </is>
      </c>
      <c r="E540" t="inlineStr">
        <is>
          <t>LINKÖPING</t>
        </is>
      </c>
      <c r="G540" t="n">
        <v>4.5</v>
      </c>
      <c r="H540" t="n">
        <v>0</v>
      </c>
      <c r="I540" t="n">
        <v>0</v>
      </c>
      <c r="J540" t="n">
        <v>0</v>
      </c>
      <c r="K540" t="n">
        <v>0</v>
      </c>
      <c r="L540" t="n">
        <v>0</v>
      </c>
      <c r="M540" t="n">
        <v>0</v>
      </c>
      <c r="N540" t="n">
        <v>0</v>
      </c>
      <c r="O540" t="n">
        <v>0</v>
      </c>
      <c r="P540" t="n">
        <v>0</v>
      </c>
      <c r="Q540" t="n">
        <v>0</v>
      </c>
      <c r="R540" s="2" t="inlineStr"/>
    </row>
    <row r="541" ht="15" customHeight="1">
      <c r="A541" t="inlineStr">
        <is>
          <t>A 6206-2024</t>
        </is>
      </c>
      <c r="B541" s="1" t="n">
        <v>45337.5977662037</v>
      </c>
      <c r="C541" s="1" t="n">
        <v>46030</v>
      </c>
      <c r="D541" t="inlineStr">
        <is>
          <t>ÖSTERGÖTLANDS LÄN</t>
        </is>
      </c>
      <c r="E541" t="inlineStr">
        <is>
          <t>LINKÖPING</t>
        </is>
      </c>
      <c r="G541" t="n">
        <v>2</v>
      </c>
      <c r="H541" t="n">
        <v>0</v>
      </c>
      <c r="I541" t="n">
        <v>0</v>
      </c>
      <c r="J541" t="n">
        <v>0</v>
      </c>
      <c r="K541" t="n">
        <v>0</v>
      </c>
      <c r="L541" t="n">
        <v>0</v>
      </c>
      <c r="M541" t="n">
        <v>0</v>
      </c>
      <c r="N541" t="n">
        <v>0</v>
      </c>
      <c r="O541" t="n">
        <v>0</v>
      </c>
      <c r="P541" t="n">
        <v>0</v>
      </c>
      <c r="Q541" t="n">
        <v>0</v>
      </c>
      <c r="R541" s="2" t="inlineStr"/>
    </row>
    <row r="542" ht="15" customHeight="1">
      <c r="A542" t="inlineStr">
        <is>
          <t>A 168-2024</t>
        </is>
      </c>
      <c r="B542" s="1" t="n">
        <v>45294</v>
      </c>
      <c r="C542" s="1" t="n">
        <v>46030</v>
      </c>
      <c r="D542" t="inlineStr">
        <is>
          <t>ÖSTERGÖTLANDS LÄN</t>
        </is>
      </c>
      <c r="E542" t="inlineStr">
        <is>
          <t>LINKÖPING</t>
        </is>
      </c>
      <c r="F542" t="inlineStr">
        <is>
          <t>Allmännings- och besparingsskogar</t>
        </is>
      </c>
      <c r="G542" t="n">
        <v>8.9</v>
      </c>
      <c r="H542" t="n">
        <v>0</v>
      </c>
      <c r="I542" t="n">
        <v>0</v>
      </c>
      <c r="J542" t="n">
        <v>0</v>
      </c>
      <c r="K542" t="n">
        <v>0</v>
      </c>
      <c r="L542" t="n">
        <v>0</v>
      </c>
      <c r="M542" t="n">
        <v>0</v>
      </c>
      <c r="N542" t="n">
        <v>0</v>
      </c>
      <c r="O542" t="n">
        <v>0</v>
      </c>
      <c r="P542" t="n">
        <v>0</v>
      </c>
      <c r="Q542" t="n">
        <v>0</v>
      </c>
      <c r="R542" s="2" t="inlineStr"/>
    </row>
    <row r="543" ht="15" customHeight="1">
      <c r="A543" t="inlineStr">
        <is>
          <t>A 51919-2024</t>
        </is>
      </c>
      <c r="B543" s="1" t="n">
        <v>45607.60791666667</v>
      </c>
      <c r="C543" s="1" t="n">
        <v>46030</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56623-2024</t>
        </is>
      </c>
      <c r="B544" s="1" t="n">
        <v>45625</v>
      </c>
      <c r="C544" s="1" t="n">
        <v>46030</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11330-2023</t>
        </is>
      </c>
      <c r="B545" s="1" t="n">
        <v>44993.24648148148</v>
      </c>
      <c r="C545" s="1" t="n">
        <v>46030</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63304-2021</t>
        </is>
      </c>
      <c r="B546" s="1" t="n">
        <v>44508.4396412037</v>
      </c>
      <c r="C546" s="1" t="n">
        <v>46030</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14528-2025</t>
        </is>
      </c>
      <c r="B547" s="1" t="n">
        <v>45741</v>
      </c>
      <c r="C547" s="1" t="n">
        <v>46030</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3530-2024</t>
        </is>
      </c>
      <c r="B548" s="1" t="n">
        <v>45320.54717592592</v>
      </c>
      <c r="C548" s="1" t="n">
        <v>46030</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62073-2023</t>
        </is>
      </c>
      <c r="B549" s="1" t="n">
        <v>45266.73844907407</v>
      </c>
      <c r="C549" s="1" t="n">
        <v>46030</v>
      </c>
      <c r="D549" t="inlineStr">
        <is>
          <t>ÖSTERGÖTLANDS LÄN</t>
        </is>
      </c>
      <c r="E549" t="inlineStr">
        <is>
          <t>LINKÖPING</t>
        </is>
      </c>
      <c r="F549" t="inlineStr">
        <is>
          <t>Allmännings- och besparingsskogar</t>
        </is>
      </c>
      <c r="G549" t="n">
        <v>1.8</v>
      </c>
      <c r="H549" t="n">
        <v>0</v>
      </c>
      <c r="I549" t="n">
        <v>0</v>
      </c>
      <c r="J549" t="n">
        <v>0</v>
      </c>
      <c r="K549" t="n">
        <v>0</v>
      </c>
      <c r="L549" t="n">
        <v>0</v>
      </c>
      <c r="M549" t="n">
        <v>0</v>
      </c>
      <c r="N549" t="n">
        <v>0</v>
      </c>
      <c r="O549" t="n">
        <v>0</v>
      </c>
      <c r="P549" t="n">
        <v>0</v>
      </c>
      <c r="Q549" t="n">
        <v>0</v>
      </c>
      <c r="R549" s="2" t="inlineStr"/>
    </row>
    <row r="550" ht="15" customHeight="1">
      <c r="A550" t="inlineStr">
        <is>
          <t>A 5872-2025</t>
        </is>
      </c>
      <c r="B550" s="1" t="n">
        <v>45695.36659722222</v>
      </c>
      <c r="C550" s="1" t="n">
        <v>46030</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53814-2023</t>
        </is>
      </c>
      <c r="B551" s="1" t="n">
        <v>45231</v>
      </c>
      <c r="C551" s="1" t="n">
        <v>46030</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3432-2023</t>
        </is>
      </c>
      <c r="B552" s="1" t="n">
        <v>44949</v>
      </c>
      <c r="C552" s="1" t="n">
        <v>46030</v>
      </c>
      <c r="D552" t="inlineStr">
        <is>
          <t>ÖSTERGÖTLANDS LÄN</t>
        </is>
      </c>
      <c r="E552" t="inlineStr">
        <is>
          <t>LINKÖPING</t>
        </is>
      </c>
      <c r="G552" t="n">
        <v>1.9</v>
      </c>
      <c r="H552" t="n">
        <v>0</v>
      </c>
      <c r="I552" t="n">
        <v>0</v>
      </c>
      <c r="J552" t="n">
        <v>0</v>
      </c>
      <c r="K552" t="n">
        <v>0</v>
      </c>
      <c r="L552" t="n">
        <v>0</v>
      </c>
      <c r="M552" t="n">
        <v>0</v>
      </c>
      <c r="N552" t="n">
        <v>0</v>
      </c>
      <c r="O552" t="n">
        <v>0</v>
      </c>
      <c r="P552" t="n">
        <v>0</v>
      </c>
      <c r="Q552" t="n">
        <v>0</v>
      </c>
      <c r="R552" s="2" t="inlineStr"/>
    </row>
    <row r="553" ht="15" customHeight="1">
      <c r="A553" t="inlineStr">
        <is>
          <t>A 54425-2022</t>
        </is>
      </c>
      <c r="B553" s="1" t="n">
        <v>44882.57453703704</v>
      </c>
      <c r="C553" s="1" t="n">
        <v>46030</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54428-2022</t>
        </is>
      </c>
      <c r="B554" s="1" t="n">
        <v>44882.57643518518</v>
      </c>
      <c r="C554" s="1" t="n">
        <v>46030</v>
      </c>
      <c r="D554" t="inlineStr">
        <is>
          <t>ÖSTERGÖTLANDS LÄN</t>
        </is>
      </c>
      <c r="E554" t="inlineStr">
        <is>
          <t>LINKÖPING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660-2023</t>
        </is>
      </c>
      <c r="B555" s="1" t="n">
        <v>44930</v>
      </c>
      <c r="C555" s="1" t="n">
        <v>46030</v>
      </c>
      <c r="D555" t="inlineStr">
        <is>
          <t>ÖSTERGÖTLANDS LÄN</t>
        </is>
      </c>
      <c r="E555" t="inlineStr">
        <is>
          <t>LINKÖPING</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62501-2023</t>
        </is>
      </c>
      <c r="B556" s="1" t="n">
        <v>45268</v>
      </c>
      <c r="C556" s="1" t="n">
        <v>46030</v>
      </c>
      <c r="D556" t="inlineStr">
        <is>
          <t>ÖSTERGÖTLANDS LÄN</t>
        </is>
      </c>
      <c r="E556" t="inlineStr">
        <is>
          <t>LINKÖPING</t>
        </is>
      </c>
      <c r="G556" t="n">
        <v>7.4</v>
      </c>
      <c r="H556" t="n">
        <v>0</v>
      </c>
      <c r="I556" t="n">
        <v>0</v>
      </c>
      <c r="J556" t="n">
        <v>0</v>
      </c>
      <c r="K556" t="n">
        <v>0</v>
      </c>
      <c r="L556" t="n">
        <v>0</v>
      </c>
      <c r="M556" t="n">
        <v>0</v>
      </c>
      <c r="N556" t="n">
        <v>0</v>
      </c>
      <c r="O556" t="n">
        <v>0</v>
      </c>
      <c r="P556" t="n">
        <v>0</v>
      </c>
      <c r="Q556" t="n">
        <v>0</v>
      </c>
      <c r="R556" s="2" t="inlineStr"/>
    </row>
    <row r="557" ht="15" customHeight="1">
      <c r="A557" t="inlineStr">
        <is>
          <t>A 13413-2023</t>
        </is>
      </c>
      <c r="B557" s="1" t="n">
        <v>45005.58341435185</v>
      </c>
      <c r="C557" s="1" t="n">
        <v>46030</v>
      </c>
      <c r="D557" t="inlineStr">
        <is>
          <t>ÖSTERGÖTLANDS LÄN</t>
        </is>
      </c>
      <c r="E557" t="inlineStr">
        <is>
          <t>LINKÖPING</t>
        </is>
      </c>
      <c r="G557" t="n">
        <v>2.4</v>
      </c>
      <c r="H557" t="n">
        <v>0</v>
      </c>
      <c r="I557" t="n">
        <v>0</v>
      </c>
      <c r="J557" t="n">
        <v>0</v>
      </c>
      <c r="K557" t="n">
        <v>0</v>
      </c>
      <c r="L557" t="n">
        <v>0</v>
      </c>
      <c r="M557" t="n">
        <v>0</v>
      </c>
      <c r="N557" t="n">
        <v>0</v>
      </c>
      <c r="O557" t="n">
        <v>0</v>
      </c>
      <c r="P557" t="n">
        <v>0</v>
      </c>
      <c r="Q557" t="n">
        <v>0</v>
      </c>
      <c r="R557" s="2" t="inlineStr"/>
    </row>
    <row r="558" ht="15" customHeight="1">
      <c r="A558" t="inlineStr">
        <is>
          <t>A 26620-2023</t>
        </is>
      </c>
      <c r="B558" s="1" t="n">
        <v>45092.70390046296</v>
      </c>
      <c r="C558" s="1" t="n">
        <v>46030</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16462-2021</t>
        </is>
      </c>
      <c r="B559" s="1" t="n">
        <v>44293</v>
      </c>
      <c r="C559" s="1" t="n">
        <v>46030</v>
      </c>
      <c r="D559" t="inlineStr">
        <is>
          <t>ÖSTERGÖTLANDS LÄN</t>
        </is>
      </c>
      <c r="E559" t="inlineStr">
        <is>
          <t>LINKÖPING</t>
        </is>
      </c>
      <c r="F559" t="inlineStr">
        <is>
          <t>Allmännings- och besparingsskogar</t>
        </is>
      </c>
      <c r="G559" t="n">
        <v>24.7</v>
      </c>
      <c r="H559" t="n">
        <v>0</v>
      </c>
      <c r="I559" t="n">
        <v>0</v>
      </c>
      <c r="J559" t="n">
        <v>0</v>
      </c>
      <c r="K559" t="n">
        <v>0</v>
      </c>
      <c r="L559" t="n">
        <v>0</v>
      </c>
      <c r="M559" t="n">
        <v>0</v>
      </c>
      <c r="N559" t="n">
        <v>0</v>
      </c>
      <c r="O559" t="n">
        <v>0</v>
      </c>
      <c r="P559" t="n">
        <v>0</v>
      </c>
      <c r="Q559" t="n">
        <v>0</v>
      </c>
      <c r="R559" s="2" t="inlineStr"/>
    </row>
    <row r="560" ht="15" customHeight="1">
      <c r="A560" t="inlineStr">
        <is>
          <t>A 63554-2023</t>
        </is>
      </c>
      <c r="B560" s="1" t="n">
        <v>45275</v>
      </c>
      <c r="C560" s="1" t="n">
        <v>46030</v>
      </c>
      <c r="D560" t="inlineStr">
        <is>
          <t>ÖSTERGÖTLANDS LÄN</t>
        </is>
      </c>
      <c r="E560" t="inlineStr">
        <is>
          <t>LINKÖPING</t>
        </is>
      </c>
      <c r="G560" t="n">
        <v>4.3</v>
      </c>
      <c r="H560" t="n">
        <v>0</v>
      </c>
      <c r="I560" t="n">
        <v>0</v>
      </c>
      <c r="J560" t="n">
        <v>0</v>
      </c>
      <c r="K560" t="n">
        <v>0</v>
      </c>
      <c r="L560" t="n">
        <v>0</v>
      </c>
      <c r="M560" t="n">
        <v>0</v>
      </c>
      <c r="N560" t="n">
        <v>0</v>
      </c>
      <c r="O560" t="n">
        <v>0</v>
      </c>
      <c r="P560" t="n">
        <v>0</v>
      </c>
      <c r="Q560" t="n">
        <v>0</v>
      </c>
      <c r="R560" s="2" t="inlineStr"/>
    </row>
    <row r="561" ht="15" customHeight="1">
      <c r="A561" t="inlineStr">
        <is>
          <t>A 63638-2023</t>
        </is>
      </c>
      <c r="B561" s="1" t="n">
        <v>45275</v>
      </c>
      <c r="C561" s="1" t="n">
        <v>46030</v>
      </c>
      <c r="D561" t="inlineStr">
        <is>
          <t>ÖSTERGÖTLANDS LÄN</t>
        </is>
      </c>
      <c r="E561" t="inlineStr">
        <is>
          <t>LINKÖPING</t>
        </is>
      </c>
      <c r="F561" t="inlineStr">
        <is>
          <t>Övriga Aktiebolag</t>
        </is>
      </c>
      <c r="G561" t="n">
        <v>2.4</v>
      </c>
      <c r="H561" t="n">
        <v>0</v>
      </c>
      <c r="I561" t="n">
        <v>0</v>
      </c>
      <c r="J561" t="n">
        <v>0</v>
      </c>
      <c r="K561" t="n">
        <v>0</v>
      </c>
      <c r="L561" t="n">
        <v>0</v>
      </c>
      <c r="M561" t="n">
        <v>0</v>
      </c>
      <c r="N561" t="n">
        <v>0</v>
      </c>
      <c r="O561" t="n">
        <v>0</v>
      </c>
      <c r="P561" t="n">
        <v>0</v>
      </c>
      <c r="Q561" t="n">
        <v>0</v>
      </c>
      <c r="R561" s="2" t="inlineStr"/>
    </row>
    <row r="562" ht="15" customHeight="1">
      <c r="A562" t="inlineStr">
        <is>
          <t>A 63658-2023</t>
        </is>
      </c>
      <c r="B562" s="1" t="n">
        <v>45275</v>
      </c>
      <c r="C562" s="1" t="n">
        <v>46030</v>
      </c>
      <c r="D562" t="inlineStr">
        <is>
          <t>ÖSTERGÖTLANDS LÄN</t>
        </is>
      </c>
      <c r="E562" t="inlineStr">
        <is>
          <t>LINKÖPING</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16820-2024</t>
        </is>
      </c>
      <c r="B563" s="1" t="n">
        <v>45411.46809027778</v>
      </c>
      <c r="C563" s="1" t="n">
        <v>46030</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4456-2024</t>
        </is>
      </c>
      <c r="B564" s="1" t="n">
        <v>45327.52847222222</v>
      </c>
      <c r="C564" s="1" t="n">
        <v>46030</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20298-2025</t>
        </is>
      </c>
      <c r="B565" s="1" t="n">
        <v>45774.75024305555</v>
      </c>
      <c r="C565" s="1" t="n">
        <v>46030</v>
      </c>
      <c r="D565" t="inlineStr">
        <is>
          <t>ÖSTERGÖTLANDS LÄN</t>
        </is>
      </c>
      <c r="E565" t="inlineStr">
        <is>
          <t>LINKÖPING</t>
        </is>
      </c>
      <c r="G565" t="n">
        <v>1.3</v>
      </c>
      <c r="H565" t="n">
        <v>0</v>
      </c>
      <c r="I565" t="n">
        <v>0</v>
      </c>
      <c r="J565" t="n">
        <v>0</v>
      </c>
      <c r="K565" t="n">
        <v>0</v>
      </c>
      <c r="L565" t="n">
        <v>0</v>
      </c>
      <c r="M565" t="n">
        <v>0</v>
      </c>
      <c r="N565" t="n">
        <v>0</v>
      </c>
      <c r="O565" t="n">
        <v>0</v>
      </c>
      <c r="P565" t="n">
        <v>0</v>
      </c>
      <c r="Q565" t="n">
        <v>0</v>
      </c>
      <c r="R565" s="2" t="inlineStr"/>
    </row>
    <row r="566" ht="15" customHeight="1">
      <c r="A566" t="inlineStr">
        <is>
          <t>A 15121-2022</t>
        </is>
      </c>
      <c r="B566" s="1" t="n">
        <v>44658</v>
      </c>
      <c r="C566" s="1" t="n">
        <v>46030</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50743-2023</t>
        </is>
      </c>
      <c r="B567" s="1" t="n">
        <v>45217</v>
      </c>
      <c r="C567" s="1" t="n">
        <v>46030</v>
      </c>
      <c r="D567" t="inlineStr">
        <is>
          <t>ÖSTERGÖTLANDS LÄN</t>
        </is>
      </c>
      <c r="E567" t="inlineStr">
        <is>
          <t>LINKÖPING</t>
        </is>
      </c>
      <c r="G567" t="n">
        <v>2.7</v>
      </c>
      <c r="H567" t="n">
        <v>0</v>
      </c>
      <c r="I567" t="n">
        <v>0</v>
      </c>
      <c r="J567" t="n">
        <v>0</v>
      </c>
      <c r="K567" t="n">
        <v>0</v>
      </c>
      <c r="L567" t="n">
        <v>0</v>
      </c>
      <c r="M567" t="n">
        <v>0</v>
      </c>
      <c r="N567" t="n">
        <v>0</v>
      </c>
      <c r="O567" t="n">
        <v>0</v>
      </c>
      <c r="P567" t="n">
        <v>0</v>
      </c>
      <c r="Q567" t="n">
        <v>0</v>
      </c>
      <c r="R567" s="2" t="inlineStr"/>
    </row>
    <row r="568" ht="15" customHeight="1">
      <c r="A568" t="inlineStr">
        <is>
          <t>A 1440-2021</t>
        </is>
      </c>
      <c r="B568" s="1" t="n">
        <v>44208</v>
      </c>
      <c r="C568" s="1" t="n">
        <v>46030</v>
      </c>
      <c r="D568" t="inlineStr">
        <is>
          <t>ÖSTERGÖTLANDS LÄN</t>
        </is>
      </c>
      <c r="E568" t="inlineStr">
        <is>
          <t>LINKÖPING</t>
        </is>
      </c>
      <c r="G568" t="n">
        <v>8.4</v>
      </c>
      <c r="H568" t="n">
        <v>0</v>
      </c>
      <c r="I568" t="n">
        <v>0</v>
      </c>
      <c r="J568" t="n">
        <v>0</v>
      </c>
      <c r="K568" t="n">
        <v>0</v>
      </c>
      <c r="L568" t="n">
        <v>0</v>
      </c>
      <c r="M568" t="n">
        <v>0</v>
      </c>
      <c r="N568" t="n">
        <v>0</v>
      </c>
      <c r="O568" t="n">
        <v>0</v>
      </c>
      <c r="P568" t="n">
        <v>0</v>
      </c>
      <c r="Q568" t="n">
        <v>0</v>
      </c>
      <c r="R568" s="2" t="inlineStr"/>
    </row>
    <row r="569" ht="15" customHeight="1">
      <c r="A569" t="inlineStr">
        <is>
          <t>A 13687-2025</t>
        </is>
      </c>
      <c r="B569" s="1" t="n">
        <v>45737.31425925926</v>
      </c>
      <c r="C569" s="1" t="n">
        <v>46030</v>
      </c>
      <c r="D569" t="inlineStr">
        <is>
          <t>ÖSTERGÖTLANDS LÄN</t>
        </is>
      </c>
      <c r="E569" t="inlineStr">
        <is>
          <t>LINKÖPING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13695-2025</t>
        </is>
      </c>
      <c r="B570" s="1" t="n">
        <v>45737.32219907407</v>
      </c>
      <c r="C570" s="1" t="n">
        <v>46030</v>
      </c>
      <c r="D570" t="inlineStr">
        <is>
          <t>ÖSTERGÖTLANDS LÄN</t>
        </is>
      </c>
      <c r="E570" t="inlineStr">
        <is>
          <t>LINKÖPING</t>
        </is>
      </c>
      <c r="G570" t="n">
        <v>5.3</v>
      </c>
      <c r="H570" t="n">
        <v>0</v>
      </c>
      <c r="I570" t="n">
        <v>0</v>
      </c>
      <c r="J570" t="n">
        <v>0</v>
      </c>
      <c r="K570" t="n">
        <v>0</v>
      </c>
      <c r="L570" t="n">
        <v>0</v>
      </c>
      <c r="M570" t="n">
        <v>0</v>
      </c>
      <c r="N570" t="n">
        <v>0</v>
      </c>
      <c r="O570" t="n">
        <v>0</v>
      </c>
      <c r="P570" t="n">
        <v>0</v>
      </c>
      <c r="Q570" t="n">
        <v>0</v>
      </c>
      <c r="R570" s="2" t="inlineStr"/>
    </row>
    <row r="571" ht="15" customHeight="1">
      <c r="A571" t="inlineStr">
        <is>
          <t>A 20294-2025</t>
        </is>
      </c>
      <c r="B571" s="1" t="n">
        <v>45774.74667824074</v>
      </c>
      <c r="C571" s="1" t="n">
        <v>46030</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17128-2025</t>
        </is>
      </c>
      <c r="B572" s="1" t="n">
        <v>45755.72622685185</v>
      </c>
      <c r="C572" s="1" t="n">
        <v>46030</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52125-2022</t>
        </is>
      </c>
      <c r="B573" s="1" t="n">
        <v>44873</v>
      </c>
      <c r="C573" s="1" t="n">
        <v>46030</v>
      </c>
      <c r="D573" t="inlineStr">
        <is>
          <t>ÖSTERGÖTLANDS LÄN</t>
        </is>
      </c>
      <c r="E573" t="inlineStr">
        <is>
          <t>LINKÖPING</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27343-2023</t>
        </is>
      </c>
      <c r="B574" s="1" t="n">
        <v>45096</v>
      </c>
      <c r="C574" s="1" t="n">
        <v>46030</v>
      </c>
      <c r="D574" t="inlineStr">
        <is>
          <t>ÖSTERGÖTLANDS LÄN</t>
        </is>
      </c>
      <c r="E574" t="inlineStr">
        <is>
          <t>LINKÖPING</t>
        </is>
      </c>
      <c r="F574" t="inlineStr">
        <is>
          <t>Allmännings- och besparingsskogar</t>
        </is>
      </c>
      <c r="G574" t="n">
        <v>6.9</v>
      </c>
      <c r="H574" t="n">
        <v>0</v>
      </c>
      <c r="I574" t="n">
        <v>0</v>
      </c>
      <c r="J574" t="n">
        <v>0</v>
      </c>
      <c r="K574" t="n">
        <v>0</v>
      </c>
      <c r="L574" t="n">
        <v>0</v>
      </c>
      <c r="M574" t="n">
        <v>0</v>
      </c>
      <c r="N574" t="n">
        <v>0</v>
      </c>
      <c r="O574" t="n">
        <v>0</v>
      </c>
      <c r="P574" t="n">
        <v>0</v>
      </c>
      <c r="Q574" t="n">
        <v>0</v>
      </c>
      <c r="R574" s="2" t="inlineStr"/>
    </row>
    <row r="575" ht="15" customHeight="1">
      <c r="A575" t="inlineStr">
        <is>
          <t>A 22842-2023</t>
        </is>
      </c>
      <c r="B575" s="1" t="n">
        <v>45071</v>
      </c>
      <c r="C575" s="1" t="n">
        <v>46030</v>
      </c>
      <c r="D575" t="inlineStr">
        <is>
          <t>ÖSTERGÖTLANDS LÄN</t>
        </is>
      </c>
      <c r="E575" t="inlineStr">
        <is>
          <t>LINKÖPING</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14520-2025</t>
        </is>
      </c>
      <c r="B576" s="1" t="n">
        <v>45741</v>
      </c>
      <c r="C576" s="1" t="n">
        <v>46030</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31548-2022</t>
        </is>
      </c>
      <c r="B577" s="1" t="n">
        <v>44775.39832175926</v>
      </c>
      <c r="C577" s="1" t="n">
        <v>46030</v>
      </c>
      <c r="D577" t="inlineStr">
        <is>
          <t>ÖSTERGÖTLANDS LÄN</t>
        </is>
      </c>
      <c r="E577" t="inlineStr">
        <is>
          <t>LINKÖPING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62017-2024</t>
        </is>
      </c>
      <c r="B578" s="1" t="n">
        <v>45655.81140046296</v>
      </c>
      <c r="C578" s="1" t="n">
        <v>46030</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17785-2023</t>
        </is>
      </c>
      <c r="B579" s="1" t="n">
        <v>45037.55094907407</v>
      </c>
      <c r="C579" s="1" t="n">
        <v>46030</v>
      </c>
      <c r="D579" t="inlineStr">
        <is>
          <t>ÖSTERGÖTLANDS LÄN</t>
        </is>
      </c>
      <c r="E579" t="inlineStr">
        <is>
          <t>LINKÖPING</t>
        </is>
      </c>
      <c r="F579" t="inlineStr">
        <is>
          <t>Allmännings- och besparingsskogar</t>
        </is>
      </c>
      <c r="G579" t="n">
        <v>3.1</v>
      </c>
      <c r="H579" t="n">
        <v>0</v>
      </c>
      <c r="I579" t="n">
        <v>0</v>
      </c>
      <c r="J579" t="n">
        <v>0</v>
      </c>
      <c r="K579" t="n">
        <v>0</v>
      </c>
      <c r="L579" t="n">
        <v>0</v>
      </c>
      <c r="M579" t="n">
        <v>0</v>
      </c>
      <c r="N579" t="n">
        <v>0</v>
      </c>
      <c r="O579" t="n">
        <v>0</v>
      </c>
      <c r="P579" t="n">
        <v>0</v>
      </c>
      <c r="Q579" t="n">
        <v>0</v>
      </c>
      <c r="R579" s="2" t="inlineStr"/>
    </row>
    <row r="580" ht="15" customHeight="1">
      <c r="A580" t="inlineStr">
        <is>
          <t>A 62686-2023</t>
        </is>
      </c>
      <c r="B580" s="1" t="n">
        <v>45271</v>
      </c>
      <c r="C580" s="1" t="n">
        <v>46030</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42044-2023</t>
        </is>
      </c>
      <c r="B581" s="1" t="n">
        <v>45177</v>
      </c>
      <c r="C581" s="1" t="n">
        <v>46030</v>
      </c>
      <c r="D581" t="inlineStr">
        <is>
          <t>ÖSTERGÖTLANDS LÄN</t>
        </is>
      </c>
      <c r="E581" t="inlineStr">
        <is>
          <t>LINKÖPING</t>
        </is>
      </c>
      <c r="G581" t="n">
        <v>3.9</v>
      </c>
      <c r="H581" t="n">
        <v>0</v>
      </c>
      <c r="I581" t="n">
        <v>0</v>
      </c>
      <c r="J581" t="n">
        <v>0</v>
      </c>
      <c r="K581" t="n">
        <v>0</v>
      </c>
      <c r="L581" t="n">
        <v>0</v>
      </c>
      <c r="M581" t="n">
        <v>0</v>
      </c>
      <c r="N581" t="n">
        <v>0</v>
      </c>
      <c r="O581" t="n">
        <v>0</v>
      </c>
      <c r="P581" t="n">
        <v>0</v>
      </c>
      <c r="Q581" t="n">
        <v>0</v>
      </c>
      <c r="R581" s="2" t="inlineStr"/>
    </row>
    <row r="582" ht="15" customHeight="1">
      <c r="A582" t="inlineStr">
        <is>
          <t>A 5314-2021</t>
        </is>
      </c>
      <c r="B582" s="1" t="n">
        <v>44229</v>
      </c>
      <c r="C582" s="1" t="n">
        <v>46030</v>
      </c>
      <c r="D582" t="inlineStr">
        <is>
          <t>ÖSTERGÖTLANDS LÄN</t>
        </is>
      </c>
      <c r="E582" t="inlineStr">
        <is>
          <t>LINKÖPING</t>
        </is>
      </c>
      <c r="G582" t="n">
        <v>6.2</v>
      </c>
      <c r="H582" t="n">
        <v>0</v>
      </c>
      <c r="I582" t="n">
        <v>0</v>
      </c>
      <c r="J582" t="n">
        <v>0</v>
      </c>
      <c r="K582" t="n">
        <v>0</v>
      </c>
      <c r="L582" t="n">
        <v>0</v>
      </c>
      <c r="M582" t="n">
        <v>0</v>
      </c>
      <c r="N582" t="n">
        <v>0</v>
      </c>
      <c r="O582" t="n">
        <v>0</v>
      </c>
      <c r="P582" t="n">
        <v>0</v>
      </c>
      <c r="Q582" t="n">
        <v>0</v>
      </c>
      <c r="R582" s="2" t="inlineStr"/>
    </row>
    <row r="583" ht="15" customHeight="1">
      <c r="A583" t="inlineStr">
        <is>
          <t>A 49656-2021</t>
        </is>
      </c>
      <c r="B583" s="1" t="n">
        <v>44454</v>
      </c>
      <c r="C583" s="1" t="n">
        <v>46030</v>
      </c>
      <c r="D583" t="inlineStr">
        <is>
          <t>ÖSTERGÖTLANDS LÄN</t>
        </is>
      </c>
      <c r="E583" t="inlineStr">
        <is>
          <t>LINKÖPING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38230-2023</t>
        </is>
      </c>
      <c r="B584" s="1" t="n">
        <v>45161.55373842592</v>
      </c>
      <c r="C584" s="1" t="n">
        <v>46030</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45442-2024</t>
        </is>
      </c>
      <c r="B585" s="1" t="n">
        <v>45576.64189814815</v>
      </c>
      <c r="C585" s="1" t="n">
        <v>46030</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4908-2023</t>
        </is>
      </c>
      <c r="B586" s="1" t="n">
        <v>44958</v>
      </c>
      <c r="C586" s="1" t="n">
        <v>46030</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1265-2023</t>
        </is>
      </c>
      <c r="B587" s="1" t="n">
        <v>44936</v>
      </c>
      <c r="C587" s="1" t="n">
        <v>46030</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12411-2022</t>
        </is>
      </c>
      <c r="B588" s="1" t="n">
        <v>44638.21601851852</v>
      </c>
      <c r="C588" s="1" t="n">
        <v>46030</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23491-2024</t>
        </is>
      </c>
      <c r="B589" s="1" t="n">
        <v>45453</v>
      </c>
      <c r="C589" s="1" t="n">
        <v>46030</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70-2024</t>
        </is>
      </c>
      <c r="B590" s="1" t="n">
        <v>45293</v>
      </c>
      <c r="C590" s="1" t="n">
        <v>46030</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6054-2022</t>
        </is>
      </c>
      <c r="B591" s="1" t="n">
        <v>44599.53623842593</v>
      </c>
      <c r="C591" s="1" t="n">
        <v>46030</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31725-2022</t>
        </is>
      </c>
      <c r="B592" s="1" t="n">
        <v>44776.48541666667</v>
      </c>
      <c r="C592" s="1" t="n">
        <v>46030</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57391-2023</t>
        </is>
      </c>
      <c r="B593" s="1" t="n">
        <v>45245</v>
      </c>
      <c r="C593" s="1" t="n">
        <v>46030</v>
      </c>
      <c r="D593" t="inlineStr">
        <is>
          <t>ÖSTERGÖTLANDS LÄN</t>
        </is>
      </c>
      <c r="E593" t="inlineStr">
        <is>
          <t>LINKÖPING</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7992-2023</t>
        </is>
      </c>
      <c r="B594" s="1" t="n">
        <v>44970</v>
      </c>
      <c r="C594" s="1" t="n">
        <v>46030</v>
      </c>
      <c r="D594" t="inlineStr">
        <is>
          <t>ÖSTERGÖTLANDS LÄN</t>
        </is>
      </c>
      <c r="E594" t="inlineStr">
        <is>
          <t>LINKÖPING</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13689-2025</t>
        </is>
      </c>
      <c r="B595" s="1" t="n">
        <v>45737.31590277778</v>
      </c>
      <c r="C595" s="1" t="n">
        <v>46030</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13696-2025</t>
        </is>
      </c>
      <c r="B596" s="1" t="n">
        <v>45737.32273148148</v>
      </c>
      <c r="C596" s="1" t="n">
        <v>46030</v>
      </c>
      <c r="D596" t="inlineStr">
        <is>
          <t>ÖSTERGÖTLANDS LÄN</t>
        </is>
      </c>
      <c r="E596" t="inlineStr">
        <is>
          <t>LINKÖPING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1924-2024</t>
        </is>
      </c>
      <c r="B597" s="1" t="n">
        <v>45308</v>
      </c>
      <c r="C597" s="1" t="n">
        <v>46030</v>
      </c>
      <c r="D597" t="inlineStr">
        <is>
          <t>ÖSTERGÖTLANDS LÄN</t>
        </is>
      </c>
      <c r="E597" t="inlineStr">
        <is>
          <t>LINKÖPING</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32346-2023</t>
        </is>
      </c>
      <c r="B598" s="1" t="n">
        <v>45120</v>
      </c>
      <c r="C598" s="1" t="n">
        <v>46030</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50508-2024</t>
        </is>
      </c>
      <c r="B599" s="1" t="n">
        <v>45601.53907407408</v>
      </c>
      <c r="C599" s="1" t="n">
        <v>46030</v>
      </c>
      <c r="D599" t="inlineStr">
        <is>
          <t>ÖSTERGÖTLANDS LÄN</t>
        </is>
      </c>
      <c r="E599" t="inlineStr">
        <is>
          <t>LINKÖPING</t>
        </is>
      </c>
      <c r="F599" t="inlineStr">
        <is>
          <t>Övriga Aktiebolag</t>
        </is>
      </c>
      <c r="G599" t="n">
        <v>2</v>
      </c>
      <c r="H599" t="n">
        <v>0</v>
      </c>
      <c r="I599" t="n">
        <v>0</v>
      </c>
      <c r="J599" t="n">
        <v>0</v>
      </c>
      <c r="K599" t="n">
        <v>0</v>
      </c>
      <c r="L599" t="n">
        <v>0</v>
      </c>
      <c r="M599" t="n">
        <v>0</v>
      </c>
      <c r="N599" t="n">
        <v>0</v>
      </c>
      <c r="O599" t="n">
        <v>0</v>
      </c>
      <c r="P599" t="n">
        <v>0</v>
      </c>
      <c r="Q599" t="n">
        <v>0</v>
      </c>
      <c r="R599" s="2" t="inlineStr"/>
    </row>
    <row r="600" ht="15" customHeight="1">
      <c r="A600" t="inlineStr">
        <is>
          <t>A 7808-2022</t>
        </is>
      </c>
      <c r="B600" s="1" t="n">
        <v>44608</v>
      </c>
      <c r="C600" s="1" t="n">
        <v>46030</v>
      </c>
      <c r="D600" t="inlineStr">
        <is>
          <t>ÖSTERGÖTLANDS LÄN</t>
        </is>
      </c>
      <c r="E600" t="inlineStr">
        <is>
          <t>LINKÖPING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27844-2024</t>
        </is>
      </c>
      <c r="B601" s="1" t="n">
        <v>45475.63047453704</v>
      </c>
      <c r="C601" s="1" t="n">
        <v>46030</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40810-2022</t>
        </is>
      </c>
      <c r="B602" s="1" t="n">
        <v>44824</v>
      </c>
      <c r="C602" s="1" t="n">
        <v>46030</v>
      </c>
      <c r="D602" t="inlineStr">
        <is>
          <t>ÖSTERGÖTLANDS LÄN</t>
        </is>
      </c>
      <c r="E602" t="inlineStr">
        <is>
          <t>LINKÖPING</t>
        </is>
      </c>
      <c r="G602" t="n">
        <v>2.8</v>
      </c>
      <c r="H602" t="n">
        <v>0</v>
      </c>
      <c r="I602" t="n">
        <v>0</v>
      </c>
      <c r="J602" t="n">
        <v>0</v>
      </c>
      <c r="K602" t="n">
        <v>0</v>
      </c>
      <c r="L602" t="n">
        <v>0</v>
      </c>
      <c r="M602" t="n">
        <v>0</v>
      </c>
      <c r="N602" t="n">
        <v>0</v>
      </c>
      <c r="O602" t="n">
        <v>0</v>
      </c>
      <c r="P602" t="n">
        <v>0</v>
      </c>
      <c r="Q602" t="n">
        <v>0</v>
      </c>
      <c r="R602" s="2" t="inlineStr"/>
    </row>
    <row r="603" ht="15" customHeight="1">
      <c r="A603" t="inlineStr">
        <is>
          <t>A 51559-2024</t>
        </is>
      </c>
      <c r="B603" s="1" t="n">
        <v>45604.61431712963</v>
      </c>
      <c r="C603" s="1" t="n">
        <v>46030</v>
      </c>
      <c r="D603" t="inlineStr">
        <is>
          <t>ÖSTERGÖTLANDS LÄN</t>
        </is>
      </c>
      <c r="E603" t="inlineStr">
        <is>
          <t>LINKÖPING</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49979-2022</t>
        </is>
      </c>
      <c r="B604" s="1" t="n">
        <v>44865</v>
      </c>
      <c r="C604" s="1" t="n">
        <v>46030</v>
      </c>
      <c r="D604" t="inlineStr">
        <is>
          <t>ÖSTERGÖTLANDS LÄN</t>
        </is>
      </c>
      <c r="E604" t="inlineStr">
        <is>
          <t>LINKÖPING</t>
        </is>
      </c>
      <c r="F604" t="inlineStr">
        <is>
          <t>Övriga Aktiebolag</t>
        </is>
      </c>
      <c r="G604" t="n">
        <v>11.4</v>
      </c>
      <c r="H604" t="n">
        <v>0</v>
      </c>
      <c r="I604" t="n">
        <v>0</v>
      </c>
      <c r="J604" t="n">
        <v>0</v>
      </c>
      <c r="K604" t="n">
        <v>0</v>
      </c>
      <c r="L604" t="n">
        <v>0</v>
      </c>
      <c r="M604" t="n">
        <v>0</v>
      </c>
      <c r="N604" t="n">
        <v>0</v>
      </c>
      <c r="O604" t="n">
        <v>0</v>
      </c>
      <c r="P604" t="n">
        <v>0</v>
      </c>
      <c r="Q604" t="n">
        <v>0</v>
      </c>
      <c r="R604" s="2" t="inlineStr"/>
    </row>
    <row r="605" ht="15" customHeight="1">
      <c r="A605" t="inlineStr">
        <is>
          <t>A 39219-2021</t>
        </is>
      </c>
      <c r="B605" s="1" t="n">
        <v>44413</v>
      </c>
      <c r="C605" s="1" t="n">
        <v>46030</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39224-2021</t>
        </is>
      </c>
      <c r="B606" s="1" t="n">
        <v>44413</v>
      </c>
      <c r="C606" s="1" t="n">
        <v>46030</v>
      </c>
      <c r="D606" t="inlineStr">
        <is>
          <t>ÖSTERGÖTLANDS LÄN</t>
        </is>
      </c>
      <c r="E606" t="inlineStr">
        <is>
          <t>LINKÖPING</t>
        </is>
      </c>
      <c r="G606" t="n">
        <v>2.1</v>
      </c>
      <c r="H606" t="n">
        <v>0</v>
      </c>
      <c r="I606" t="n">
        <v>0</v>
      </c>
      <c r="J606" t="n">
        <v>0</v>
      </c>
      <c r="K606" t="n">
        <v>0</v>
      </c>
      <c r="L606" t="n">
        <v>0</v>
      </c>
      <c r="M606" t="n">
        <v>0</v>
      </c>
      <c r="N606" t="n">
        <v>0</v>
      </c>
      <c r="O606" t="n">
        <v>0</v>
      </c>
      <c r="P606" t="n">
        <v>0</v>
      </c>
      <c r="Q606" t="n">
        <v>0</v>
      </c>
      <c r="R606" s="2" t="inlineStr"/>
    </row>
    <row r="607" ht="15" customHeight="1">
      <c r="A607" t="inlineStr">
        <is>
          <t>A 62495-2023</t>
        </is>
      </c>
      <c r="B607" s="1" t="n">
        <v>45268.59717592593</v>
      </c>
      <c r="C607" s="1" t="n">
        <v>46030</v>
      </c>
      <c r="D607" t="inlineStr">
        <is>
          <t>ÖSTERGÖTLANDS LÄN</t>
        </is>
      </c>
      <c r="E607" t="inlineStr">
        <is>
          <t>LINKÖPING</t>
        </is>
      </c>
      <c r="G607" t="n">
        <v>4.1</v>
      </c>
      <c r="H607" t="n">
        <v>0</v>
      </c>
      <c r="I607" t="n">
        <v>0</v>
      </c>
      <c r="J607" t="n">
        <v>0</v>
      </c>
      <c r="K607" t="n">
        <v>0</v>
      </c>
      <c r="L607" t="n">
        <v>0</v>
      </c>
      <c r="M607" t="n">
        <v>0</v>
      </c>
      <c r="N607" t="n">
        <v>0</v>
      </c>
      <c r="O607" t="n">
        <v>0</v>
      </c>
      <c r="P607" t="n">
        <v>0</v>
      </c>
      <c r="Q607" t="n">
        <v>0</v>
      </c>
      <c r="R607" s="2" t="inlineStr"/>
    </row>
    <row r="608" ht="15" customHeight="1">
      <c r="A608" t="inlineStr">
        <is>
          <t>A 29413-2023</t>
        </is>
      </c>
      <c r="B608" s="1" t="n">
        <v>45106.46465277778</v>
      </c>
      <c r="C608" s="1" t="n">
        <v>46030</v>
      </c>
      <c r="D608" t="inlineStr">
        <is>
          <t>ÖSTERGÖTLANDS LÄN</t>
        </is>
      </c>
      <c r="E608" t="inlineStr">
        <is>
          <t>LINKÖPING</t>
        </is>
      </c>
      <c r="G608" t="n">
        <v>8</v>
      </c>
      <c r="H608" t="n">
        <v>0</v>
      </c>
      <c r="I608" t="n">
        <v>0</v>
      </c>
      <c r="J608" t="n">
        <v>0</v>
      </c>
      <c r="K608" t="n">
        <v>0</v>
      </c>
      <c r="L608" t="n">
        <v>0</v>
      </c>
      <c r="M608" t="n">
        <v>0</v>
      </c>
      <c r="N608" t="n">
        <v>0</v>
      </c>
      <c r="O608" t="n">
        <v>0</v>
      </c>
      <c r="P608" t="n">
        <v>0</v>
      </c>
      <c r="Q608" t="n">
        <v>0</v>
      </c>
      <c r="R608" s="2" t="inlineStr"/>
    </row>
    <row r="609" ht="15" customHeight="1">
      <c r="A609" t="inlineStr">
        <is>
          <t>A 25948-2023</t>
        </is>
      </c>
      <c r="B609" s="1" t="n">
        <v>45090</v>
      </c>
      <c r="C609" s="1" t="n">
        <v>46030</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1627-2023</t>
        </is>
      </c>
      <c r="B610" s="1" t="n">
        <v>44937</v>
      </c>
      <c r="C610" s="1" t="n">
        <v>46030</v>
      </c>
      <c r="D610" t="inlineStr">
        <is>
          <t>ÖSTERGÖTLANDS LÄN</t>
        </is>
      </c>
      <c r="E610" t="inlineStr">
        <is>
          <t>LINKÖPING</t>
        </is>
      </c>
      <c r="G610" t="n">
        <v>10.8</v>
      </c>
      <c r="H610" t="n">
        <v>0</v>
      </c>
      <c r="I610" t="n">
        <v>0</v>
      </c>
      <c r="J610" t="n">
        <v>0</v>
      </c>
      <c r="K610" t="n">
        <v>0</v>
      </c>
      <c r="L610" t="n">
        <v>0</v>
      </c>
      <c r="M610" t="n">
        <v>0</v>
      </c>
      <c r="N610" t="n">
        <v>0</v>
      </c>
      <c r="O610" t="n">
        <v>0</v>
      </c>
      <c r="P610" t="n">
        <v>0</v>
      </c>
      <c r="Q610" t="n">
        <v>0</v>
      </c>
      <c r="R610" s="2" t="inlineStr"/>
    </row>
    <row r="611" ht="15" customHeight="1">
      <c r="A611" t="inlineStr">
        <is>
          <t>A 30481-2023</t>
        </is>
      </c>
      <c r="B611" s="1" t="n">
        <v>45111</v>
      </c>
      <c r="C611" s="1" t="n">
        <v>46030</v>
      </c>
      <c r="D611" t="inlineStr">
        <is>
          <t>ÖSTERGÖTLANDS LÄN</t>
        </is>
      </c>
      <c r="E611" t="inlineStr">
        <is>
          <t>LINKÖPING</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21782-2024</t>
        </is>
      </c>
      <c r="B612" s="1" t="n">
        <v>45442.63368055555</v>
      </c>
      <c r="C612" s="1" t="n">
        <v>46030</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11671-2023</t>
        </is>
      </c>
      <c r="B613" s="1" t="n">
        <v>44994.48125</v>
      </c>
      <c r="C613" s="1" t="n">
        <v>46030</v>
      </c>
      <c r="D613" t="inlineStr">
        <is>
          <t>ÖSTERGÖTLANDS LÄN</t>
        </is>
      </c>
      <c r="E613" t="inlineStr">
        <is>
          <t>LINKÖPING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3013-2023</t>
        </is>
      </c>
      <c r="B614" s="1" t="n">
        <v>44945.8092824074</v>
      </c>
      <c r="C614" s="1" t="n">
        <v>46030</v>
      </c>
      <c r="D614" t="inlineStr">
        <is>
          <t>ÖSTERGÖTLANDS LÄN</t>
        </is>
      </c>
      <c r="E614" t="inlineStr">
        <is>
          <t>LINKÖPING</t>
        </is>
      </c>
      <c r="G614" t="n">
        <v>5.2</v>
      </c>
      <c r="H614" t="n">
        <v>0</v>
      </c>
      <c r="I614" t="n">
        <v>0</v>
      </c>
      <c r="J614" t="n">
        <v>0</v>
      </c>
      <c r="K614" t="n">
        <v>0</v>
      </c>
      <c r="L614" t="n">
        <v>0</v>
      </c>
      <c r="M614" t="n">
        <v>0</v>
      </c>
      <c r="N614" t="n">
        <v>0</v>
      </c>
      <c r="O614" t="n">
        <v>0</v>
      </c>
      <c r="P614" t="n">
        <v>0</v>
      </c>
      <c r="Q614" t="n">
        <v>0</v>
      </c>
      <c r="R614" s="2" t="inlineStr"/>
    </row>
    <row r="615" ht="15" customHeight="1">
      <c r="A615" t="inlineStr">
        <is>
          <t>A 49747-2024</t>
        </is>
      </c>
      <c r="B615" s="1" t="n">
        <v>45596</v>
      </c>
      <c r="C615" s="1" t="n">
        <v>46030</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42997-2021</t>
        </is>
      </c>
      <c r="B616" s="1" t="n">
        <v>44431.45556712963</v>
      </c>
      <c r="C616" s="1" t="n">
        <v>46030</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3011-2023</t>
        </is>
      </c>
      <c r="B617" s="1" t="n">
        <v>44945</v>
      </c>
      <c r="C617" s="1" t="n">
        <v>46030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23735-2023</t>
        </is>
      </c>
      <c r="B618" s="1" t="n">
        <v>45077</v>
      </c>
      <c r="C618" s="1" t="n">
        <v>46030</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45821-2024</t>
        </is>
      </c>
      <c r="B619" s="1" t="n">
        <v>45579.75803240741</v>
      </c>
      <c r="C619" s="1" t="n">
        <v>46030</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53647-2021</t>
        </is>
      </c>
      <c r="B620" s="1" t="n">
        <v>44469</v>
      </c>
      <c r="C620" s="1" t="n">
        <v>46030</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6599-2023</t>
        </is>
      </c>
      <c r="B621" s="1" t="n">
        <v>44966.52603009259</v>
      </c>
      <c r="C621" s="1" t="n">
        <v>46030</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35735-2023</t>
        </is>
      </c>
      <c r="B622" s="1" t="n">
        <v>45147</v>
      </c>
      <c r="C622" s="1" t="n">
        <v>46030</v>
      </c>
      <c r="D622" t="inlineStr">
        <is>
          <t>ÖSTERGÖTLANDS LÄN</t>
        </is>
      </c>
      <c r="E622" t="inlineStr">
        <is>
          <t>LINKÖPING</t>
        </is>
      </c>
      <c r="G622" t="n">
        <v>2.8</v>
      </c>
      <c r="H622" t="n">
        <v>0</v>
      </c>
      <c r="I622" t="n">
        <v>0</v>
      </c>
      <c r="J622" t="n">
        <v>0</v>
      </c>
      <c r="K622" t="n">
        <v>0</v>
      </c>
      <c r="L622" t="n">
        <v>0</v>
      </c>
      <c r="M622" t="n">
        <v>0</v>
      </c>
      <c r="N622" t="n">
        <v>0</v>
      </c>
      <c r="O622" t="n">
        <v>0</v>
      </c>
      <c r="P622" t="n">
        <v>0</v>
      </c>
      <c r="Q622" t="n">
        <v>0</v>
      </c>
      <c r="R622" s="2" t="inlineStr"/>
    </row>
    <row r="623" ht="15" customHeight="1">
      <c r="A623" t="inlineStr">
        <is>
          <t>A 45831-2024</t>
        </is>
      </c>
      <c r="B623" s="1" t="n">
        <v>45579.90508101852</v>
      </c>
      <c r="C623" s="1" t="n">
        <v>46030</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17157-2024</t>
        </is>
      </c>
      <c r="B624" s="1" t="n">
        <v>45412.70567129629</v>
      </c>
      <c r="C624" s="1" t="n">
        <v>46030</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37154-2023</t>
        </is>
      </c>
      <c r="B625" s="1" t="n">
        <v>45155</v>
      </c>
      <c r="C625" s="1" t="n">
        <v>46030</v>
      </c>
      <c r="D625" t="inlineStr">
        <is>
          <t>ÖSTERGÖTLANDS LÄN</t>
        </is>
      </c>
      <c r="E625" t="inlineStr">
        <is>
          <t>LINKÖPING</t>
        </is>
      </c>
      <c r="G625" t="n">
        <v>1.7</v>
      </c>
      <c r="H625" t="n">
        <v>0</v>
      </c>
      <c r="I625" t="n">
        <v>0</v>
      </c>
      <c r="J625" t="n">
        <v>0</v>
      </c>
      <c r="K625" t="n">
        <v>0</v>
      </c>
      <c r="L625" t="n">
        <v>0</v>
      </c>
      <c r="M625" t="n">
        <v>0</v>
      </c>
      <c r="N625" t="n">
        <v>0</v>
      </c>
      <c r="O625" t="n">
        <v>0</v>
      </c>
      <c r="P625" t="n">
        <v>0</v>
      </c>
      <c r="Q625" t="n">
        <v>0</v>
      </c>
      <c r="R625" s="2" t="inlineStr"/>
    </row>
    <row r="626" ht="15" customHeight="1">
      <c r="A626" t="inlineStr">
        <is>
          <t>A 53812-2023</t>
        </is>
      </c>
      <c r="B626" s="1" t="n">
        <v>45231.39583333334</v>
      </c>
      <c r="C626" s="1" t="n">
        <v>46030</v>
      </c>
      <c r="D626" t="inlineStr">
        <is>
          <t>ÖSTERGÖTLANDS LÄN</t>
        </is>
      </c>
      <c r="E626" t="inlineStr">
        <is>
          <t>LINKÖPING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53830-2023</t>
        </is>
      </c>
      <c r="B627" s="1" t="n">
        <v>45230</v>
      </c>
      <c r="C627" s="1" t="n">
        <v>46030</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56841-2023</t>
        </is>
      </c>
      <c r="B628" s="1" t="n">
        <v>45244</v>
      </c>
      <c r="C628" s="1" t="n">
        <v>46030</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56741-2023</t>
        </is>
      </c>
      <c r="B629" s="1" t="n">
        <v>45244</v>
      </c>
      <c r="C629" s="1" t="n">
        <v>46030</v>
      </c>
      <c r="D629" t="inlineStr">
        <is>
          <t>ÖSTERGÖTLANDS LÄN</t>
        </is>
      </c>
      <c r="E629" t="inlineStr">
        <is>
          <t>LINKÖPING</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53816-2023</t>
        </is>
      </c>
      <c r="B630" s="1" t="n">
        <v>45231.40012731482</v>
      </c>
      <c r="C630" s="1" t="n">
        <v>46030</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63935-2021</t>
        </is>
      </c>
      <c r="B631" s="1" t="n">
        <v>44509</v>
      </c>
      <c r="C631" s="1" t="n">
        <v>46030</v>
      </c>
      <c r="D631" t="inlineStr">
        <is>
          <t>ÖSTERGÖTLANDS LÄN</t>
        </is>
      </c>
      <c r="E631" t="inlineStr">
        <is>
          <t>LINKÖPING</t>
        </is>
      </c>
      <c r="F631" t="inlineStr">
        <is>
          <t>Övriga statliga verk och myndigheter</t>
        </is>
      </c>
      <c r="G631" t="n">
        <v>2.8</v>
      </c>
      <c r="H631" t="n">
        <v>0</v>
      </c>
      <c r="I631" t="n">
        <v>0</v>
      </c>
      <c r="J631" t="n">
        <v>0</v>
      </c>
      <c r="K631" t="n">
        <v>0</v>
      </c>
      <c r="L631" t="n">
        <v>0</v>
      </c>
      <c r="M631" t="n">
        <v>0</v>
      </c>
      <c r="N631" t="n">
        <v>0</v>
      </c>
      <c r="O631" t="n">
        <v>0</v>
      </c>
      <c r="P631" t="n">
        <v>0</v>
      </c>
      <c r="Q631" t="n">
        <v>0</v>
      </c>
      <c r="R631" s="2" t="inlineStr"/>
    </row>
    <row r="632" ht="15" customHeight="1">
      <c r="A632" t="inlineStr">
        <is>
          <t>A 6726-2024</t>
        </is>
      </c>
      <c r="B632" s="1" t="n">
        <v>45341</v>
      </c>
      <c r="C632" s="1" t="n">
        <v>46030</v>
      </c>
      <c r="D632" t="inlineStr">
        <is>
          <t>ÖSTERGÖTLANDS LÄN</t>
        </is>
      </c>
      <c r="E632" t="inlineStr">
        <is>
          <t>LINKÖPING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3007-2023</t>
        </is>
      </c>
      <c r="B633" s="1" t="n">
        <v>44945</v>
      </c>
      <c r="C633" s="1" t="n">
        <v>46030</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18145-2021</t>
        </is>
      </c>
      <c r="B634" s="1" t="n">
        <v>44302</v>
      </c>
      <c r="C634" s="1" t="n">
        <v>46030</v>
      </c>
      <c r="D634" t="inlineStr">
        <is>
          <t>ÖSTERGÖTLANDS LÄN</t>
        </is>
      </c>
      <c r="E634" t="inlineStr">
        <is>
          <t>LINKÖPING</t>
        </is>
      </c>
      <c r="G634" t="n">
        <v>2.4</v>
      </c>
      <c r="H634" t="n">
        <v>0</v>
      </c>
      <c r="I634" t="n">
        <v>0</v>
      </c>
      <c r="J634" t="n">
        <v>0</v>
      </c>
      <c r="K634" t="n">
        <v>0</v>
      </c>
      <c r="L634" t="n">
        <v>0</v>
      </c>
      <c r="M634" t="n">
        <v>0</v>
      </c>
      <c r="N634" t="n">
        <v>0</v>
      </c>
      <c r="O634" t="n">
        <v>0</v>
      </c>
      <c r="P634" t="n">
        <v>0</v>
      </c>
      <c r="Q634" t="n">
        <v>0</v>
      </c>
      <c r="R634" s="2" t="inlineStr"/>
    </row>
    <row r="635" ht="15" customHeight="1">
      <c r="A635" t="inlineStr">
        <is>
          <t>A 29309-2024</t>
        </is>
      </c>
      <c r="B635" s="1" t="n">
        <v>45483</v>
      </c>
      <c r="C635" s="1" t="n">
        <v>46030</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53411-2023</t>
        </is>
      </c>
      <c r="B636" s="1" t="n">
        <v>45229.81049768518</v>
      </c>
      <c r="C636" s="1" t="n">
        <v>46030</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26788-2022</t>
        </is>
      </c>
      <c r="B637" s="1" t="n">
        <v>44740</v>
      </c>
      <c r="C637" s="1" t="n">
        <v>46030</v>
      </c>
      <c r="D637" t="inlineStr">
        <is>
          <t>ÖSTERGÖTLANDS LÄN</t>
        </is>
      </c>
      <c r="E637" t="inlineStr">
        <is>
          <t>LINKÖPING</t>
        </is>
      </c>
      <c r="G637" t="n">
        <v>3.2</v>
      </c>
      <c r="H637" t="n">
        <v>0</v>
      </c>
      <c r="I637" t="n">
        <v>0</v>
      </c>
      <c r="J637" t="n">
        <v>0</v>
      </c>
      <c r="K637" t="n">
        <v>0</v>
      </c>
      <c r="L637" t="n">
        <v>0</v>
      </c>
      <c r="M637" t="n">
        <v>0</v>
      </c>
      <c r="N637" t="n">
        <v>0</v>
      </c>
      <c r="O637" t="n">
        <v>0</v>
      </c>
      <c r="P637" t="n">
        <v>0</v>
      </c>
      <c r="Q637" t="n">
        <v>0</v>
      </c>
      <c r="R637" s="2" t="inlineStr"/>
    </row>
    <row r="638" ht="15" customHeight="1">
      <c r="A638" t="inlineStr">
        <is>
          <t>A 24462-2023</t>
        </is>
      </c>
      <c r="B638" s="1" t="n">
        <v>45082</v>
      </c>
      <c r="C638" s="1" t="n">
        <v>46030</v>
      </c>
      <c r="D638" t="inlineStr">
        <is>
          <t>ÖSTERGÖTLANDS LÄN</t>
        </is>
      </c>
      <c r="E638" t="inlineStr">
        <is>
          <t>LINKÖPING</t>
        </is>
      </c>
      <c r="G638" t="n">
        <v>3.5</v>
      </c>
      <c r="H638" t="n">
        <v>0</v>
      </c>
      <c r="I638" t="n">
        <v>0</v>
      </c>
      <c r="J638" t="n">
        <v>0</v>
      </c>
      <c r="K638" t="n">
        <v>0</v>
      </c>
      <c r="L638" t="n">
        <v>0</v>
      </c>
      <c r="M638" t="n">
        <v>0</v>
      </c>
      <c r="N638" t="n">
        <v>0</v>
      </c>
      <c r="O638" t="n">
        <v>0</v>
      </c>
      <c r="P638" t="n">
        <v>0</v>
      </c>
      <c r="Q638" t="n">
        <v>0</v>
      </c>
      <c r="R638" s="2" t="inlineStr"/>
    </row>
    <row r="639" ht="15" customHeight="1">
      <c r="A639" t="inlineStr">
        <is>
          <t>A 62015-2024</t>
        </is>
      </c>
      <c r="B639" s="1" t="n">
        <v>45655.80457175926</v>
      </c>
      <c r="C639" s="1" t="n">
        <v>46030</v>
      </c>
      <c r="D639" t="inlineStr">
        <is>
          <t>ÖSTERGÖTLANDS LÄN</t>
        </is>
      </c>
      <c r="E639" t="inlineStr">
        <is>
          <t>LINKÖPING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10741-2023</t>
        </is>
      </c>
      <c r="B640" s="1" t="n">
        <v>44988.70084490741</v>
      </c>
      <c r="C640" s="1" t="n">
        <v>46030</v>
      </c>
      <c r="D640" t="inlineStr">
        <is>
          <t>ÖSTERGÖTLANDS LÄN</t>
        </is>
      </c>
      <c r="E640" t="inlineStr">
        <is>
          <t>LINKÖPING</t>
        </is>
      </c>
      <c r="F640" t="inlineStr">
        <is>
          <t>Allmännings- och besparingsskogar</t>
        </is>
      </c>
      <c r="G640" t="n">
        <v>11.2</v>
      </c>
      <c r="H640" t="n">
        <v>0</v>
      </c>
      <c r="I640" t="n">
        <v>0</v>
      </c>
      <c r="J640" t="n">
        <v>0</v>
      </c>
      <c r="K640" t="n">
        <v>0</v>
      </c>
      <c r="L640" t="n">
        <v>0</v>
      </c>
      <c r="M640" t="n">
        <v>0</v>
      </c>
      <c r="N640" t="n">
        <v>0</v>
      </c>
      <c r="O640" t="n">
        <v>0</v>
      </c>
      <c r="P640" t="n">
        <v>0</v>
      </c>
      <c r="Q640" t="n">
        <v>0</v>
      </c>
      <c r="R640" s="2" t="inlineStr"/>
    </row>
    <row r="641" ht="15" customHeight="1">
      <c r="A641" t="inlineStr">
        <is>
          <t>A 43473-2024</t>
        </is>
      </c>
      <c r="B641" s="1" t="n">
        <v>45568</v>
      </c>
      <c r="C641" s="1" t="n">
        <v>46030</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43475-2024</t>
        </is>
      </c>
      <c r="B642" s="1" t="n">
        <v>45568</v>
      </c>
      <c r="C642" s="1" t="n">
        <v>46030</v>
      </c>
      <c r="D642" t="inlineStr">
        <is>
          <t>ÖSTERGÖTLANDS LÄN</t>
        </is>
      </c>
      <c r="E642" t="inlineStr">
        <is>
          <t>LINKÖPING</t>
        </is>
      </c>
      <c r="G642" t="n">
        <v>3.2</v>
      </c>
      <c r="H642" t="n">
        <v>0</v>
      </c>
      <c r="I642" t="n">
        <v>0</v>
      </c>
      <c r="J642" t="n">
        <v>0</v>
      </c>
      <c r="K642" t="n">
        <v>0</v>
      </c>
      <c r="L642" t="n">
        <v>0</v>
      </c>
      <c r="M642" t="n">
        <v>0</v>
      </c>
      <c r="N642" t="n">
        <v>0</v>
      </c>
      <c r="O642" t="n">
        <v>0</v>
      </c>
      <c r="P642" t="n">
        <v>0</v>
      </c>
      <c r="Q642" t="n">
        <v>0</v>
      </c>
      <c r="R642" s="2" t="inlineStr"/>
    </row>
    <row r="643" ht="15" customHeight="1">
      <c r="A643" t="inlineStr">
        <is>
          <t>A 1207-2023</t>
        </is>
      </c>
      <c r="B643" s="1" t="n">
        <v>44930</v>
      </c>
      <c r="C643" s="1" t="n">
        <v>46030</v>
      </c>
      <c r="D643" t="inlineStr">
        <is>
          <t>ÖSTERGÖTLANDS LÄN</t>
        </is>
      </c>
      <c r="E643" t="inlineStr">
        <is>
          <t>LINKÖPING</t>
        </is>
      </c>
      <c r="F643" t="inlineStr">
        <is>
          <t>Övriga statliga verk och myndigheter</t>
        </is>
      </c>
      <c r="G643" t="n">
        <v>32.8</v>
      </c>
      <c r="H643" t="n">
        <v>0</v>
      </c>
      <c r="I643" t="n">
        <v>0</v>
      </c>
      <c r="J643" t="n">
        <v>0</v>
      </c>
      <c r="K643" t="n">
        <v>0</v>
      </c>
      <c r="L643" t="n">
        <v>0</v>
      </c>
      <c r="M643" t="n">
        <v>0</v>
      </c>
      <c r="N643" t="n">
        <v>0</v>
      </c>
      <c r="O643" t="n">
        <v>0</v>
      </c>
      <c r="P643" t="n">
        <v>0</v>
      </c>
      <c r="Q643" t="n">
        <v>0</v>
      </c>
      <c r="R643" s="2" t="inlineStr"/>
    </row>
    <row r="644" ht="15" customHeight="1">
      <c r="A644" t="inlineStr">
        <is>
          <t>A 29859-2024</t>
        </is>
      </c>
      <c r="B644" s="1" t="n">
        <v>45485.6846412037</v>
      </c>
      <c r="C644" s="1" t="n">
        <v>46030</v>
      </c>
      <c r="D644" t="inlineStr">
        <is>
          <t>ÖSTERGÖTLANDS LÄN</t>
        </is>
      </c>
      <c r="E644" t="inlineStr">
        <is>
          <t>LINKÖPING</t>
        </is>
      </c>
      <c r="G644" t="n">
        <v>0.4</v>
      </c>
      <c r="H644" t="n">
        <v>0</v>
      </c>
      <c r="I644" t="n">
        <v>0</v>
      </c>
      <c r="J644" t="n">
        <v>0</v>
      </c>
      <c r="K644" t="n">
        <v>0</v>
      </c>
      <c r="L644" t="n">
        <v>0</v>
      </c>
      <c r="M644" t="n">
        <v>0</v>
      </c>
      <c r="N644" t="n">
        <v>0</v>
      </c>
      <c r="O644" t="n">
        <v>0</v>
      </c>
      <c r="P644" t="n">
        <v>0</v>
      </c>
      <c r="Q644" t="n">
        <v>0</v>
      </c>
      <c r="R644" s="2" t="inlineStr"/>
    </row>
    <row r="645" ht="15" customHeight="1">
      <c r="A645" t="inlineStr">
        <is>
          <t>A 45819-2024</t>
        </is>
      </c>
      <c r="B645" s="1" t="n">
        <v>45579.7454050926</v>
      </c>
      <c r="C645" s="1" t="n">
        <v>46030</v>
      </c>
      <c r="D645" t="inlineStr">
        <is>
          <t>ÖSTERGÖTLANDS LÄN</t>
        </is>
      </c>
      <c r="E645" t="inlineStr">
        <is>
          <t>LINKÖPING</t>
        </is>
      </c>
      <c r="G645" t="n">
        <v>5</v>
      </c>
      <c r="H645" t="n">
        <v>0</v>
      </c>
      <c r="I645" t="n">
        <v>0</v>
      </c>
      <c r="J645" t="n">
        <v>0</v>
      </c>
      <c r="K645" t="n">
        <v>0</v>
      </c>
      <c r="L645" t="n">
        <v>0</v>
      </c>
      <c r="M645" t="n">
        <v>0</v>
      </c>
      <c r="N645" t="n">
        <v>0</v>
      </c>
      <c r="O645" t="n">
        <v>0</v>
      </c>
      <c r="P645" t="n">
        <v>0</v>
      </c>
      <c r="Q645" t="n">
        <v>0</v>
      </c>
      <c r="R645" s="2" t="inlineStr"/>
    </row>
    <row r="646" ht="15" customHeight="1">
      <c r="A646" t="inlineStr">
        <is>
          <t>A 15748-2025</t>
        </is>
      </c>
      <c r="B646" s="1" t="n">
        <v>45748.55282407408</v>
      </c>
      <c r="C646" s="1" t="n">
        <v>46030</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15754-2025</t>
        </is>
      </c>
      <c r="B647" s="1" t="n">
        <v>45748.56105324074</v>
      </c>
      <c r="C647" s="1" t="n">
        <v>46030</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30518-2024</t>
        </is>
      </c>
      <c r="B648" s="1" t="n">
        <v>45492</v>
      </c>
      <c r="C648" s="1" t="n">
        <v>46030</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53797-2023</t>
        </is>
      </c>
      <c r="B649" s="1" t="n">
        <v>45230</v>
      </c>
      <c r="C649" s="1" t="n">
        <v>46030</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55345-2021</t>
        </is>
      </c>
      <c r="B650" s="1" t="n">
        <v>44475</v>
      </c>
      <c r="C650" s="1" t="n">
        <v>46030</v>
      </c>
      <c r="D650" t="inlineStr">
        <is>
          <t>ÖSTERGÖTLANDS LÄN</t>
        </is>
      </c>
      <c r="E650" t="inlineStr">
        <is>
          <t>LINKÖPING</t>
        </is>
      </c>
      <c r="G650" t="n">
        <v>5.7</v>
      </c>
      <c r="H650" t="n">
        <v>0</v>
      </c>
      <c r="I650" t="n">
        <v>0</v>
      </c>
      <c r="J650" t="n">
        <v>0</v>
      </c>
      <c r="K650" t="n">
        <v>0</v>
      </c>
      <c r="L650" t="n">
        <v>0</v>
      </c>
      <c r="M650" t="n">
        <v>0</v>
      </c>
      <c r="N650" t="n">
        <v>0</v>
      </c>
      <c r="O650" t="n">
        <v>0</v>
      </c>
      <c r="P650" t="n">
        <v>0</v>
      </c>
      <c r="Q650" t="n">
        <v>0</v>
      </c>
      <c r="R650" s="2" t="inlineStr"/>
    </row>
    <row r="651" ht="15" customHeight="1">
      <c r="A651" t="inlineStr">
        <is>
          <t>A 10198-2023</t>
        </is>
      </c>
      <c r="B651" s="1" t="n">
        <v>44986.54665509259</v>
      </c>
      <c r="C651" s="1" t="n">
        <v>46030</v>
      </c>
      <c r="D651" t="inlineStr">
        <is>
          <t>ÖSTERGÖTLANDS LÄN</t>
        </is>
      </c>
      <c r="E651" t="inlineStr">
        <is>
          <t>LINKÖPING</t>
        </is>
      </c>
      <c r="G651" t="n">
        <v>4.6</v>
      </c>
      <c r="H651" t="n">
        <v>0</v>
      </c>
      <c r="I651" t="n">
        <v>0</v>
      </c>
      <c r="J651" t="n">
        <v>0</v>
      </c>
      <c r="K651" t="n">
        <v>0</v>
      </c>
      <c r="L651" t="n">
        <v>0</v>
      </c>
      <c r="M651" t="n">
        <v>0</v>
      </c>
      <c r="N651" t="n">
        <v>0</v>
      </c>
      <c r="O651" t="n">
        <v>0</v>
      </c>
      <c r="P651" t="n">
        <v>0</v>
      </c>
      <c r="Q651" t="n">
        <v>0</v>
      </c>
      <c r="R651" s="2" t="inlineStr"/>
    </row>
    <row r="652" ht="15" customHeight="1">
      <c r="A652" t="inlineStr">
        <is>
          <t>A 4298-2023</t>
        </is>
      </c>
      <c r="B652" s="1" t="n">
        <v>44953</v>
      </c>
      <c r="C652" s="1" t="n">
        <v>46030</v>
      </c>
      <c r="D652" t="inlineStr">
        <is>
          <t>ÖSTERGÖTLANDS LÄN</t>
        </is>
      </c>
      <c r="E652" t="inlineStr">
        <is>
          <t>LINKÖPING</t>
        </is>
      </c>
      <c r="G652" t="n">
        <v>2.8</v>
      </c>
      <c r="H652" t="n">
        <v>0</v>
      </c>
      <c r="I652" t="n">
        <v>0</v>
      </c>
      <c r="J652" t="n">
        <v>0</v>
      </c>
      <c r="K652" t="n">
        <v>0</v>
      </c>
      <c r="L652" t="n">
        <v>0</v>
      </c>
      <c r="M652" t="n">
        <v>0</v>
      </c>
      <c r="N652" t="n">
        <v>0</v>
      </c>
      <c r="O652" t="n">
        <v>0</v>
      </c>
      <c r="P652" t="n">
        <v>0</v>
      </c>
      <c r="Q652" t="n">
        <v>0</v>
      </c>
      <c r="R652" s="2" t="inlineStr"/>
    </row>
    <row r="653" ht="15" customHeight="1">
      <c r="A653" t="inlineStr">
        <is>
          <t>A 12428-2024</t>
        </is>
      </c>
      <c r="B653" s="1" t="n">
        <v>45379</v>
      </c>
      <c r="C653" s="1" t="n">
        <v>46030</v>
      </c>
      <c r="D653" t="inlineStr">
        <is>
          <t>ÖSTERGÖTLANDS LÄN</t>
        </is>
      </c>
      <c r="E653" t="inlineStr">
        <is>
          <t>LINKÖPING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26618-2023</t>
        </is>
      </c>
      <c r="B654" s="1" t="n">
        <v>45092.70306712963</v>
      </c>
      <c r="C654" s="1" t="n">
        <v>46030</v>
      </c>
      <c r="D654" t="inlineStr">
        <is>
          <t>ÖSTERGÖTLANDS LÄN</t>
        </is>
      </c>
      <c r="E654" t="inlineStr">
        <is>
          <t>LINKÖPING</t>
        </is>
      </c>
      <c r="G654" t="n">
        <v>6.9</v>
      </c>
      <c r="H654" t="n">
        <v>0</v>
      </c>
      <c r="I654" t="n">
        <v>0</v>
      </c>
      <c r="J654" t="n">
        <v>0</v>
      </c>
      <c r="K654" t="n">
        <v>0</v>
      </c>
      <c r="L654" t="n">
        <v>0</v>
      </c>
      <c r="M654" t="n">
        <v>0</v>
      </c>
      <c r="N654" t="n">
        <v>0</v>
      </c>
      <c r="O654" t="n">
        <v>0</v>
      </c>
      <c r="P654" t="n">
        <v>0</v>
      </c>
      <c r="Q654" t="n">
        <v>0</v>
      </c>
      <c r="R654" s="2" t="inlineStr"/>
    </row>
    <row r="655" ht="15" customHeight="1">
      <c r="A655" t="inlineStr">
        <is>
          <t>A 34930-2023</t>
        </is>
      </c>
      <c r="B655" s="1" t="n">
        <v>45142</v>
      </c>
      <c r="C655" s="1" t="n">
        <v>46030</v>
      </c>
      <c r="D655" t="inlineStr">
        <is>
          <t>ÖSTERGÖTLANDS LÄN</t>
        </is>
      </c>
      <c r="E655" t="inlineStr">
        <is>
          <t>LINKÖPING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670-2024</t>
        </is>
      </c>
      <c r="B656" s="1" t="n">
        <v>45300.3408912037</v>
      </c>
      <c r="C656" s="1" t="n">
        <v>46030</v>
      </c>
      <c r="D656" t="inlineStr">
        <is>
          <t>ÖSTERGÖTLANDS LÄN</t>
        </is>
      </c>
      <c r="E656" t="inlineStr">
        <is>
          <t>LINKÖPING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63845-2021</t>
        </is>
      </c>
      <c r="B657" s="1" t="n">
        <v>44509</v>
      </c>
      <c r="C657" s="1" t="n">
        <v>46030</v>
      </c>
      <c r="D657" t="inlineStr">
        <is>
          <t>ÖSTERGÖTLANDS LÄN</t>
        </is>
      </c>
      <c r="E657" t="inlineStr">
        <is>
          <t>LINKÖPING</t>
        </is>
      </c>
      <c r="G657" t="n">
        <v>5</v>
      </c>
      <c r="H657" t="n">
        <v>0</v>
      </c>
      <c r="I657" t="n">
        <v>0</v>
      </c>
      <c r="J657" t="n">
        <v>0</v>
      </c>
      <c r="K657" t="n">
        <v>0</v>
      </c>
      <c r="L657" t="n">
        <v>0</v>
      </c>
      <c r="M657" t="n">
        <v>0</v>
      </c>
      <c r="N657" t="n">
        <v>0</v>
      </c>
      <c r="O657" t="n">
        <v>0</v>
      </c>
      <c r="P657" t="n">
        <v>0</v>
      </c>
      <c r="Q657" t="n">
        <v>0</v>
      </c>
      <c r="R657" s="2" t="inlineStr"/>
    </row>
    <row r="658" ht="15" customHeight="1">
      <c r="A658" t="inlineStr">
        <is>
          <t>A 54034-2022</t>
        </is>
      </c>
      <c r="B658" s="1" t="n">
        <v>44881</v>
      </c>
      <c r="C658" s="1" t="n">
        <v>46030</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36336-2023</t>
        </is>
      </c>
      <c r="B659" s="1" t="n">
        <v>45152.45078703704</v>
      </c>
      <c r="C659" s="1" t="n">
        <v>46030</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48829-2023</t>
        </is>
      </c>
      <c r="B660" s="1" t="n">
        <v>45209.38177083333</v>
      </c>
      <c r="C660" s="1" t="n">
        <v>46030</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48186-2022</t>
        </is>
      </c>
      <c r="B661" s="1" t="n">
        <v>44858</v>
      </c>
      <c r="C661" s="1" t="n">
        <v>46030</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63669-2023</t>
        </is>
      </c>
      <c r="B662" s="1" t="n">
        <v>45275</v>
      </c>
      <c r="C662" s="1" t="n">
        <v>46030</v>
      </c>
      <c r="D662" t="inlineStr">
        <is>
          <t>ÖSTERGÖTLANDS LÄN</t>
        </is>
      </c>
      <c r="E662" t="inlineStr">
        <is>
          <t>LINKÖPING</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24586-2024</t>
        </is>
      </c>
      <c r="B663" s="1" t="n">
        <v>45460.46664351852</v>
      </c>
      <c r="C663" s="1" t="n">
        <v>46030</v>
      </c>
      <c r="D663" t="inlineStr">
        <is>
          <t>ÖSTERGÖTLANDS LÄN</t>
        </is>
      </c>
      <c r="E663" t="inlineStr">
        <is>
          <t>LINKÖPING</t>
        </is>
      </c>
      <c r="G663" t="n">
        <v>4</v>
      </c>
      <c r="H663" t="n">
        <v>0</v>
      </c>
      <c r="I663" t="n">
        <v>0</v>
      </c>
      <c r="J663" t="n">
        <v>0</v>
      </c>
      <c r="K663" t="n">
        <v>0</v>
      </c>
      <c r="L663" t="n">
        <v>0</v>
      </c>
      <c r="M663" t="n">
        <v>0</v>
      </c>
      <c r="N663" t="n">
        <v>0</v>
      </c>
      <c r="O663" t="n">
        <v>0</v>
      </c>
      <c r="P663" t="n">
        <v>0</v>
      </c>
      <c r="Q663" t="n">
        <v>0</v>
      </c>
      <c r="R663" s="2" t="inlineStr"/>
    </row>
    <row r="664" ht="15" customHeight="1">
      <c r="A664" t="inlineStr">
        <is>
          <t>A 59576-2024</t>
        </is>
      </c>
      <c r="B664" s="1" t="n">
        <v>45638.66378472222</v>
      </c>
      <c r="C664" s="1" t="n">
        <v>46030</v>
      </c>
      <c r="D664" t="inlineStr">
        <is>
          <t>ÖSTERGÖTLANDS LÄN</t>
        </is>
      </c>
      <c r="E664" t="inlineStr">
        <is>
          <t>LINKÖPING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59642-2024</t>
        </is>
      </c>
      <c r="B665" s="1" t="n">
        <v>45639.31511574074</v>
      </c>
      <c r="C665" s="1" t="n">
        <v>46030</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59674-2024</t>
        </is>
      </c>
      <c r="B666" s="1" t="n">
        <v>45639</v>
      </c>
      <c r="C666" s="1" t="n">
        <v>46030</v>
      </c>
      <c r="D666" t="inlineStr">
        <is>
          <t>ÖSTERGÖTLANDS LÄN</t>
        </is>
      </c>
      <c r="E666" t="inlineStr">
        <is>
          <t>LINKÖPING</t>
        </is>
      </c>
      <c r="G666" t="n">
        <v>6.3</v>
      </c>
      <c r="H666" t="n">
        <v>0</v>
      </c>
      <c r="I666" t="n">
        <v>0</v>
      </c>
      <c r="J666" t="n">
        <v>0</v>
      </c>
      <c r="K666" t="n">
        <v>0</v>
      </c>
      <c r="L666" t="n">
        <v>0</v>
      </c>
      <c r="M666" t="n">
        <v>0</v>
      </c>
      <c r="N666" t="n">
        <v>0</v>
      </c>
      <c r="O666" t="n">
        <v>0</v>
      </c>
      <c r="P666" t="n">
        <v>0</v>
      </c>
      <c r="Q666" t="n">
        <v>0</v>
      </c>
      <c r="R666" s="2" t="inlineStr"/>
    </row>
    <row r="667" ht="15" customHeight="1">
      <c r="A667" t="inlineStr">
        <is>
          <t>A 3742-2021</t>
        </is>
      </c>
      <c r="B667" s="1" t="n">
        <v>44221</v>
      </c>
      <c r="C667" s="1" t="n">
        <v>46030</v>
      </c>
      <c r="D667" t="inlineStr">
        <is>
          <t>ÖSTERGÖTLANDS LÄN</t>
        </is>
      </c>
      <c r="E667" t="inlineStr">
        <is>
          <t>LINKÖPING</t>
        </is>
      </c>
      <c r="G667" t="n">
        <v>5.5</v>
      </c>
      <c r="H667" t="n">
        <v>0</v>
      </c>
      <c r="I667" t="n">
        <v>0</v>
      </c>
      <c r="J667" t="n">
        <v>0</v>
      </c>
      <c r="K667" t="n">
        <v>0</v>
      </c>
      <c r="L667" t="n">
        <v>0</v>
      </c>
      <c r="M667" t="n">
        <v>0</v>
      </c>
      <c r="N667" t="n">
        <v>0</v>
      </c>
      <c r="O667" t="n">
        <v>0</v>
      </c>
      <c r="P667" t="n">
        <v>0</v>
      </c>
      <c r="Q667" t="n">
        <v>0</v>
      </c>
      <c r="R667" s="2" t="inlineStr"/>
    </row>
    <row r="668" ht="15" customHeight="1">
      <c r="A668" t="inlineStr">
        <is>
          <t>A 18916-2024</t>
        </is>
      </c>
      <c r="B668" s="1" t="n">
        <v>45427.39541666667</v>
      </c>
      <c r="C668" s="1" t="n">
        <v>46030</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11084-2022</t>
        </is>
      </c>
      <c r="B669" s="1" t="n">
        <v>44628</v>
      </c>
      <c r="C669" s="1" t="n">
        <v>46030</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10203-2023</t>
        </is>
      </c>
      <c r="B670" s="1" t="n">
        <v>44986.55711805556</v>
      </c>
      <c r="C670" s="1" t="n">
        <v>46030</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2618-2023</t>
        </is>
      </c>
      <c r="B671" s="1" t="n">
        <v>44944.35847222222</v>
      </c>
      <c r="C671" s="1" t="n">
        <v>46030</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62020-2024</t>
        </is>
      </c>
      <c r="B672" s="1" t="n">
        <v>45655.83563657408</v>
      </c>
      <c r="C672" s="1" t="n">
        <v>46030</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62021-2024</t>
        </is>
      </c>
      <c r="B673" s="1" t="n">
        <v>45655.84232638889</v>
      </c>
      <c r="C673" s="1" t="n">
        <v>46030</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1362-2023</t>
        </is>
      </c>
      <c r="B674" s="1" t="n">
        <v>44931</v>
      </c>
      <c r="C674" s="1" t="n">
        <v>46030</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49928-2024</t>
        </is>
      </c>
      <c r="B675" s="1" t="n">
        <v>45597.57811342592</v>
      </c>
      <c r="C675" s="1" t="n">
        <v>46030</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3627-2023</t>
        </is>
      </c>
      <c r="B676" s="1" t="n">
        <v>44950.64782407408</v>
      </c>
      <c r="C676" s="1" t="n">
        <v>46030</v>
      </c>
      <c r="D676" t="inlineStr">
        <is>
          <t>ÖSTERGÖTLANDS LÄN</t>
        </is>
      </c>
      <c r="E676" t="inlineStr">
        <is>
          <t>LINKÖPING</t>
        </is>
      </c>
      <c r="G676" t="n">
        <v>3.1</v>
      </c>
      <c r="H676" t="n">
        <v>0</v>
      </c>
      <c r="I676" t="n">
        <v>0</v>
      </c>
      <c r="J676" t="n">
        <v>0</v>
      </c>
      <c r="K676" t="n">
        <v>0</v>
      </c>
      <c r="L676" t="n">
        <v>0</v>
      </c>
      <c r="M676" t="n">
        <v>0</v>
      </c>
      <c r="N676" t="n">
        <v>0</v>
      </c>
      <c r="O676" t="n">
        <v>0</v>
      </c>
      <c r="P676" t="n">
        <v>0</v>
      </c>
      <c r="Q676" t="n">
        <v>0</v>
      </c>
      <c r="R676" s="2" t="inlineStr"/>
    </row>
    <row r="677" ht="15" customHeight="1">
      <c r="A677" t="inlineStr">
        <is>
          <t>A 51405-2023</t>
        </is>
      </c>
      <c r="B677" s="1" t="n">
        <v>45219</v>
      </c>
      <c r="C677" s="1" t="n">
        <v>46030</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11601-2023</t>
        </is>
      </c>
      <c r="B678" s="1" t="n">
        <v>44994</v>
      </c>
      <c r="C678" s="1" t="n">
        <v>46030</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40338-2024</t>
        </is>
      </c>
      <c r="B679" s="1" t="n">
        <v>45555.32940972222</v>
      </c>
      <c r="C679" s="1" t="n">
        <v>46030</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167-2024</t>
        </is>
      </c>
      <c r="B680" s="1" t="n">
        <v>45294</v>
      </c>
      <c r="C680" s="1" t="n">
        <v>46030</v>
      </c>
      <c r="D680" t="inlineStr">
        <is>
          <t>ÖSTERGÖTLANDS LÄN</t>
        </is>
      </c>
      <c r="E680" t="inlineStr">
        <is>
          <t>LINKÖPING</t>
        </is>
      </c>
      <c r="F680" t="inlineStr">
        <is>
          <t>Allmännings- och besparingsskogar</t>
        </is>
      </c>
      <c r="G680" t="n">
        <v>11.6</v>
      </c>
      <c r="H680" t="n">
        <v>0</v>
      </c>
      <c r="I680" t="n">
        <v>0</v>
      </c>
      <c r="J680" t="n">
        <v>0</v>
      </c>
      <c r="K680" t="n">
        <v>0</v>
      </c>
      <c r="L680" t="n">
        <v>0</v>
      </c>
      <c r="M680" t="n">
        <v>0</v>
      </c>
      <c r="N680" t="n">
        <v>0</v>
      </c>
      <c r="O680" t="n">
        <v>0</v>
      </c>
      <c r="P680" t="n">
        <v>0</v>
      </c>
      <c r="Q680" t="n">
        <v>0</v>
      </c>
      <c r="R680" s="2" t="inlineStr"/>
    </row>
    <row r="681" ht="15" customHeight="1">
      <c r="A681" t="inlineStr">
        <is>
          <t>A 27186-2021</t>
        </is>
      </c>
      <c r="B681" s="1" t="n">
        <v>44350.67715277777</v>
      </c>
      <c r="C681" s="1" t="n">
        <v>46030</v>
      </c>
      <c r="D681" t="inlineStr">
        <is>
          <t>ÖSTERGÖTLANDS LÄN</t>
        </is>
      </c>
      <c r="E681" t="inlineStr">
        <is>
          <t>LINKÖPING</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7343-2025</t>
        </is>
      </c>
      <c r="B682" s="1" t="n">
        <v>45703.67853009259</v>
      </c>
      <c r="C682" s="1" t="n">
        <v>46030</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48271-2023</t>
        </is>
      </c>
      <c r="B683" s="1" t="n">
        <v>45205</v>
      </c>
      <c r="C683" s="1" t="n">
        <v>46030</v>
      </c>
      <c r="D683" t="inlineStr">
        <is>
          <t>ÖSTERGÖTLANDS LÄN</t>
        </is>
      </c>
      <c r="E683" t="inlineStr">
        <is>
          <t>LINKÖPING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12720-2022</t>
        </is>
      </c>
      <c r="B684" s="1" t="n">
        <v>44641</v>
      </c>
      <c r="C684" s="1" t="n">
        <v>46030</v>
      </c>
      <c r="D684" t="inlineStr">
        <is>
          <t>ÖSTERGÖTLANDS LÄN</t>
        </is>
      </c>
      <c r="E684" t="inlineStr">
        <is>
          <t>LINKÖPING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62018-2024</t>
        </is>
      </c>
      <c r="B685" s="1" t="n">
        <v>45655.81387731482</v>
      </c>
      <c r="C685" s="1" t="n">
        <v>46030</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30551-2023</t>
        </is>
      </c>
      <c r="B686" s="1" t="n">
        <v>45111</v>
      </c>
      <c r="C686" s="1" t="n">
        <v>46030</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30860-2022</t>
        </is>
      </c>
      <c r="B687" s="1" t="n">
        <v>44767</v>
      </c>
      <c r="C687" s="1" t="n">
        <v>46030</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60004-2022</t>
        </is>
      </c>
      <c r="B688" s="1" t="n">
        <v>44909.47206018519</v>
      </c>
      <c r="C688" s="1" t="n">
        <v>46030</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60010-2022</t>
        </is>
      </c>
      <c r="B689" s="1" t="n">
        <v>44909.4740625</v>
      </c>
      <c r="C689" s="1" t="n">
        <v>46030</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53827-2023</t>
        </is>
      </c>
      <c r="B690" s="1" t="n">
        <v>45230</v>
      </c>
      <c r="C690" s="1" t="n">
        <v>46030</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4256-2022</t>
        </is>
      </c>
      <c r="B691" s="1" t="n">
        <v>44588</v>
      </c>
      <c r="C691" s="1" t="n">
        <v>46030</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46030</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223-2024</t>
        </is>
      </c>
      <c r="B693" s="1" t="n">
        <v>45294.72739583333</v>
      </c>
      <c r="C693" s="1" t="n">
        <v>46030</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19464-2024</t>
        </is>
      </c>
      <c r="B694" s="1" t="n">
        <v>45429</v>
      </c>
      <c r="C694" s="1" t="n">
        <v>46030</v>
      </c>
      <c r="D694" t="inlineStr">
        <is>
          <t>ÖSTERGÖTLANDS LÄN</t>
        </is>
      </c>
      <c r="E694" t="inlineStr">
        <is>
          <t>LINKÖPING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46030</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30433-2024</t>
        </is>
      </c>
      <c r="B696" s="1" t="n">
        <v>45491.69741898148</v>
      </c>
      <c r="C696" s="1" t="n">
        <v>46030</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63528-2023</t>
        </is>
      </c>
      <c r="B697" s="1" t="n">
        <v>45274.94810185185</v>
      </c>
      <c r="C697" s="1" t="n">
        <v>46030</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61936-2023</t>
        </is>
      </c>
      <c r="B698" s="1" t="n">
        <v>45266.54534722222</v>
      </c>
      <c r="C698" s="1" t="n">
        <v>46030</v>
      </c>
      <c r="D698" t="inlineStr">
        <is>
          <t>ÖSTERGÖTLANDS LÄN</t>
        </is>
      </c>
      <c r="E698" t="inlineStr">
        <is>
          <t>LINKÖPING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62492-2023</t>
        </is>
      </c>
      <c r="B699" s="1" t="n">
        <v>45268.58987268519</v>
      </c>
      <c r="C699" s="1" t="n">
        <v>46030</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674-2024</t>
        </is>
      </c>
      <c r="B700" s="1" t="n">
        <v>45300.34408564815</v>
      </c>
      <c r="C700" s="1" t="n">
        <v>46030</v>
      </c>
      <c r="D700" t="inlineStr">
        <is>
          <t>ÖSTERGÖTLANDS LÄN</t>
        </is>
      </c>
      <c r="E700" t="inlineStr">
        <is>
          <t>LINKÖPING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6782-2024</t>
        </is>
      </c>
      <c r="B701" s="1" t="n">
        <v>45342</v>
      </c>
      <c r="C701" s="1" t="n">
        <v>46030</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10094-2024</t>
        </is>
      </c>
      <c r="B702" s="1" t="n">
        <v>45364</v>
      </c>
      <c r="C702" s="1" t="n">
        <v>46030</v>
      </c>
      <c r="D702" t="inlineStr">
        <is>
          <t>ÖSTERGÖTLANDS LÄN</t>
        </is>
      </c>
      <c r="E702" t="inlineStr">
        <is>
          <t>LINKÖPING</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63684-2023</t>
        </is>
      </c>
      <c r="B703" s="1" t="n">
        <v>45275</v>
      </c>
      <c r="C703" s="1" t="n">
        <v>46030</v>
      </c>
      <c r="D703" t="inlineStr">
        <is>
          <t>ÖSTERGÖTLANDS LÄN</t>
        </is>
      </c>
      <c r="E703" t="inlineStr">
        <is>
          <t>LINKÖPING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63688-2023</t>
        </is>
      </c>
      <c r="B704" s="1" t="n">
        <v>45275</v>
      </c>
      <c r="C704" s="1" t="n">
        <v>46030</v>
      </c>
      <c r="D704" t="inlineStr">
        <is>
          <t>ÖSTERGÖTLANDS LÄN</t>
        </is>
      </c>
      <c r="E704" t="inlineStr">
        <is>
          <t>LINKÖPING</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63691-2023</t>
        </is>
      </c>
      <c r="B705" s="1" t="n">
        <v>45275</v>
      </c>
      <c r="C705" s="1" t="n">
        <v>46030</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36657-2023</t>
        </is>
      </c>
      <c r="B706" s="1" t="n">
        <v>45153.5702662037</v>
      </c>
      <c r="C706" s="1" t="n">
        <v>46030</v>
      </c>
      <c r="D706" t="inlineStr">
        <is>
          <t>ÖSTERGÖTLANDS LÄN</t>
        </is>
      </c>
      <c r="E706" t="inlineStr">
        <is>
          <t>LINKÖPING</t>
        </is>
      </c>
      <c r="F706" t="inlineStr">
        <is>
          <t>Allmännings- och besparingsskogar</t>
        </is>
      </c>
      <c r="G706" t="n">
        <v>2</v>
      </c>
      <c r="H706" t="n">
        <v>0</v>
      </c>
      <c r="I706" t="n">
        <v>0</v>
      </c>
      <c r="J706" t="n">
        <v>0</v>
      </c>
      <c r="K706" t="n">
        <v>0</v>
      </c>
      <c r="L706" t="n">
        <v>0</v>
      </c>
      <c r="M706" t="n">
        <v>0</v>
      </c>
      <c r="N706" t="n">
        <v>0</v>
      </c>
      <c r="O706" t="n">
        <v>0</v>
      </c>
      <c r="P706" t="n">
        <v>0</v>
      </c>
      <c r="Q706" t="n">
        <v>0</v>
      </c>
      <c r="R706" s="2" t="inlineStr"/>
    </row>
    <row r="707" ht="15" customHeight="1">
      <c r="A707" t="inlineStr">
        <is>
          <t>A 14667-2024</t>
        </is>
      </c>
      <c r="B707" s="1" t="n">
        <v>45397.42005787037</v>
      </c>
      <c r="C707" s="1" t="n">
        <v>46030</v>
      </c>
      <c r="D707" t="inlineStr">
        <is>
          <t>ÖSTERGÖTLANDS LÄN</t>
        </is>
      </c>
      <c r="E707" t="inlineStr">
        <is>
          <t>LINKÖPING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15714-2024</t>
        </is>
      </c>
      <c r="B708" s="1" t="n">
        <v>45404.48288194444</v>
      </c>
      <c r="C708" s="1" t="n">
        <v>46030</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37715-2022</t>
        </is>
      </c>
      <c r="B709" s="1" t="n">
        <v>44810</v>
      </c>
      <c r="C709" s="1" t="n">
        <v>46030</v>
      </c>
      <c r="D709" t="inlineStr">
        <is>
          <t>ÖSTERGÖTLANDS LÄN</t>
        </is>
      </c>
      <c r="E709" t="inlineStr">
        <is>
          <t>LINKÖPING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30429-2024</t>
        </is>
      </c>
      <c r="B710" s="1" t="n">
        <v>45491.68972222223</v>
      </c>
      <c r="C710" s="1" t="n">
        <v>46030</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30435-2024</t>
        </is>
      </c>
      <c r="B711" s="1" t="n">
        <v>45491.69962962963</v>
      </c>
      <c r="C711" s="1" t="n">
        <v>46030</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4927-2021</t>
        </is>
      </c>
      <c r="B712" s="1" t="n">
        <v>44227.57215277778</v>
      </c>
      <c r="C712" s="1" t="n">
        <v>46030</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38231-2022</t>
        </is>
      </c>
      <c r="B713" s="1" t="n">
        <v>44812</v>
      </c>
      <c r="C713" s="1" t="n">
        <v>46030</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34557-2022</t>
        </is>
      </c>
      <c r="B714" s="1" t="n">
        <v>44794.57074074074</v>
      </c>
      <c r="C714" s="1" t="n">
        <v>46030</v>
      </c>
      <c r="D714" t="inlineStr">
        <is>
          <t>ÖSTERGÖTLANDS LÄN</t>
        </is>
      </c>
      <c r="E714" t="inlineStr">
        <is>
          <t>LINKÖPING</t>
        </is>
      </c>
      <c r="G714" t="n">
        <v>1.8</v>
      </c>
      <c r="H714" t="n">
        <v>0</v>
      </c>
      <c r="I714" t="n">
        <v>0</v>
      </c>
      <c r="J714" t="n">
        <v>0</v>
      </c>
      <c r="K714" t="n">
        <v>0</v>
      </c>
      <c r="L714" t="n">
        <v>0</v>
      </c>
      <c r="M714" t="n">
        <v>0</v>
      </c>
      <c r="N714" t="n">
        <v>0</v>
      </c>
      <c r="O714" t="n">
        <v>0</v>
      </c>
      <c r="P714" t="n">
        <v>0</v>
      </c>
      <c r="Q714" t="n">
        <v>0</v>
      </c>
      <c r="R714" s="2" t="inlineStr"/>
    </row>
    <row r="715" ht="15" customHeight="1">
      <c r="A715" t="inlineStr">
        <is>
          <t>A 13011-2022</t>
        </is>
      </c>
      <c r="B715" s="1" t="n">
        <v>44643</v>
      </c>
      <c r="C715" s="1" t="n">
        <v>46030</v>
      </c>
      <c r="D715" t="inlineStr">
        <is>
          <t>ÖSTERGÖTLANDS LÄN</t>
        </is>
      </c>
      <c r="E715" t="inlineStr">
        <is>
          <t>LINKÖPING</t>
        </is>
      </c>
      <c r="G715" t="n">
        <v>3.7</v>
      </c>
      <c r="H715" t="n">
        <v>0</v>
      </c>
      <c r="I715" t="n">
        <v>0</v>
      </c>
      <c r="J715" t="n">
        <v>0</v>
      </c>
      <c r="K715" t="n">
        <v>0</v>
      </c>
      <c r="L715" t="n">
        <v>0</v>
      </c>
      <c r="M715" t="n">
        <v>0</v>
      </c>
      <c r="N715" t="n">
        <v>0</v>
      </c>
      <c r="O715" t="n">
        <v>0</v>
      </c>
      <c r="P715" t="n">
        <v>0</v>
      </c>
      <c r="Q715" t="n">
        <v>0</v>
      </c>
      <c r="R715" s="2" t="inlineStr"/>
    </row>
    <row r="716" ht="15" customHeight="1">
      <c r="A716" t="inlineStr">
        <is>
          <t>A 617-2024</t>
        </is>
      </c>
      <c r="B716" s="1" t="n">
        <v>45299.66028935185</v>
      </c>
      <c r="C716" s="1" t="n">
        <v>46030</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19362-2023</t>
        </is>
      </c>
      <c r="B717" s="1" t="n">
        <v>45049</v>
      </c>
      <c r="C717" s="1" t="n">
        <v>46030</v>
      </c>
      <c r="D717" t="inlineStr">
        <is>
          <t>ÖSTERGÖTLANDS LÄN</t>
        </is>
      </c>
      <c r="E717" t="inlineStr">
        <is>
          <t>LINKÖPING</t>
        </is>
      </c>
      <c r="G717" t="n">
        <v>0.1</v>
      </c>
      <c r="H717" t="n">
        <v>0</v>
      </c>
      <c r="I717" t="n">
        <v>0</v>
      </c>
      <c r="J717" t="n">
        <v>0</v>
      </c>
      <c r="K717" t="n">
        <v>0</v>
      </c>
      <c r="L717" t="n">
        <v>0</v>
      </c>
      <c r="M717" t="n">
        <v>0</v>
      </c>
      <c r="N717" t="n">
        <v>0</v>
      </c>
      <c r="O717" t="n">
        <v>0</v>
      </c>
      <c r="P717" t="n">
        <v>0</v>
      </c>
      <c r="Q717" t="n">
        <v>0</v>
      </c>
      <c r="R717" s="2" t="inlineStr"/>
    </row>
    <row r="718" ht="15" customHeight="1">
      <c r="A718" t="inlineStr">
        <is>
          <t>A 19132-2023</t>
        </is>
      </c>
      <c r="B718" s="1" t="n">
        <v>45048.54754629629</v>
      </c>
      <c r="C718" s="1" t="n">
        <v>46030</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31635-2023</t>
        </is>
      </c>
      <c r="B719" s="1" t="n">
        <v>45105</v>
      </c>
      <c r="C719" s="1" t="n">
        <v>46030</v>
      </c>
      <c r="D719" t="inlineStr">
        <is>
          <t>ÖSTERGÖTLANDS LÄN</t>
        </is>
      </c>
      <c r="E719" t="inlineStr">
        <is>
          <t>LINKÖPING</t>
        </is>
      </c>
      <c r="F719" t="inlineStr">
        <is>
          <t>Övriga statliga verk och myndigheter</t>
        </is>
      </c>
      <c r="G719" t="n">
        <v>4.6</v>
      </c>
      <c r="H719" t="n">
        <v>0</v>
      </c>
      <c r="I719" t="n">
        <v>0</v>
      </c>
      <c r="J719" t="n">
        <v>0</v>
      </c>
      <c r="K719" t="n">
        <v>0</v>
      </c>
      <c r="L719" t="n">
        <v>0</v>
      </c>
      <c r="M719" t="n">
        <v>0</v>
      </c>
      <c r="N719" t="n">
        <v>0</v>
      </c>
      <c r="O719" t="n">
        <v>0</v>
      </c>
      <c r="P719" t="n">
        <v>0</v>
      </c>
      <c r="Q719" t="n">
        <v>0</v>
      </c>
      <c r="R719" s="2" t="inlineStr"/>
    </row>
    <row r="720" ht="15" customHeight="1">
      <c r="A720" t="inlineStr">
        <is>
          <t>A 20296-2025</t>
        </is>
      </c>
      <c r="B720" s="1" t="n">
        <v>45774.74922453704</v>
      </c>
      <c r="C720" s="1" t="n">
        <v>46030</v>
      </c>
      <c r="D720" t="inlineStr">
        <is>
          <t>ÖSTERGÖTLANDS LÄN</t>
        </is>
      </c>
      <c r="E720" t="inlineStr">
        <is>
          <t>LINKÖPING</t>
        </is>
      </c>
      <c r="G720" t="n">
        <v>2.2</v>
      </c>
      <c r="H720" t="n">
        <v>0</v>
      </c>
      <c r="I720" t="n">
        <v>0</v>
      </c>
      <c r="J720" t="n">
        <v>0</v>
      </c>
      <c r="K720" t="n">
        <v>0</v>
      </c>
      <c r="L720" t="n">
        <v>0</v>
      </c>
      <c r="M720" t="n">
        <v>0</v>
      </c>
      <c r="N720" t="n">
        <v>0</v>
      </c>
      <c r="O720" t="n">
        <v>0</v>
      </c>
      <c r="P720" t="n">
        <v>0</v>
      </c>
      <c r="Q720" t="n">
        <v>0</v>
      </c>
      <c r="R720" s="2" t="inlineStr"/>
    </row>
    <row r="721" ht="15" customHeight="1">
      <c r="A721" t="inlineStr">
        <is>
          <t>A 22770-2024</t>
        </is>
      </c>
      <c r="B721" s="1" t="n">
        <v>45448.4634375</v>
      </c>
      <c r="C721" s="1" t="n">
        <v>46030</v>
      </c>
      <c r="D721" t="inlineStr">
        <is>
          <t>ÖSTERGÖTLANDS LÄN</t>
        </is>
      </c>
      <c r="E721" t="inlineStr">
        <is>
          <t>LINKÖPING</t>
        </is>
      </c>
      <c r="F721" t="inlineStr">
        <is>
          <t>Sveaskog</t>
        </is>
      </c>
      <c r="G721" t="n">
        <v>3.4</v>
      </c>
      <c r="H721" t="n">
        <v>0</v>
      </c>
      <c r="I721" t="n">
        <v>0</v>
      </c>
      <c r="J721" t="n">
        <v>0</v>
      </c>
      <c r="K721" t="n">
        <v>0</v>
      </c>
      <c r="L721" t="n">
        <v>0</v>
      </c>
      <c r="M721" t="n">
        <v>0</v>
      </c>
      <c r="N721" t="n">
        <v>0</v>
      </c>
      <c r="O721" t="n">
        <v>0</v>
      </c>
      <c r="P721" t="n">
        <v>0</v>
      </c>
      <c r="Q721" t="n">
        <v>0</v>
      </c>
      <c r="R721" s="2" t="inlineStr"/>
    </row>
    <row r="722" ht="15" customHeight="1">
      <c r="A722" t="inlineStr">
        <is>
          <t>A 11595-2025</t>
        </is>
      </c>
      <c r="B722" s="1" t="n">
        <v>45727.41893518518</v>
      </c>
      <c r="C722" s="1" t="n">
        <v>46030</v>
      </c>
      <c r="D722" t="inlineStr">
        <is>
          <t>ÖSTERGÖTLANDS LÄN</t>
        </is>
      </c>
      <c r="E722" t="inlineStr">
        <is>
          <t>LINKÖPING</t>
        </is>
      </c>
      <c r="G722" t="n">
        <v>6.6</v>
      </c>
      <c r="H722" t="n">
        <v>0</v>
      </c>
      <c r="I722" t="n">
        <v>0</v>
      </c>
      <c r="J722" t="n">
        <v>0</v>
      </c>
      <c r="K722" t="n">
        <v>0</v>
      </c>
      <c r="L722" t="n">
        <v>0</v>
      </c>
      <c r="M722" t="n">
        <v>0</v>
      </c>
      <c r="N722" t="n">
        <v>0</v>
      </c>
      <c r="O722" t="n">
        <v>0</v>
      </c>
      <c r="P722" t="n">
        <v>0</v>
      </c>
      <c r="Q722" t="n">
        <v>0</v>
      </c>
      <c r="R722" s="2" t="inlineStr"/>
    </row>
    <row r="723" ht="15" customHeight="1">
      <c r="A723" t="inlineStr">
        <is>
          <t>A 48839-2022</t>
        </is>
      </c>
      <c r="B723" s="1" t="n">
        <v>44859</v>
      </c>
      <c r="C723" s="1" t="n">
        <v>46030</v>
      </c>
      <c r="D723" t="inlineStr">
        <is>
          <t>ÖSTERGÖTLANDS LÄN</t>
        </is>
      </c>
      <c r="E723" t="inlineStr">
        <is>
          <t>LINKÖPING</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8967-2025</t>
        </is>
      </c>
      <c r="B724" s="1" t="n">
        <v>45712</v>
      </c>
      <c r="C724" s="1" t="n">
        <v>46030</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63678-2023</t>
        </is>
      </c>
      <c r="B725" s="1" t="n">
        <v>45275.64769675926</v>
      </c>
      <c r="C725" s="1" t="n">
        <v>46030</v>
      </c>
      <c r="D725" t="inlineStr">
        <is>
          <t>ÖSTERGÖTLANDS LÄN</t>
        </is>
      </c>
      <c r="E725" t="inlineStr">
        <is>
          <t>LINKÖPING</t>
        </is>
      </c>
      <c r="F725" t="inlineStr">
        <is>
          <t>Övriga Aktiebolag</t>
        </is>
      </c>
      <c r="G725" t="n">
        <v>0.4</v>
      </c>
      <c r="H725" t="n">
        <v>0</v>
      </c>
      <c r="I725" t="n">
        <v>0</v>
      </c>
      <c r="J725" t="n">
        <v>0</v>
      </c>
      <c r="K725" t="n">
        <v>0</v>
      </c>
      <c r="L725" t="n">
        <v>0</v>
      </c>
      <c r="M725" t="n">
        <v>0</v>
      </c>
      <c r="N725" t="n">
        <v>0</v>
      </c>
      <c r="O725" t="n">
        <v>0</v>
      </c>
      <c r="P725" t="n">
        <v>0</v>
      </c>
      <c r="Q725" t="n">
        <v>0</v>
      </c>
      <c r="R725" s="2" t="inlineStr"/>
    </row>
    <row r="726" ht="15" customHeight="1">
      <c r="A726" t="inlineStr">
        <is>
          <t>A 1844-2025</t>
        </is>
      </c>
      <c r="B726" s="1" t="n">
        <v>45671.57730324074</v>
      </c>
      <c r="C726" s="1" t="n">
        <v>46030</v>
      </c>
      <c r="D726" t="inlineStr">
        <is>
          <t>ÖSTERGÖTLANDS LÄN</t>
        </is>
      </c>
      <c r="E726" t="inlineStr">
        <is>
          <t>LINKÖPING</t>
        </is>
      </c>
      <c r="G726" t="n">
        <v>2</v>
      </c>
      <c r="H726" t="n">
        <v>0</v>
      </c>
      <c r="I726" t="n">
        <v>0</v>
      </c>
      <c r="J726" t="n">
        <v>0</v>
      </c>
      <c r="K726" t="n">
        <v>0</v>
      </c>
      <c r="L726" t="n">
        <v>0</v>
      </c>
      <c r="M726" t="n">
        <v>0</v>
      </c>
      <c r="N726" t="n">
        <v>0</v>
      </c>
      <c r="O726" t="n">
        <v>0</v>
      </c>
      <c r="P726" t="n">
        <v>0</v>
      </c>
      <c r="Q726" t="n">
        <v>0</v>
      </c>
      <c r="R726" s="2" t="inlineStr"/>
    </row>
    <row r="727" ht="15" customHeight="1">
      <c r="A727" t="inlineStr">
        <is>
          <t>A 21165-2025</t>
        </is>
      </c>
      <c r="B727" s="1" t="n">
        <v>45779.39417824074</v>
      </c>
      <c r="C727" s="1" t="n">
        <v>46030</v>
      </c>
      <c r="D727" t="inlineStr">
        <is>
          <t>ÖSTERGÖTLANDS LÄN</t>
        </is>
      </c>
      <c r="E727" t="inlineStr">
        <is>
          <t>LINKÖPING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21155-2025</t>
        </is>
      </c>
      <c r="B728" s="1" t="n">
        <v>45779.37586805555</v>
      </c>
      <c r="C728" s="1" t="n">
        <v>46030</v>
      </c>
      <c r="D728" t="inlineStr">
        <is>
          <t>ÖSTERGÖTLANDS LÄN</t>
        </is>
      </c>
      <c r="E728" t="inlineStr">
        <is>
          <t>LINKÖPING</t>
        </is>
      </c>
      <c r="G728" t="n">
        <v>0.5</v>
      </c>
      <c r="H728" t="n">
        <v>0</v>
      </c>
      <c r="I728" t="n">
        <v>0</v>
      </c>
      <c r="J728" t="n">
        <v>0</v>
      </c>
      <c r="K728" t="n">
        <v>0</v>
      </c>
      <c r="L728" t="n">
        <v>0</v>
      </c>
      <c r="M728" t="n">
        <v>0</v>
      </c>
      <c r="N728" t="n">
        <v>0</v>
      </c>
      <c r="O728" t="n">
        <v>0</v>
      </c>
      <c r="P728" t="n">
        <v>0</v>
      </c>
      <c r="Q728" t="n">
        <v>0</v>
      </c>
      <c r="R728" s="2" t="inlineStr"/>
    </row>
    <row r="729">
      <c r="A729" t="inlineStr">
        <is>
          <t>A 22264-2025</t>
        </is>
      </c>
      <c r="B729" s="1" t="n">
        <v>45785</v>
      </c>
      <c r="C729" s="1" t="n">
        <v>46030</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2026-01-08T10:45:59Z</dcterms:created>
  <dcterms:modified xmlns:dcterms="http://purl.org/dc/terms/" xmlns:xsi="http://www.w3.org/2001/XMLSchema-instance" xsi:type="dcterms:W3CDTF">2026-01-08T10:46:00Z</dcterms:modified>
</cp:coreProperties>
</file>