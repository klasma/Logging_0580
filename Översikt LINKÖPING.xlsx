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46092</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46092</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46092</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46092</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46092</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46092</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46092</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46092</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46092</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46092</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577-2025</t>
        </is>
      </c>
      <c r="B18" s="1" t="n">
        <v>45664.56525462963</v>
      </c>
      <c r="C18" s="1" t="n">
        <v>46092</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46092</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46092</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49999-2025</t>
        </is>
      </c>
      <c r="B21" s="1" t="n">
        <v>45943.30185185185</v>
      </c>
      <c r="C21" s="1" t="n">
        <v>46092</v>
      </c>
      <c r="D21" t="inlineStr">
        <is>
          <t>ÖSTERGÖTLANDS LÄN</t>
        </is>
      </c>
      <c r="E21" t="inlineStr">
        <is>
          <t>LINKÖPING</t>
        </is>
      </c>
      <c r="G21" t="n">
        <v>2.3</v>
      </c>
      <c r="H21" t="n">
        <v>1</v>
      </c>
      <c r="I21" t="n">
        <v>1</v>
      </c>
      <c r="J21" t="n">
        <v>0</v>
      </c>
      <c r="K21" t="n">
        <v>0</v>
      </c>
      <c r="L21" t="n">
        <v>1</v>
      </c>
      <c r="M21" t="n">
        <v>0</v>
      </c>
      <c r="N21" t="n">
        <v>0</v>
      </c>
      <c r="O21" t="n">
        <v>1</v>
      </c>
      <c r="P21" t="n">
        <v>1</v>
      </c>
      <c r="Q21" t="n">
        <v>3</v>
      </c>
      <c r="R21" s="2" t="inlineStr">
        <is>
          <t>Ask
Vårärt
Gullviva</t>
        </is>
      </c>
      <c r="S21">
        <f>HYPERLINK("https://klasma.github.io/Logging_0580/artfynd/A 49999-2025 artfynd.xlsx", "A 49999-2025")</f>
        <v/>
      </c>
      <c r="T21">
        <f>HYPERLINK("https://klasma.github.io/Logging_0580/kartor/A 49999-2025 karta.png", "A 49999-2025")</f>
        <v/>
      </c>
      <c r="V21">
        <f>HYPERLINK("https://klasma.github.io/Logging_0580/klagomål/A 49999-2025 FSC-klagomål.docx", "A 49999-2025")</f>
        <v/>
      </c>
      <c r="W21">
        <f>HYPERLINK("https://klasma.github.io/Logging_0580/klagomålsmail/A 49999-2025 FSC-klagomål mail.docx", "A 49999-2025")</f>
        <v/>
      </c>
      <c r="X21">
        <f>HYPERLINK("https://klasma.github.io/Logging_0580/tillsyn/A 49999-2025 tillsynsbegäran.docx", "A 49999-2025")</f>
        <v/>
      </c>
      <c r="Y21">
        <f>HYPERLINK("https://klasma.github.io/Logging_0580/tillsynsmail/A 49999-2025 tillsynsbegäran mail.docx", "A 49999-2025")</f>
        <v/>
      </c>
    </row>
    <row r="22" ht="15" customHeight="1">
      <c r="A22" t="inlineStr">
        <is>
          <t>A 11048-2026</t>
        </is>
      </c>
      <c r="B22" s="1" t="n">
        <v>46079.58841435185</v>
      </c>
      <c r="C22" s="1" t="n">
        <v>46092</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46092</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38913-2023</t>
        </is>
      </c>
      <c r="B24" s="1" t="n">
        <v>45163</v>
      </c>
      <c r="C24" s="1" t="n">
        <v>46092</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46092</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46092</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46092</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58068-2021</t>
        </is>
      </c>
      <c r="B28" s="1" t="n">
        <v>44487</v>
      </c>
      <c r="C28" s="1" t="n">
        <v>46092</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27981-2022</t>
        </is>
      </c>
      <c r="B29" s="1" t="n">
        <v>44745</v>
      </c>
      <c r="C29" s="1" t="n">
        <v>46092</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50404-2023</t>
        </is>
      </c>
      <c r="B30" s="1" t="n">
        <v>45216</v>
      </c>
      <c r="C30" s="1" t="n">
        <v>46092</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14879-2024</t>
        </is>
      </c>
      <c r="B31" s="1" t="n">
        <v>45398</v>
      </c>
      <c r="C31" s="1" t="n">
        <v>46092</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46092</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27795-2025</t>
        </is>
      </c>
      <c r="B33" s="1" t="n">
        <v>45816.7908912037</v>
      </c>
      <c r="C33" s="1" t="n">
        <v>46092</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50048-2025</t>
        </is>
      </c>
      <c r="B34" s="1" t="n">
        <v>45941</v>
      </c>
      <c r="C34" s="1" t="n">
        <v>46092</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3912-2026</t>
        </is>
      </c>
      <c r="B35" s="1" t="n">
        <v>46043.71958333333</v>
      </c>
      <c r="C35" s="1" t="n">
        <v>46092</v>
      </c>
      <c r="D35" t="inlineStr">
        <is>
          <t>ÖSTERGÖTLANDS LÄN</t>
        </is>
      </c>
      <c r="E35" t="inlineStr">
        <is>
          <t>LINKÖPING</t>
        </is>
      </c>
      <c r="F35" t="inlineStr">
        <is>
          <t>Kyrkan</t>
        </is>
      </c>
      <c r="G35" t="n">
        <v>6.8</v>
      </c>
      <c r="H35" t="n">
        <v>1</v>
      </c>
      <c r="I35" t="n">
        <v>1</v>
      </c>
      <c r="J35" t="n">
        <v>0</v>
      </c>
      <c r="K35" t="n">
        <v>1</v>
      </c>
      <c r="L35" t="n">
        <v>0</v>
      </c>
      <c r="M35" t="n">
        <v>0</v>
      </c>
      <c r="N35" t="n">
        <v>0</v>
      </c>
      <c r="O35" t="n">
        <v>1</v>
      </c>
      <c r="P35" t="n">
        <v>1</v>
      </c>
      <c r="Q35" t="n">
        <v>2</v>
      </c>
      <c r="R35" s="2" t="inlineStr">
        <is>
          <t>Knärot
Grönpyrola</t>
        </is>
      </c>
      <c r="S35">
        <f>HYPERLINK("https://klasma.github.io/Logging_0580/artfynd/A 3912-2026 artfynd.xlsx", "A 3912-2026")</f>
        <v/>
      </c>
      <c r="T35">
        <f>HYPERLINK("https://klasma.github.io/Logging_0580/kartor/A 3912-2026 karta.png", "A 3912-2026")</f>
        <v/>
      </c>
      <c r="U35">
        <f>HYPERLINK("https://klasma.github.io/Logging_0580/knärot/A 3912-2026 karta knärot.png", "A 3912-2026")</f>
        <v/>
      </c>
      <c r="V35">
        <f>HYPERLINK("https://klasma.github.io/Logging_0580/klagomål/A 3912-2026 FSC-klagomål.docx", "A 3912-2026")</f>
        <v/>
      </c>
      <c r="W35">
        <f>HYPERLINK("https://klasma.github.io/Logging_0580/klagomålsmail/A 3912-2026 FSC-klagomål mail.docx", "A 3912-2026")</f>
        <v/>
      </c>
      <c r="X35">
        <f>HYPERLINK("https://klasma.github.io/Logging_0580/tillsyn/A 3912-2026 tillsynsbegäran.docx", "A 3912-2026")</f>
        <v/>
      </c>
      <c r="Y35">
        <f>HYPERLINK("https://klasma.github.io/Logging_0580/tillsynsmail/A 3912-2026 tillsynsbegäran mail.docx", "A 3912-2026")</f>
        <v/>
      </c>
    </row>
    <row r="36" ht="15" customHeight="1">
      <c r="A36" t="inlineStr">
        <is>
          <t>A 12494-2026</t>
        </is>
      </c>
      <c r="B36" s="1" t="n">
        <v>46090.56896990741</v>
      </c>
      <c r="C36" s="1" t="n">
        <v>46092</v>
      </c>
      <c r="D36" t="inlineStr">
        <is>
          <t>ÖSTERGÖTLANDS LÄN</t>
        </is>
      </c>
      <c r="E36" t="inlineStr">
        <is>
          <t>LINKÖPING</t>
        </is>
      </c>
      <c r="G36" t="n">
        <v>3.4</v>
      </c>
      <c r="H36" t="n">
        <v>0</v>
      </c>
      <c r="I36" t="n">
        <v>0</v>
      </c>
      <c r="J36" t="n">
        <v>1</v>
      </c>
      <c r="K36" t="n">
        <v>1</v>
      </c>
      <c r="L36" t="n">
        <v>0</v>
      </c>
      <c r="M36" t="n">
        <v>0</v>
      </c>
      <c r="N36" t="n">
        <v>0</v>
      </c>
      <c r="O36" t="n">
        <v>2</v>
      </c>
      <c r="P36" t="n">
        <v>1</v>
      </c>
      <c r="Q36" t="n">
        <v>2</v>
      </c>
      <c r="R36" s="2" t="inlineStr">
        <is>
          <t>Slåttergubbe
Svinrot</t>
        </is>
      </c>
      <c r="S36">
        <f>HYPERLINK("https://klasma.github.io/Logging_0580/artfynd/A 12494-2026 artfynd.xlsx", "A 12494-2026")</f>
        <v/>
      </c>
      <c r="T36">
        <f>HYPERLINK("https://klasma.github.io/Logging_0580/kartor/A 12494-2026 karta.png", "A 12494-2026")</f>
        <v/>
      </c>
      <c r="V36">
        <f>HYPERLINK("https://klasma.github.io/Logging_0580/klagomål/A 12494-2026 FSC-klagomål.docx", "A 12494-2026")</f>
        <v/>
      </c>
      <c r="W36">
        <f>HYPERLINK("https://klasma.github.io/Logging_0580/klagomålsmail/A 12494-2026 FSC-klagomål mail.docx", "A 12494-2026")</f>
        <v/>
      </c>
      <c r="X36">
        <f>HYPERLINK("https://klasma.github.io/Logging_0580/tillsyn/A 12494-2026 tillsynsbegäran.docx", "A 12494-2026")</f>
        <v/>
      </c>
      <c r="Y36">
        <f>HYPERLINK("https://klasma.github.io/Logging_0580/tillsynsmail/A 12494-2026 tillsynsbegäran mail.docx", "A 12494-2026")</f>
        <v/>
      </c>
    </row>
    <row r="37" ht="15" customHeight="1">
      <c r="A37" t="inlineStr">
        <is>
          <t>A 58068-2021</t>
        </is>
      </c>
      <c r="B37" s="1" t="n">
        <v>44487</v>
      </c>
      <c r="C37" s="1" t="n">
        <v>46092</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25985-2025</t>
        </is>
      </c>
      <c r="B38" s="1" t="n">
        <v>45804.64479166667</v>
      </c>
      <c r="C38" s="1" t="n">
        <v>46092</v>
      </c>
      <c r="D38" t="inlineStr">
        <is>
          <t>ÖSTERGÖTLANDS LÄN</t>
        </is>
      </c>
      <c r="E38" t="inlineStr">
        <is>
          <t>LINKÖPING</t>
        </is>
      </c>
      <c r="G38" t="n">
        <v>4.5</v>
      </c>
      <c r="H38" t="n">
        <v>2</v>
      </c>
      <c r="I38" t="n">
        <v>0</v>
      </c>
      <c r="J38" t="n">
        <v>1</v>
      </c>
      <c r="K38" t="n">
        <v>0</v>
      </c>
      <c r="L38" t="n">
        <v>0</v>
      </c>
      <c r="M38" t="n">
        <v>0</v>
      </c>
      <c r="N38" t="n">
        <v>0</v>
      </c>
      <c r="O38" t="n">
        <v>1</v>
      </c>
      <c r="P38" t="n">
        <v>0</v>
      </c>
      <c r="Q38" t="n">
        <v>2</v>
      </c>
      <c r="R38" s="2" t="inlineStr">
        <is>
          <t>Spillkråka
Revlummer</t>
        </is>
      </c>
      <c r="S38">
        <f>HYPERLINK("https://klasma.github.io/Logging_0580/artfynd/A 25985-2025 artfynd.xlsx", "A 25985-2025")</f>
        <v/>
      </c>
      <c r="T38">
        <f>HYPERLINK("https://klasma.github.io/Logging_0580/kartor/A 25985-2025 karta.png", "A 25985-2025")</f>
        <v/>
      </c>
      <c r="V38">
        <f>HYPERLINK("https://klasma.github.io/Logging_0580/klagomål/A 25985-2025 FSC-klagomål.docx", "A 25985-2025")</f>
        <v/>
      </c>
      <c r="W38">
        <f>HYPERLINK("https://klasma.github.io/Logging_0580/klagomålsmail/A 25985-2025 FSC-klagomål mail.docx", "A 25985-2025")</f>
        <v/>
      </c>
      <c r="X38">
        <f>HYPERLINK("https://klasma.github.io/Logging_0580/tillsyn/A 25985-2025 tillsynsbegäran.docx", "A 25985-2025")</f>
        <v/>
      </c>
      <c r="Y38">
        <f>HYPERLINK("https://klasma.github.io/Logging_0580/tillsynsmail/A 25985-2025 tillsynsbegäran mail.docx", "A 25985-2025")</f>
        <v/>
      </c>
      <c r="Z38">
        <f>HYPERLINK("https://klasma.github.io/Logging_0580/fåglar/A 25985-2025 prioriterade fågelarter.docx", "A 25985-2025")</f>
        <v/>
      </c>
    </row>
    <row r="39" ht="15" customHeight="1">
      <c r="A39" t="inlineStr">
        <is>
          <t>A 22040-2023</t>
        </is>
      </c>
      <c r="B39" s="1" t="n">
        <v>45068</v>
      </c>
      <c r="C39" s="1" t="n">
        <v>46092</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49188-2024</t>
        </is>
      </c>
      <c r="B40" s="1" t="n">
        <v>45595</v>
      </c>
      <c r="C40" s="1" t="n">
        <v>46092</v>
      </c>
      <c r="D40" t="inlineStr">
        <is>
          <t>ÖSTERGÖTLANDS LÄN</t>
        </is>
      </c>
      <c r="E40" t="inlineStr">
        <is>
          <t>LINKÖPING</t>
        </is>
      </c>
      <c r="G40" t="n">
        <v>3.1</v>
      </c>
      <c r="H40" t="n">
        <v>0</v>
      </c>
      <c r="I40" t="n">
        <v>0</v>
      </c>
      <c r="J40" t="n">
        <v>0</v>
      </c>
      <c r="K40" t="n">
        <v>0</v>
      </c>
      <c r="L40" t="n">
        <v>1</v>
      </c>
      <c r="M40" t="n">
        <v>1</v>
      </c>
      <c r="N40" t="n">
        <v>0</v>
      </c>
      <c r="O40" t="n">
        <v>2</v>
      </c>
      <c r="P40" t="n">
        <v>2</v>
      </c>
      <c r="Q40" t="n">
        <v>2</v>
      </c>
      <c r="R40" s="2" t="inlineStr">
        <is>
          <t>Skogsalm
Ask</t>
        </is>
      </c>
      <c r="S40">
        <f>HYPERLINK("https://klasma.github.io/Logging_0580/artfynd/A 49188-2024 artfynd.xlsx", "A 49188-2024")</f>
        <v/>
      </c>
      <c r="T40">
        <f>HYPERLINK("https://klasma.github.io/Logging_0580/kartor/A 49188-2024 karta.png", "A 49188-2024")</f>
        <v/>
      </c>
      <c r="V40">
        <f>HYPERLINK("https://klasma.github.io/Logging_0580/klagomål/A 49188-2024 FSC-klagomål.docx", "A 49188-2024")</f>
        <v/>
      </c>
      <c r="W40">
        <f>HYPERLINK("https://klasma.github.io/Logging_0580/klagomålsmail/A 49188-2024 FSC-klagomål mail.docx", "A 49188-2024")</f>
        <v/>
      </c>
      <c r="X40">
        <f>HYPERLINK("https://klasma.github.io/Logging_0580/tillsyn/A 49188-2024 tillsynsbegäran.docx", "A 49188-2024")</f>
        <v/>
      </c>
      <c r="Y40">
        <f>HYPERLINK("https://klasma.github.io/Logging_0580/tillsynsmail/A 49188-2024 tillsynsbegäran mail.docx", "A 49188-2024")</f>
        <v/>
      </c>
    </row>
    <row r="41" ht="15" customHeight="1">
      <c r="A41" t="inlineStr">
        <is>
          <t>A 11613-2025</t>
        </is>
      </c>
      <c r="B41" s="1" t="n">
        <v>45727.44623842592</v>
      </c>
      <c r="C41" s="1" t="n">
        <v>46092</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20292-2025</t>
        </is>
      </c>
      <c r="B42" s="1" t="n">
        <v>45774.7449537037</v>
      </c>
      <c r="C42" s="1" t="n">
        <v>46092</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20297-2025</t>
        </is>
      </c>
      <c r="B43" s="1" t="n">
        <v>45774.74971064815</v>
      </c>
      <c r="C43" s="1" t="n">
        <v>46092</v>
      </c>
      <c r="D43" t="inlineStr">
        <is>
          <t>ÖSTERGÖTLANDS LÄN</t>
        </is>
      </c>
      <c r="E43" t="inlineStr">
        <is>
          <t>LINKÖPING</t>
        </is>
      </c>
      <c r="G43" t="n">
        <v>1.5</v>
      </c>
      <c r="H43" t="n">
        <v>1</v>
      </c>
      <c r="I43" t="n">
        <v>1</v>
      </c>
      <c r="J43" t="n">
        <v>0</v>
      </c>
      <c r="K43" t="n">
        <v>0</v>
      </c>
      <c r="L43" t="n">
        <v>0</v>
      </c>
      <c r="M43" t="n">
        <v>0</v>
      </c>
      <c r="N43" t="n">
        <v>0</v>
      </c>
      <c r="O43" t="n">
        <v>0</v>
      </c>
      <c r="P43" t="n">
        <v>0</v>
      </c>
      <c r="Q43" t="n">
        <v>2</v>
      </c>
      <c r="R43" s="2" t="inlineStr">
        <is>
          <t>Blanksvart trämyra
Blåsippa</t>
        </is>
      </c>
      <c r="S43">
        <f>HYPERLINK("https://klasma.github.io/Logging_0580/artfynd/A 20297-2025 artfynd.xlsx", "A 20297-2025")</f>
        <v/>
      </c>
      <c r="T43">
        <f>HYPERLINK("https://klasma.github.io/Logging_0580/kartor/A 20297-2025 karta.png", "A 20297-2025")</f>
        <v/>
      </c>
      <c r="V43">
        <f>HYPERLINK("https://klasma.github.io/Logging_0580/klagomål/A 20297-2025 FSC-klagomål.docx", "A 20297-2025")</f>
        <v/>
      </c>
      <c r="W43">
        <f>HYPERLINK("https://klasma.github.io/Logging_0580/klagomålsmail/A 20297-2025 FSC-klagomål mail.docx", "A 20297-2025")</f>
        <v/>
      </c>
      <c r="X43">
        <f>HYPERLINK("https://klasma.github.io/Logging_0580/tillsyn/A 20297-2025 tillsynsbegäran.docx", "A 20297-2025")</f>
        <v/>
      </c>
      <c r="Y43">
        <f>HYPERLINK("https://klasma.github.io/Logging_0580/tillsynsmail/A 20297-2025 tillsynsbegäran mail.docx", "A 20297-2025")</f>
        <v/>
      </c>
    </row>
    <row r="44" ht="15" customHeight="1">
      <c r="A44" t="inlineStr">
        <is>
          <t>A 41751-2023</t>
        </is>
      </c>
      <c r="B44" s="1" t="n">
        <v>45176</v>
      </c>
      <c r="C44" s="1" t="n">
        <v>46092</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46092</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46092</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46092</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46092</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46092</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46092</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46092</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46092</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46092</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46092</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931-2025</t>
        </is>
      </c>
      <c r="B55" s="1" t="n">
        <v>45665.88498842593</v>
      </c>
      <c r="C55" s="1" t="n">
        <v>46092</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46092</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46092</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46092</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41749-2023</t>
        </is>
      </c>
      <c r="B59" s="1" t="n">
        <v>45176</v>
      </c>
      <c r="C59" s="1" t="n">
        <v>46092</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56112-2025</t>
        </is>
      </c>
      <c r="B60" s="1" t="n">
        <v>45973.73625</v>
      </c>
      <c r="C60" s="1" t="n">
        <v>46092</v>
      </c>
      <c r="D60" t="inlineStr">
        <is>
          <t>ÖSTERGÖTLANDS LÄN</t>
        </is>
      </c>
      <c r="E60" t="inlineStr">
        <is>
          <t>LINKÖPING</t>
        </is>
      </c>
      <c r="G60" t="n">
        <v>0.6</v>
      </c>
      <c r="H60" t="n">
        <v>0</v>
      </c>
      <c r="I60" t="n">
        <v>0</v>
      </c>
      <c r="J60" t="n">
        <v>1</v>
      </c>
      <c r="K60" t="n">
        <v>0</v>
      </c>
      <c r="L60" t="n">
        <v>0</v>
      </c>
      <c r="M60" t="n">
        <v>0</v>
      </c>
      <c r="N60" t="n">
        <v>0</v>
      </c>
      <c r="O60" t="n">
        <v>1</v>
      </c>
      <c r="P60" t="n">
        <v>0</v>
      </c>
      <c r="Q60" t="n">
        <v>1</v>
      </c>
      <c r="R60" s="2" t="inlineStr">
        <is>
          <t>Solvända</t>
        </is>
      </c>
      <c r="S60">
        <f>HYPERLINK("https://klasma.github.io/Logging_0580/artfynd/A 56112-2025 artfynd.xlsx", "A 56112-2025")</f>
        <v/>
      </c>
      <c r="T60">
        <f>HYPERLINK("https://klasma.github.io/Logging_0580/kartor/A 56112-2025 karta.png", "A 56112-2025")</f>
        <v/>
      </c>
      <c r="V60">
        <f>HYPERLINK("https://klasma.github.io/Logging_0580/klagomål/A 56112-2025 FSC-klagomål.docx", "A 56112-2025")</f>
        <v/>
      </c>
      <c r="W60">
        <f>HYPERLINK("https://klasma.github.io/Logging_0580/klagomålsmail/A 56112-2025 FSC-klagomål mail.docx", "A 56112-2025")</f>
        <v/>
      </c>
      <c r="X60">
        <f>HYPERLINK("https://klasma.github.io/Logging_0580/tillsyn/A 56112-2025 tillsynsbegäran.docx", "A 56112-2025")</f>
        <v/>
      </c>
      <c r="Y60">
        <f>HYPERLINK("https://klasma.github.io/Logging_0580/tillsynsmail/A 56112-2025 tillsynsbegäran mail.docx", "A 56112-2025")</f>
        <v/>
      </c>
    </row>
    <row r="61" ht="15" customHeight="1">
      <c r="A61" t="inlineStr">
        <is>
          <t>A 22526-2025</t>
        </is>
      </c>
      <c r="B61" s="1" t="n">
        <v>45786.78096064815</v>
      </c>
      <c r="C61" s="1" t="n">
        <v>46092</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59474-2025</t>
        </is>
      </c>
      <c r="B62" s="1" t="n">
        <v>45989.58512731481</v>
      </c>
      <c r="C62" s="1" t="n">
        <v>46092</v>
      </c>
      <c r="D62" t="inlineStr">
        <is>
          <t>ÖSTERGÖTLANDS LÄN</t>
        </is>
      </c>
      <c r="E62" t="inlineStr">
        <is>
          <t>LINKÖPING</t>
        </is>
      </c>
      <c r="G62" t="n">
        <v>8</v>
      </c>
      <c r="H62" t="n">
        <v>0</v>
      </c>
      <c r="I62" t="n">
        <v>1</v>
      </c>
      <c r="J62" t="n">
        <v>0</v>
      </c>
      <c r="K62" t="n">
        <v>0</v>
      </c>
      <c r="L62" t="n">
        <v>0</v>
      </c>
      <c r="M62" t="n">
        <v>0</v>
      </c>
      <c r="N62" t="n">
        <v>0</v>
      </c>
      <c r="O62" t="n">
        <v>0</v>
      </c>
      <c r="P62" t="n">
        <v>0</v>
      </c>
      <c r="Q62" t="n">
        <v>1</v>
      </c>
      <c r="R62" s="2" t="inlineStr">
        <is>
          <t>Fällmossa</t>
        </is>
      </c>
      <c r="S62">
        <f>HYPERLINK("https://klasma.github.io/Logging_0580/artfynd/A 59474-2025 artfynd.xlsx", "A 59474-2025")</f>
        <v/>
      </c>
      <c r="T62">
        <f>HYPERLINK("https://klasma.github.io/Logging_0580/kartor/A 59474-2025 karta.png", "A 59474-2025")</f>
        <v/>
      </c>
      <c r="V62">
        <f>HYPERLINK("https://klasma.github.io/Logging_0580/klagomål/A 59474-2025 FSC-klagomål.docx", "A 59474-2025")</f>
        <v/>
      </c>
      <c r="W62">
        <f>HYPERLINK("https://klasma.github.io/Logging_0580/klagomålsmail/A 59474-2025 FSC-klagomål mail.docx", "A 59474-2025")</f>
        <v/>
      </c>
      <c r="X62">
        <f>HYPERLINK("https://klasma.github.io/Logging_0580/tillsyn/A 59474-2025 tillsynsbegäran.docx", "A 59474-2025")</f>
        <v/>
      </c>
      <c r="Y62">
        <f>HYPERLINK("https://klasma.github.io/Logging_0580/tillsynsmail/A 59474-2025 tillsynsbegäran mail.docx", "A 59474-2025")</f>
        <v/>
      </c>
    </row>
    <row r="63" ht="15" customHeight="1">
      <c r="A63" t="inlineStr">
        <is>
          <t>A 59948-2022</t>
        </is>
      </c>
      <c r="B63" s="1" t="n">
        <v>44909</v>
      </c>
      <c r="C63" s="1" t="n">
        <v>46092</v>
      </c>
      <c r="D63" t="inlineStr">
        <is>
          <t>ÖSTERGÖTLANDS LÄN</t>
        </is>
      </c>
      <c r="E63" t="inlineStr">
        <is>
          <t>LINKÖPING</t>
        </is>
      </c>
      <c r="G63" t="n">
        <v>6.7</v>
      </c>
      <c r="H63" t="n">
        <v>0</v>
      </c>
      <c r="I63" t="n">
        <v>0</v>
      </c>
      <c r="J63" t="n">
        <v>0</v>
      </c>
      <c r="K63" t="n">
        <v>0</v>
      </c>
      <c r="L63" t="n">
        <v>0</v>
      </c>
      <c r="M63" t="n">
        <v>1</v>
      </c>
      <c r="N63" t="n">
        <v>0</v>
      </c>
      <c r="O63" t="n">
        <v>1</v>
      </c>
      <c r="P63" t="n">
        <v>1</v>
      </c>
      <c r="Q63" t="n">
        <v>1</v>
      </c>
      <c r="R63" s="2" t="inlineStr">
        <is>
          <t>Skogsalm</t>
        </is>
      </c>
      <c r="S63">
        <f>HYPERLINK("https://klasma.github.io/Logging_0580/artfynd/A 59948-2022 artfynd.xlsx", "A 59948-2022")</f>
        <v/>
      </c>
      <c r="T63">
        <f>HYPERLINK("https://klasma.github.io/Logging_0580/kartor/A 59948-2022 karta.png", "A 59948-2022")</f>
        <v/>
      </c>
      <c r="V63">
        <f>HYPERLINK("https://klasma.github.io/Logging_0580/klagomål/A 59948-2022 FSC-klagomål.docx", "A 59948-2022")</f>
        <v/>
      </c>
      <c r="W63">
        <f>HYPERLINK("https://klasma.github.io/Logging_0580/klagomålsmail/A 59948-2022 FSC-klagomål mail.docx", "A 59948-2022")</f>
        <v/>
      </c>
      <c r="X63">
        <f>HYPERLINK("https://klasma.github.io/Logging_0580/tillsyn/A 59948-2022 tillsynsbegäran.docx", "A 59948-2022")</f>
        <v/>
      </c>
      <c r="Y63">
        <f>HYPERLINK("https://klasma.github.io/Logging_0580/tillsynsmail/A 59948-2022 tillsynsbegäran mail.docx", "A 59948-2022")</f>
        <v/>
      </c>
    </row>
    <row r="64" ht="15" customHeight="1">
      <c r="A64" t="inlineStr">
        <is>
          <t>A 60311-2025</t>
        </is>
      </c>
      <c r="B64" s="1" t="n">
        <v>45994</v>
      </c>
      <c r="C64" s="1" t="n">
        <v>46092</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Gammelekslav</t>
        </is>
      </c>
      <c r="S64">
        <f>HYPERLINK("https://klasma.github.io/Logging_0580/artfynd/A 60311-2025 artfynd.xlsx", "A 60311-2025")</f>
        <v/>
      </c>
      <c r="T64">
        <f>HYPERLINK("https://klasma.github.io/Logging_0580/kartor/A 60311-2025 karta.png", "A 60311-2025")</f>
        <v/>
      </c>
      <c r="V64">
        <f>HYPERLINK("https://klasma.github.io/Logging_0580/klagomål/A 60311-2025 FSC-klagomål.docx", "A 60311-2025")</f>
        <v/>
      </c>
      <c r="W64">
        <f>HYPERLINK("https://klasma.github.io/Logging_0580/klagomålsmail/A 60311-2025 FSC-klagomål mail.docx", "A 60311-2025")</f>
        <v/>
      </c>
      <c r="X64">
        <f>HYPERLINK("https://klasma.github.io/Logging_0580/tillsyn/A 60311-2025 tillsynsbegäran.docx", "A 60311-2025")</f>
        <v/>
      </c>
      <c r="Y64">
        <f>HYPERLINK("https://klasma.github.io/Logging_0580/tillsynsmail/A 60311-2025 tillsynsbegäran mail.docx", "A 60311-2025")</f>
        <v/>
      </c>
    </row>
    <row r="65" ht="15" customHeight="1">
      <c r="A65" t="inlineStr">
        <is>
          <t>A 43989-2025</t>
        </is>
      </c>
      <c r="B65" s="1" t="n">
        <v>45915.44128472222</v>
      </c>
      <c r="C65" s="1" t="n">
        <v>46092</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44760-2025</t>
        </is>
      </c>
      <c r="B66" s="1" t="n">
        <v>45917.71873842592</v>
      </c>
      <c r="C66" s="1" t="n">
        <v>46092</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37683-2024</t>
        </is>
      </c>
      <c r="B67" s="1" t="n">
        <v>45541.59120370371</v>
      </c>
      <c r="C67" s="1" t="n">
        <v>46092</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48347-2025</t>
        </is>
      </c>
      <c r="B68" s="1" t="n">
        <v>45932</v>
      </c>
      <c r="C68" s="1" t="n">
        <v>46092</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48353-2025</t>
        </is>
      </c>
      <c r="B69" s="1" t="n">
        <v>45932</v>
      </c>
      <c r="C69" s="1" t="n">
        <v>46092</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48273-2025</t>
        </is>
      </c>
      <c r="B70" s="1" t="n">
        <v>45932</v>
      </c>
      <c r="C70" s="1" t="n">
        <v>46092</v>
      </c>
      <c r="D70" t="inlineStr">
        <is>
          <t>ÖSTERGÖTLANDS LÄN</t>
        </is>
      </c>
      <c r="E70" t="inlineStr">
        <is>
          <t>LINKÖPING</t>
        </is>
      </c>
      <c r="F70" t="inlineStr">
        <is>
          <t>Övriga Aktiebolag</t>
        </is>
      </c>
      <c r="G70" t="n">
        <v>4.6</v>
      </c>
      <c r="H70" t="n">
        <v>0</v>
      </c>
      <c r="I70" t="n">
        <v>0</v>
      </c>
      <c r="J70" t="n">
        <v>1</v>
      </c>
      <c r="K70" t="n">
        <v>0</v>
      </c>
      <c r="L70" t="n">
        <v>0</v>
      </c>
      <c r="M70" t="n">
        <v>0</v>
      </c>
      <c r="N70" t="n">
        <v>0</v>
      </c>
      <c r="O70" t="n">
        <v>1</v>
      </c>
      <c r="P70" t="n">
        <v>0</v>
      </c>
      <c r="Q70" t="n">
        <v>1</v>
      </c>
      <c r="R70" s="2" t="inlineStr">
        <is>
          <t>Barrviolspindling</t>
        </is>
      </c>
      <c r="S70">
        <f>HYPERLINK("https://klasma.github.io/Logging_0580/artfynd/A 48273-2025 artfynd.xlsx", "A 48273-2025")</f>
        <v/>
      </c>
      <c r="T70">
        <f>HYPERLINK("https://klasma.github.io/Logging_0580/kartor/A 48273-2025 karta.png", "A 48273-2025")</f>
        <v/>
      </c>
      <c r="V70">
        <f>HYPERLINK("https://klasma.github.io/Logging_0580/klagomål/A 48273-2025 FSC-klagomål.docx", "A 48273-2025")</f>
        <v/>
      </c>
      <c r="W70">
        <f>HYPERLINK("https://klasma.github.io/Logging_0580/klagomålsmail/A 48273-2025 FSC-klagomål mail.docx", "A 48273-2025")</f>
        <v/>
      </c>
      <c r="X70">
        <f>HYPERLINK("https://klasma.github.io/Logging_0580/tillsyn/A 48273-2025 tillsynsbegäran.docx", "A 48273-2025")</f>
        <v/>
      </c>
      <c r="Y70">
        <f>HYPERLINK("https://klasma.github.io/Logging_0580/tillsynsmail/A 48273-2025 tillsynsbegäran mail.docx", "A 48273-2025")</f>
        <v/>
      </c>
    </row>
    <row r="71" ht="15" customHeight="1">
      <c r="A71" t="inlineStr">
        <is>
          <t>A 48298-2025</t>
        </is>
      </c>
      <c r="B71" s="1" t="n">
        <v>45932</v>
      </c>
      <c r="C71" s="1" t="n">
        <v>46092</v>
      </c>
      <c r="D71" t="inlineStr">
        <is>
          <t>ÖSTERGÖTLANDS LÄN</t>
        </is>
      </c>
      <c r="E71" t="inlineStr">
        <is>
          <t>LINKÖPING</t>
        </is>
      </c>
      <c r="F71" t="inlineStr">
        <is>
          <t>Övriga Aktiebolag</t>
        </is>
      </c>
      <c r="G71" t="n">
        <v>1.7</v>
      </c>
      <c r="H71" t="n">
        <v>0</v>
      </c>
      <c r="I71" t="n">
        <v>1</v>
      </c>
      <c r="J71" t="n">
        <v>0</v>
      </c>
      <c r="K71" t="n">
        <v>0</v>
      </c>
      <c r="L71" t="n">
        <v>0</v>
      </c>
      <c r="M71" t="n">
        <v>0</v>
      </c>
      <c r="N71" t="n">
        <v>0</v>
      </c>
      <c r="O71" t="n">
        <v>0</v>
      </c>
      <c r="P71" t="n">
        <v>0</v>
      </c>
      <c r="Q71" t="n">
        <v>1</v>
      </c>
      <c r="R71" s="2" t="inlineStr">
        <is>
          <t>Västlig hakmossa</t>
        </is>
      </c>
      <c r="S71">
        <f>HYPERLINK("https://klasma.github.io/Logging_0580/artfynd/A 48298-2025 artfynd.xlsx", "A 48298-2025")</f>
        <v/>
      </c>
      <c r="T71">
        <f>HYPERLINK("https://klasma.github.io/Logging_0580/kartor/A 48298-2025 karta.png", "A 48298-2025")</f>
        <v/>
      </c>
      <c r="V71">
        <f>HYPERLINK("https://klasma.github.io/Logging_0580/klagomål/A 48298-2025 FSC-klagomål.docx", "A 48298-2025")</f>
        <v/>
      </c>
      <c r="W71">
        <f>HYPERLINK("https://klasma.github.io/Logging_0580/klagomålsmail/A 48298-2025 FSC-klagomål mail.docx", "A 48298-2025")</f>
        <v/>
      </c>
      <c r="X71">
        <f>HYPERLINK("https://klasma.github.io/Logging_0580/tillsyn/A 48298-2025 tillsynsbegäran.docx", "A 48298-2025")</f>
        <v/>
      </c>
      <c r="Y71">
        <f>HYPERLINK("https://klasma.github.io/Logging_0580/tillsynsmail/A 48298-2025 tillsynsbegäran mail.docx", "A 48298-2025")</f>
        <v/>
      </c>
    </row>
    <row r="72" ht="15" customHeight="1">
      <c r="A72" t="inlineStr">
        <is>
          <t>A 27403-2025</t>
        </is>
      </c>
      <c r="B72" s="1" t="n">
        <v>45812.72518518518</v>
      </c>
      <c r="C72" s="1" t="n">
        <v>46092</v>
      </c>
      <c r="D72" t="inlineStr">
        <is>
          <t>ÖSTERGÖTLANDS LÄN</t>
        </is>
      </c>
      <c r="E72" t="inlineStr">
        <is>
          <t>LINKÖPING</t>
        </is>
      </c>
      <c r="G72" t="n">
        <v>1.4</v>
      </c>
      <c r="H72" t="n">
        <v>0</v>
      </c>
      <c r="I72" t="n">
        <v>0</v>
      </c>
      <c r="J72" t="n">
        <v>1</v>
      </c>
      <c r="K72" t="n">
        <v>0</v>
      </c>
      <c r="L72" t="n">
        <v>0</v>
      </c>
      <c r="M72" t="n">
        <v>0</v>
      </c>
      <c r="N72" t="n">
        <v>0</v>
      </c>
      <c r="O72" t="n">
        <v>1</v>
      </c>
      <c r="P72" t="n">
        <v>0</v>
      </c>
      <c r="Q72" t="n">
        <v>1</v>
      </c>
      <c r="R72" s="2" t="inlineStr">
        <is>
          <t>Tallticka</t>
        </is>
      </c>
      <c r="S72">
        <f>HYPERLINK("https://klasma.github.io/Logging_0580/artfynd/A 27403-2025 artfynd.xlsx", "A 27403-2025")</f>
        <v/>
      </c>
      <c r="T72">
        <f>HYPERLINK("https://klasma.github.io/Logging_0580/kartor/A 27403-2025 karta.png", "A 27403-2025")</f>
        <v/>
      </c>
      <c r="V72">
        <f>HYPERLINK("https://klasma.github.io/Logging_0580/klagomål/A 27403-2025 FSC-klagomål.docx", "A 27403-2025")</f>
        <v/>
      </c>
      <c r="W72">
        <f>HYPERLINK("https://klasma.github.io/Logging_0580/klagomålsmail/A 27403-2025 FSC-klagomål mail.docx", "A 27403-2025")</f>
        <v/>
      </c>
      <c r="X72">
        <f>HYPERLINK("https://klasma.github.io/Logging_0580/tillsyn/A 27403-2025 tillsynsbegäran.docx", "A 27403-2025")</f>
        <v/>
      </c>
      <c r="Y72">
        <f>HYPERLINK("https://klasma.github.io/Logging_0580/tillsynsmail/A 27403-2025 tillsynsbegäran mail.docx", "A 27403-2025")</f>
        <v/>
      </c>
    </row>
    <row r="73" ht="15" customHeight="1">
      <c r="A73" t="inlineStr">
        <is>
          <t>A 56651-2023</t>
        </is>
      </c>
      <c r="B73" s="1" t="n">
        <v>45243</v>
      </c>
      <c r="C73" s="1" t="n">
        <v>46092</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29393-2025</t>
        </is>
      </c>
      <c r="B74" s="1" t="n">
        <v>45824.6057175926</v>
      </c>
      <c r="C74" s="1" t="n">
        <v>46092</v>
      </c>
      <c r="D74" t="inlineStr">
        <is>
          <t>ÖSTERGÖTLANDS LÄN</t>
        </is>
      </c>
      <c r="E74" t="inlineStr">
        <is>
          <t>LINKÖPING</t>
        </is>
      </c>
      <c r="F74" t="inlineStr">
        <is>
          <t>Sveaskog</t>
        </is>
      </c>
      <c r="G74" t="n">
        <v>24.6</v>
      </c>
      <c r="H74" t="n">
        <v>1</v>
      </c>
      <c r="I74" t="n">
        <v>0</v>
      </c>
      <c r="J74" t="n">
        <v>0</v>
      </c>
      <c r="K74" t="n">
        <v>1</v>
      </c>
      <c r="L74" t="n">
        <v>0</v>
      </c>
      <c r="M74" t="n">
        <v>0</v>
      </c>
      <c r="N74" t="n">
        <v>0</v>
      </c>
      <c r="O74" t="n">
        <v>1</v>
      </c>
      <c r="P74" t="n">
        <v>1</v>
      </c>
      <c r="Q74" t="n">
        <v>1</v>
      </c>
      <c r="R74" s="2" t="inlineStr">
        <is>
          <t>Skogsgås</t>
        </is>
      </c>
      <c r="S74">
        <f>HYPERLINK("https://klasma.github.io/Logging_0580/artfynd/A 29393-2025 artfynd.xlsx", "A 29393-2025")</f>
        <v/>
      </c>
      <c r="T74">
        <f>HYPERLINK("https://klasma.github.io/Logging_0580/kartor/A 29393-2025 karta.png", "A 29393-2025")</f>
        <v/>
      </c>
      <c r="V74">
        <f>HYPERLINK("https://klasma.github.io/Logging_0580/klagomål/A 29393-2025 FSC-klagomål.docx", "A 29393-2025")</f>
        <v/>
      </c>
      <c r="W74">
        <f>HYPERLINK("https://klasma.github.io/Logging_0580/klagomålsmail/A 29393-2025 FSC-klagomål mail.docx", "A 29393-2025")</f>
        <v/>
      </c>
      <c r="X74">
        <f>HYPERLINK("https://klasma.github.io/Logging_0580/tillsyn/A 29393-2025 tillsynsbegäran.docx", "A 29393-2025")</f>
        <v/>
      </c>
      <c r="Y74">
        <f>HYPERLINK("https://klasma.github.io/Logging_0580/tillsynsmail/A 29393-2025 tillsynsbegäran mail.docx", "A 29393-2025")</f>
        <v/>
      </c>
      <c r="Z74">
        <f>HYPERLINK("https://klasma.github.io/Logging_0580/fåglar/A 29393-2025 prioriterade fågelarter.docx", "A 29393-2025")</f>
        <v/>
      </c>
    </row>
    <row r="75" ht="15" customHeight="1">
      <c r="A75" t="inlineStr">
        <is>
          <t>A 17444-2025</t>
        </is>
      </c>
      <c r="B75" s="1" t="n">
        <v>45757.43452546297</v>
      </c>
      <c r="C75" s="1" t="n">
        <v>46092</v>
      </c>
      <c r="D75" t="inlineStr">
        <is>
          <t>ÖSTERGÖTLANDS LÄN</t>
        </is>
      </c>
      <c r="E75" t="inlineStr">
        <is>
          <t>LINKÖPING</t>
        </is>
      </c>
      <c r="G75" t="n">
        <v>1.3</v>
      </c>
      <c r="H75" t="n">
        <v>1</v>
      </c>
      <c r="I75" t="n">
        <v>0</v>
      </c>
      <c r="J75" t="n">
        <v>1</v>
      </c>
      <c r="K75" t="n">
        <v>0</v>
      </c>
      <c r="L75" t="n">
        <v>0</v>
      </c>
      <c r="M75" t="n">
        <v>0</v>
      </c>
      <c r="N75" t="n">
        <v>0</v>
      </c>
      <c r="O75" t="n">
        <v>1</v>
      </c>
      <c r="P75" t="n">
        <v>0</v>
      </c>
      <c r="Q75" t="n">
        <v>1</v>
      </c>
      <c r="R75" s="2" t="inlineStr">
        <is>
          <t>Dårgräsfjäril</t>
        </is>
      </c>
      <c r="S75">
        <f>HYPERLINK("https://klasma.github.io/Logging_0580/artfynd/A 17444-2025 artfynd.xlsx", "A 17444-2025")</f>
        <v/>
      </c>
      <c r="T75">
        <f>HYPERLINK("https://klasma.github.io/Logging_0580/kartor/A 17444-2025 karta.png", "A 17444-2025")</f>
        <v/>
      </c>
      <c r="V75">
        <f>HYPERLINK("https://klasma.github.io/Logging_0580/klagomål/A 17444-2025 FSC-klagomål.docx", "A 17444-2025")</f>
        <v/>
      </c>
      <c r="W75">
        <f>HYPERLINK("https://klasma.github.io/Logging_0580/klagomålsmail/A 17444-2025 FSC-klagomål mail.docx", "A 17444-2025")</f>
        <v/>
      </c>
      <c r="X75">
        <f>HYPERLINK("https://klasma.github.io/Logging_0580/tillsyn/A 17444-2025 tillsynsbegäran.docx", "A 17444-2025")</f>
        <v/>
      </c>
      <c r="Y75">
        <f>HYPERLINK("https://klasma.github.io/Logging_0580/tillsynsmail/A 17444-2025 tillsynsbegäran mail.docx", "A 17444-2025")</f>
        <v/>
      </c>
    </row>
    <row r="76" ht="15" customHeight="1">
      <c r="A76" t="inlineStr">
        <is>
          <t>A 50034-2025</t>
        </is>
      </c>
      <c r="B76" s="1" t="n">
        <v>45941</v>
      </c>
      <c r="C76" s="1" t="n">
        <v>46092</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5911-2022</t>
        </is>
      </c>
      <c r="B77" s="1" t="n">
        <v>44597</v>
      </c>
      <c r="C77" s="1" t="n">
        <v>46092</v>
      </c>
      <c r="D77" t="inlineStr">
        <is>
          <t>ÖSTERGÖTLANDS LÄN</t>
        </is>
      </c>
      <c r="E77" t="inlineStr">
        <is>
          <t>LINKÖPING</t>
        </is>
      </c>
      <c r="G77" t="n">
        <v>3.5</v>
      </c>
      <c r="H77" t="n">
        <v>0</v>
      </c>
      <c r="I77" t="n">
        <v>0</v>
      </c>
      <c r="J77" t="n">
        <v>1</v>
      </c>
      <c r="K77" t="n">
        <v>0</v>
      </c>
      <c r="L77" t="n">
        <v>0</v>
      </c>
      <c r="M77" t="n">
        <v>0</v>
      </c>
      <c r="N77" t="n">
        <v>0</v>
      </c>
      <c r="O77" t="n">
        <v>1</v>
      </c>
      <c r="P77" t="n">
        <v>0</v>
      </c>
      <c r="Q77" t="n">
        <v>1</v>
      </c>
      <c r="R77" s="2" t="inlineStr">
        <is>
          <t>Spindelört</t>
        </is>
      </c>
      <c r="S77">
        <f>HYPERLINK("https://klasma.github.io/Logging_0580/artfynd/A 5911-2022 artfynd.xlsx", "A 5911-2022")</f>
        <v/>
      </c>
      <c r="T77">
        <f>HYPERLINK("https://klasma.github.io/Logging_0580/kartor/A 5911-2022 karta.png", "A 5911-2022")</f>
        <v/>
      </c>
      <c r="V77">
        <f>HYPERLINK("https://klasma.github.io/Logging_0580/klagomål/A 5911-2022 FSC-klagomål.docx", "A 5911-2022")</f>
        <v/>
      </c>
      <c r="W77">
        <f>HYPERLINK("https://klasma.github.io/Logging_0580/klagomålsmail/A 5911-2022 FSC-klagomål mail.docx", "A 5911-2022")</f>
        <v/>
      </c>
      <c r="X77">
        <f>HYPERLINK("https://klasma.github.io/Logging_0580/tillsyn/A 5911-2022 tillsynsbegäran.docx", "A 5911-2022")</f>
        <v/>
      </c>
      <c r="Y77">
        <f>HYPERLINK("https://klasma.github.io/Logging_0580/tillsynsmail/A 5911-2022 tillsynsbegäran mail.docx", "A 5911-2022")</f>
        <v/>
      </c>
    </row>
    <row r="78" ht="15" customHeight="1">
      <c r="A78" t="inlineStr">
        <is>
          <t>A 90-2024</t>
        </is>
      </c>
      <c r="B78" s="1" t="n">
        <v>45293</v>
      </c>
      <c r="C78" s="1" t="n">
        <v>46092</v>
      </c>
      <c r="D78" t="inlineStr">
        <is>
          <t>ÖSTERGÖTLANDS LÄN</t>
        </is>
      </c>
      <c r="E78" t="inlineStr">
        <is>
          <t>LINKÖPING</t>
        </is>
      </c>
      <c r="G78" t="n">
        <v>1.8</v>
      </c>
      <c r="H78" t="n">
        <v>0</v>
      </c>
      <c r="I78" t="n">
        <v>1</v>
      </c>
      <c r="J78" t="n">
        <v>0</v>
      </c>
      <c r="K78" t="n">
        <v>0</v>
      </c>
      <c r="L78" t="n">
        <v>0</v>
      </c>
      <c r="M78" t="n">
        <v>0</v>
      </c>
      <c r="N78" t="n">
        <v>0</v>
      </c>
      <c r="O78" t="n">
        <v>0</v>
      </c>
      <c r="P78" t="n">
        <v>0</v>
      </c>
      <c r="Q78" t="n">
        <v>1</v>
      </c>
      <c r="R78" s="2" t="inlineStr">
        <is>
          <t>Grov fjädermossa</t>
        </is>
      </c>
      <c r="S78">
        <f>HYPERLINK("https://klasma.github.io/Logging_0580/artfynd/A 90-2024 artfynd.xlsx", "A 90-2024")</f>
        <v/>
      </c>
      <c r="T78">
        <f>HYPERLINK("https://klasma.github.io/Logging_0580/kartor/A 90-2024 karta.png", "A 90-2024")</f>
        <v/>
      </c>
      <c r="V78">
        <f>HYPERLINK("https://klasma.github.io/Logging_0580/klagomål/A 90-2024 FSC-klagomål.docx", "A 90-2024")</f>
        <v/>
      </c>
      <c r="W78">
        <f>HYPERLINK("https://klasma.github.io/Logging_0580/klagomålsmail/A 90-2024 FSC-klagomål mail.docx", "A 90-2024")</f>
        <v/>
      </c>
      <c r="X78">
        <f>HYPERLINK("https://klasma.github.io/Logging_0580/tillsyn/A 90-2024 tillsynsbegäran.docx", "A 90-2024")</f>
        <v/>
      </c>
      <c r="Y78">
        <f>HYPERLINK("https://klasma.github.io/Logging_0580/tillsynsmail/A 90-2024 tillsynsbegäran mail.docx", "A 90-2024")</f>
        <v/>
      </c>
    </row>
    <row r="79" ht="15" customHeight="1">
      <c r="A79" t="inlineStr">
        <is>
          <t>A 40315-2024</t>
        </is>
      </c>
      <c r="B79" s="1" t="n">
        <v>45554.7571875</v>
      </c>
      <c r="C79" s="1" t="n">
        <v>46092</v>
      </c>
      <c r="D79" t="inlineStr">
        <is>
          <t>ÖSTERGÖTLANDS LÄN</t>
        </is>
      </c>
      <c r="E79" t="inlineStr">
        <is>
          <t>LINKÖPING</t>
        </is>
      </c>
      <c r="F79" t="inlineStr">
        <is>
          <t>Allmännings- och besparingsskogar</t>
        </is>
      </c>
      <c r="G79" t="n">
        <v>15.8</v>
      </c>
      <c r="H79" t="n">
        <v>0</v>
      </c>
      <c r="I79" t="n">
        <v>0</v>
      </c>
      <c r="J79" t="n">
        <v>0</v>
      </c>
      <c r="K79" t="n">
        <v>0</v>
      </c>
      <c r="L79" t="n">
        <v>0</v>
      </c>
      <c r="M79" t="n">
        <v>1</v>
      </c>
      <c r="N79" t="n">
        <v>0</v>
      </c>
      <c r="O79" t="n">
        <v>1</v>
      </c>
      <c r="P79" t="n">
        <v>1</v>
      </c>
      <c r="Q79" t="n">
        <v>1</v>
      </c>
      <c r="R79" s="2" t="inlineStr">
        <is>
          <t>Skogsalm</t>
        </is>
      </c>
      <c r="S79">
        <f>HYPERLINK("https://klasma.github.io/Logging_0580/artfynd/A 40315-2024 artfynd.xlsx", "A 40315-2024")</f>
        <v/>
      </c>
      <c r="T79">
        <f>HYPERLINK("https://klasma.github.io/Logging_0580/kartor/A 40315-2024 karta.png", "A 40315-2024")</f>
        <v/>
      </c>
      <c r="V79">
        <f>HYPERLINK("https://klasma.github.io/Logging_0580/klagomål/A 40315-2024 FSC-klagomål.docx", "A 40315-2024")</f>
        <v/>
      </c>
      <c r="W79">
        <f>HYPERLINK("https://klasma.github.io/Logging_0580/klagomålsmail/A 40315-2024 FSC-klagomål mail.docx", "A 40315-2024")</f>
        <v/>
      </c>
      <c r="X79">
        <f>HYPERLINK("https://klasma.github.io/Logging_0580/tillsyn/A 40315-2024 tillsynsbegäran.docx", "A 40315-2024")</f>
        <v/>
      </c>
      <c r="Y79">
        <f>HYPERLINK("https://klasma.github.io/Logging_0580/tillsynsmail/A 40315-2024 tillsynsbegäran mail.docx", "A 40315-2024")</f>
        <v/>
      </c>
    </row>
    <row r="80" ht="15" customHeight="1">
      <c r="A80" t="inlineStr">
        <is>
          <t>A 36723-2023</t>
        </is>
      </c>
      <c r="B80" s="1" t="n">
        <v>45153</v>
      </c>
      <c r="C80" s="1" t="n">
        <v>46092</v>
      </c>
      <c r="D80" t="inlineStr">
        <is>
          <t>ÖSTERGÖTLANDS LÄN</t>
        </is>
      </c>
      <c r="E80" t="inlineStr">
        <is>
          <t>LINKÖPING</t>
        </is>
      </c>
      <c r="F80" t="inlineStr">
        <is>
          <t>Allmännings- och besparingsskogar</t>
        </is>
      </c>
      <c r="G80" t="n">
        <v>9.9</v>
      </c>
      <c r="H80" t="n">
        <v>0</v>
      </c>
      <c r="I80" t="n">
        <v>0</v>
      </c>
      <c r="J80" t="n">
        <v>0</v>
      </c>
      <c r="K80" t="n">
        <v>1</v>
      </c>
      <c r="L80" t="n">
        <v>0</v>
      </c>
      <c r="M80" t="n">
        <v>0</v>
      </c>
      <c r="N80" t="n">
        <v>0</v>
      </c>
      <c r="O80" t="n">
        <v>1</v>
      </c>
      <c r="P80" t="n">
        <v>1</v>
      </c>
      <c r="Q80" t="n">
        <v>1</v>
      </c>
      <c r="R80" s="2" t="inlineStr">
        <is>
          <t>Bitter taggsvamp</t>
        </is>
      </c>
      <c r="S80">
        <f>HYPERLINK("https://klasma.github.io/Logging_0580/artfynd/A 36723-2023 artfynd.xlsx", "A 36723-2023")</f>
        <v/>
      </c>
      <c r="T80">
        <f>HYPERLINK("https://klasma.github.io/Logging_0580/kartor/A 36723-2023 karta.png", "A 36723-2023")</f>
        <v/>
      </c>
      <c r="V80">
        <f>HYPERLINK("https://klasma.github.io/Logging_0580/klagomål/A 36723-2023 FSC-klagomål.docx", "A 36723-2023")</f>
        <v/>
      </c>
      <c r="W80">
        <f>HYPERLINK("https://klasma.github.io/Logging_0580/klagomålsmail/A 36723-2023 FSC-klagomål mail.docx", "A 36723-2023")</f>
        <v/>
      </c>
      <c r="X80">
        <f>HYPERLINK("https://klasma.github.io/Logging_0580/tillsyn/A 36723-2023 tillsynsbegäran.docx", "A 36723-2023")</f>
        <v/>
      </c>
      <c r="Y80">
        <f>HYPERLINK("https://klasma.github.io/Logging_0580/tillsynsmail/A 36723-2023 tillsynsbegäran mail.docx", "A 36723-2023")</f>
        <v/>
      </c>
    </row>
    <row r="81" ht="15" customHeight="1">
      <c r="A81" t="inlineStr">
        <is>
          <t>A 15290-2025</t>
        </is>
      </c>
      <c r="B81" s="1" t="n">
        <v>45745.45288194445</v>
      </c>
      <c r="C81" s="1" t="n">
        <v>46092</v>
      </c>
      <c r="D81" t="inlineStr">
        <is>
          <t>ÖSTERGÖTLANDS LÄN</t>
        </is>
      </c>
      <c r="E81" t="inlineStr">
        <is>
          <t>LINKÖPING</t>
        </is>
      </c>
      <c r="G81" t="n">
        <v>18.4</v>
      </c>
      <c r="H81" t="n">
        <v>1</v>
      </c>
      <c r="I81" t="n">
        <v>0</v>
      </c>
      <c r="J81" t="n">
        <v>1</v>
      </c>
      <c r="K81" t="n">
        <v>0</v>
      </c>
      <c r="L81" t="n">
        <v>0</v>
      </c>
      <c r="M81" t="n">
        <v>0</v>
      </c>
      <c r="N81" t="n">
        <v>0</v>
      </c>
      <c r="O81" t="n">
        <v>1</v>
      </c>
      <c r="P81" t="n">
        <v>0</v>
      </c>
      <c r="Q81" t="n">
        <v>1</v>
      </c>
      <c r="R81" s="2" t="inlineStr">
        <is>
          <t>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34881-2023</t>
        </is>
      </c>
      <c r="B82" s="1" t="n">
        <v>45140</v>
      </c>
      <c r="C82" s="1" t="n">
        <v>46092</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Tallticka</t>
        </is>
      </c>
      <c r="S82">
        <f>HYPERLINK("https://klasma.github.io/Logging_0580/artfynd/A 34881-2023 artfynd.xlsx", "A 34881-2023")</f>
        <v/>
      </c>
      <c r="T82">
        <f>HYPERLINK("https://klasma.github.io/Logging_0580/kartor/A 34881-2023 karta.png", "A 34881-2023")</f>
        <v/>
      </c>
      <c r="U82">
        <f>HYPERLINK("https://klasma.github.io/Logging_0580/knärot/A 34881-2023 karta knärot.png", "A 34881-2023")</f>
        <v/>
      </c>
      <c r="V82">
        <f>HYPERLINK("https://klasma.github.io/Logging_0580/klagomål/A 34881-2023 FSC-klagomål.docx", "A 34881-2023")</f>
        <v/>
      </c>
      <c r="W82">
        <f>HYPERLINK("https://klasma.github.io/Logging_0580/klagomålsmail/A 34881-2023 FSC-klagomål mail.docx", "A 34881-2023")</f>
        <v/>
      </c>
      <c r="X82">
        <f>HYPERLINK("https://klasma.github.io/Logging_0580/tillsyn/A 34881-2023 tillsynsbegäran.docx", "A 34881-2023")</f>
        <v/>
      </c>
      <c r="Y82">
        <f>HYPERLINK("https://klasma.github.io/Logging_0580/tillsynsmail/A 34881-2023 tillsynsbegäran mail.docx", "A 34881-2023")</f>
        <v/>
      </c>
    </row>
    <row r="83" ht="15" customHeight="1">
      <c r="A83" t="inlineStr">
        <is>
          <t>A 50471-2024</t>
        </is>
      </c>
      <c r="B83" s="1" t="n">
        <v>45601.47166666666</v>
      </c>
      <c r="C83" s="1" t="n">
        <v>46092</v>
      </c>
      <c r="D83" t="inlineStr">
        <is>
          <t>ÖSTERGÖTLANDS LÄN</t>
        </is>
      </c>
      <c r="E83" t="inlineStr">
        <is>
          <t>LINKÖPING</t>
        </is>
      </c>
      <c r="F83" t="inlineStr">
        <is>
          <t>Övriga Aktiebolag</t>
        </is>
      </c>
      <c r="G83" t="n">
        <v>2</v>
      </c>
      <c r="H83" t="n">
        <v>0</v>
      </c>
      <c r="I83" t="n">
        <v>1</v>
      </c>
      <c r="J83" t="n">
        <v>0</v>
      </c>
      <c r="K83" t="n">
        <v>0</v>
      </c>
      <c r="L83" t="n">
        <v>0</v>
      </c>
      <c r="M83" t="n">
        <v>0</v>
      </c>
      <c r="N83" t="n">
        <v>0</v>
      </c>
      <c r="O83" t="n">
        <v>0</v>
      </c>
      <c r="P83" t="n">
        <v>0</v>
      </c>
      <c r="Q83" t="n">
        <v>1</v>
      </c>
      <c r="R83" s="2" t="inlineStr">
        <is>
          <t>Västlig hakmossa</t>
        </is>
      </c>
      <c r="S83">
        <f>HYPERLINK("https://klasma.github.io/Logging_0580/artfynd/A 50471-2024 artfynd.xlsx", "A 50471-2024")</f>
        <v/>
      </c>
      <c r="T83">
        <f>HYPERLINK("https://klasma.github.io/Logging_0580/kartor/A 50471-2024 karta.png", "A 50471-2024")</f>
        <v/>
      </c>
      <c r="V83">
        <f>HYPERLINK("https://klasma.github.io/Logging_0580/klagomål/A 50471-2024 FSC-klagomål.docx", "A 50471-2024")</f>
        <v/>
      </c>
      <c r="W83">
        <f>HYPERLINK("https://klasma.github.io/Logging_0580/klagomålsmail/A 50471-2024 FSC-klagomål mail.docx", "A 50471-2024")</f>
        <v/>
      </c>
      <c r="X83">
        <f>HYPERLINK("https://klasma.github.io/Logging_0580/tillsyn/A 50471-2024 tillsynsbegäran.docx", "A 50471-2024")</f>
        <v/>
      </c>
      <c r="Y83">
        <f>HYPERLINK("https://klasma.github.io/Logging_0580/tillsynsmail/A 50471-2024 tillsynsbegäran mail.docx", "A 50471-2024")</f>
        <v/>
      </c>
    </row>
    <row r="84" ht="15" customHeight="1">
      <c r="A84" t="inlineStr">
        <is>
          <t>A 17389-2021</t>
        </is>
      </c>
      <c r="B84" s="1" t="n">
        <v>44298.96792824074</v>
      </c>
      <c r="C84" s="1" t="n">
        <v>46092</v>
      </c>
      <c r="D84" t="inlineStr">
        <is>
          <t>ÖSTERGÖTLANDS LÄN</t>
        </is>
      </c>
      <c r="E84" t="inlineStr">
        <is>
          <t>LINKÖPING</t>
        </is>
      </c>
      <c r="G84" t="n">
        <v>5.1</v>
      </c>
      <c r="H84" t="n">
        <v>0</v>
      </c>
      <c r="I84" t="n">
        <v>1</v>
      </c>
      <c r="J84" t="n">
        <v>0</v>
      </c>
      <c r="K84" t="n">
        <v>0</v>
      </c>
      <c r="L84" t="n">
        <v>0</v>
      </c>
      <c r="M84" t="n">
        <v>0</v>
      </c>
      <c r="N84" t="n">
        <v>0</v>
      </c>
      <c r="O84" t="n">
        <v>0</v>
      </c>
      <c r="P84" t="n">
        <v>0</v>
      </c>
      <c r="Q84" t="n">
        <v>1</v>
      </c>
      <c r="R84" s="2" t="inlineStr">
        <is>
          <t>Blomkålssvamp</t>
        </is>
      </c>
      <c r="S84">
        <f>HYPERLINK("https://klasma.github.io/Logging_0580/artfynd/A 17389-2021 artfynd.xlsx", "A 17389-2021")</f>
        <v/>
      </c>
      <c r="T84">
        <f>HYPERLINK("https://klasma.github.io/Logging_0580/kartor/A 17389-2021 karta.png", "A 17389-2021")</f>
        <v/>
      </c>
      <c r="V84">
        <f>HYPERLINK("https://klasma.github.io/Logging_0580/klagomål/A 17389-2021 FSC-klagomål.docx", "A 17389-2021")</f>
        <v/>
      </c>
      <c r="W84">
        <f>HYPERLINK("https://klasma.github.io/Logging_0580/klagomålsmail/A 17389-2021 FSC-klagomål mail.docx", "A 17389-2021")</f>
        <v/>
      </c>
      <c r="X84">
        <f>HYPERLINK("https://klasma.github.io/Logging_0580/tillsyn/A 17389-2021 tillsynsbegäran.docx", "A 17389-2021")</f>
        <v/>
      </c>
      <c r="Y84">
        <f>HYPERLINK("https://klasma.github.io/Logging_0580/tillsynsmail/A 17389-2021 tillsynsbegäran mail.docx", "A 17389-2021")</f>
        <v/>
      </c>
    </row>
    <row r="85" ht="15" customHeight="1">
      <c r="A85" t="inlineStr">
        <is>
          <t>A 56128-2022</t>
        </is>
      </c>
      <c r="B85" s="1" t="n">
        <v>44889</v>
      </c>
      <c r="C85" s="1" t="n">
        <v>46092</v>
      </c>
      <c r="D85" t="inlineStr">
        <is>
          <t>ÖSTERGÖTLANDS LÄN</t>
        </is>
      </c>
      <c r="E85" t="inlineStr">
        <is>
          <t>LINKÖPING</t>
        </is>
      </c>
      <c r="G85" t="n">
        <v>2</v>
      </c>
      <c r="H85" t="n">
        <v>0</v>
      </c>
      <c r="I85" t="n">
        <v>1</v>
      </c>
      <c r="J85" t="n">
        <v>0</v>
      </c>
      <c r="K85" t="n">
        <v>0</v>
      </c>
      <c r="L85" t="n">
        <v>0</v>
      </c>
      <c r="M85" t="n">
        <v>0</v>
      </c>
      <c r="N85" t="n">
        <v>0</v>
      </c>
      <c r="O85" t="n">
        <v>0</v>
      </c>
      <c r="P85" t="n">
        <v>0</v>
      </c>
      <c r="Q85" t="n">
        <v>1</v>
      </c>
      <c r="R85" s="2" t="inlineStr">
        <is>
          <t>Tibast</t>
        </is>
      </c>
      <c r="S85">
        <f>HYPERLINK("https://klasma.github.io/Logging_0580/artfynd/A 56128-2022 artfynd.xlsx", "A 56128-2022")</f>
        <v/>
      </c>
      <c r="T85">
        <f>HYPERLINK("https://klasma.github.io/Logging_0580/kartor/A 56128-2022 karta.png", "A 56128-2022")</f>
        <v/>
      </c>
      <c r="V85">
        <f>HYPERLINK("https://klasma.github.io/Logging_0580/klagomål/A 56128-2022 FSC-klagomål.docx", "A 56128-2022")</f>
        <v/>
      </c>
      <c r="W85">
        <f>HYPERLINK("https://klasma.github.io/Logging_0580/klagomålsmail/A 56128-2022 FSC-klagomål mail.docx", "A 56128-2022")</f>
        <v/>
      </c>
      <c r="X85">
        <f>HYPERLINK("https://klasma.github.io/Logging_0580/tillsyn/A 56128-2022 tillsynsbegäran.docx", "A 56128-2022")</f>
        <v/>
      </c>
      <c r="Y85">
        <f>HYPERLINK("https://klasma.github.io/Logging_0580/tillsynsmail/A 56128-2022 tillsynsbegäran mail.docx", "A 56128-2022")</f>
        <v/>
      </c>
    </row>
    <row r="86" ht="15" customHeight="1">
      <c r="A86" t="inlineStr">
        <is>
          <t>A 40309-2024</t>
        </is>
      </c>
      <c r="B86" s="1" t="n">
        <v>45554.724375</v>
      </c>
      <c r="C86" s="1" t="n">
        <v>46092</v>
      </c>
      <c r="D86" t="inlineStr">
        <is>
          <t>ÖSTERGÖTLANDS LÄN</t>
        </is>
      </c>
      <c r="E86" t="inlineStr">
        <is>
          <t>LINKÖPING</t>
        </is>
      </c>
      <c r="F86" t="inlineStr">
        <is>
          <t>Allmännings- och besparingsskogar</t>
        </is>
      </c>
      <c r="G86" t="n">
        <v>6</v>
      </c>
      <c r="H86" t="n">
        <v>0</v>
      </c>
      <c r="I86" t="n">
        <v>0</v>
      </c>
      <c r="J86" t="n">
        <v>1</v>
      </c>
      <c r="K86" t="n">
        <v>0</v>
      </c>
      <c r="L86" t="n">
        <v>0</v>
      </c>
      <c r="M86" t="n">
        <v>0</v>
      </c>
      <c r="N86" t="n">
        <v>0</v>
      </c>
      <c r="O86" t="n">
        <v>1</v>
      </c>
      <c r="P86" t="n">
        <v>0</v>
      </c>
      <c r="Q86" t="n">
        <v>1</v>
      </c>
      <c r="R86" s="2" t="inlineStr">
        <is>
          <t>Garnlav</t>
        </is>
      </c>
      <c r="S86">
        <f>HYPERLINK("https://klasma.github.io/Logging_0580/artfynd/A 40309-2024 artfynd.xlsx", "A 40309-2024")</f>
        <v/>
      </c>
      <c r="T86">
        <f>HYPERLINK("https://klasma.github.io/Logging_0580/kartor/A 40309-2024 karta.png", "A 40309-2024")</f>
        <v/>
      </c>
      <c r="V86">
        <f>HYPERLINK("https://klasma.github.io/Logging_0580/klagomål/A 40309-2024 FSC-klagomål.docx", "A 40309-2024")</f>
        <v/>
      </c>
      <c r="W86">
        <f>HYPERLINK("https://klasma.github.io/Logging_0580/klagomålsmail/A 40309-2024 FSC-klagomål mail.docx", "A 40309-2024")</f>
        <v/>
      </c>
      <c r="X86">
        <f>HYPERLINK("https://klasma.github.io/Logging_0580/tillsyn/A 40309-2024 tillsynsbegäran.docx", "A 40309-2024")</f>
        <v/>
      </c>
      <c r="Y86">
        <f>HYPERLINK("https://klasma.github.io/Logging_0580/tillsynsmail/A 40309-2024 tillsynsbegäran mail.docx", "A 40309-2024")</f>
        <v/>
      </c>
    </row>
    <row r="87" ht="15" customHeight="1">
      <c r="A87" t="inlineStr">
        <is>
          <t>A 54835-2023</t>
        </is>
      </c>
      <c r="B87" s="1" t="n">
        <v>45236</v>
      </c>
      <c r="C87" s="1" t="n">
        <v>46092</v>
      </c>
      <c r="D87" t="inlineStr">
        <is>
          <t>ÖSTERGÖTLANDS LÄN</t>
        </is>
      </c>
      <c r="E87" t="inlineStr">
        <is>
          <t>LINKÖPING</t>
        </is>
      </c>
      <c r="G87" t="n">
        <v>2</v>
      </c>
      <c r="H87" t="n">
        <v>1</v>
      </c>
      <c r="I87" t="n">
        <v>0</v>
      </c>
      <c r="J87" t="n">
        <v>0</v>
      </c>
      <c r="K87" t="n">
        <v>0</v>
      </c>
      <c r="L87" t="n">
        <v>0</v>
      </c>
      <c r="M87" t="n">
        <v>0</v>
      </c>
      <c r="N87" t="n">
        <v>0</v>
      </c>
      <c r="O87" t="n">
        <v>0</v>
      </c>
      <c r="P87" t="n">
        <v>0</v>
      </c>
      <c r="Q87" t="n">
        <v>1</v>
      </c>
      <c r="R87" s="2" t="inlineStr">
        <is>
          <t>Sparvuggla</t>
        </is>
      </c>
      <c r="S87">
        <f>HYPERLINK("https://klasma.github.io/Logging_0580/artfynd/A 54835-2023 artfynd.xlsx", "A 54835-2023")</f>
        <v/>
      </c>
      <c r="T87">
        <f>HYPERLINK("https://klasma.github.io/Logging_0580/kartor/A 54835-2023 karta.png", "A 54835-2023")</f>
        <v/>
      </c>
      <c r="V87">
        <f>HYPERLINK("https://klasma.github.io/Logging_0580/klagomål/A 54835-2023 FSC-klagomål.docx", "A 54835-2023")</f>
        <v/>
      </c>
      <c r="W87">
        <f>HYPERLINK("https://klasma.github.io/Logging_0580/klagomålsmail/A 54835-2023 FSC-klagomål mail.docx", "A 54835-2023")</f>
        <v/>
      </c>
      <c r="X87">
        <f>HYPERLINK("https://klasma.github.io/Logging_0580/tillsyn/A 54835-2023 tillsynsbegäran.docx", "A 54835-2023")</f>
        <v/>
      </c>
      <c r="Y87">
        <f>HYPERLINK("https://klasma.github.io/Logging_0580/tillsynsmail/A 54835-2023 tillsynsbegäran mail.docx", "A 54835-2023")</f>
        <v/>
      </c>
      <c r="Z87">
        <f>HYPERLINK("https://klasma.github.io/Logging_0580/fåglar/A 54835-2023 prioriterade fågelarter.docx", "A 54835-2023")</f>
        <v/>
      </c>
    </row>
    <row r="88" ht="15" customHeight="1">
      <c r="A88" t="inlineStr">
        <is>
          <t>A 126-2024</t>
        </is>
      </c>
      <c r="B88" s="1" t="n">
        <v>45294</v>
      </c>
      <c r="C88" s="1" t="n">
        <v>46092</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46092</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19103-2021</t>
        </is>
      </c>
      <c r="B90" s="1" t="n">
        <v>44308</v>
      </c>
      <c r="C90" s="1" t="n">
        <v>46092</v>
      </c>
      <c r="D90" t="inlineStr">
        <is>
          <t>ÖSTERGÖTLANDS LÄN</t>
        </is>
      </c>
      <c r="E90" t="inlineStr">
        <is>
          <t>LINKÖPING</t>
        </is>
      </c>
      <c r="G90" t="n">
        <v>4.7</v>
      </c>
      <c r="H90" t="n">
        <v>0</v>
      </c>
      <c r="I90" t="n">
        <v>0</v>
      </c>
      <c r="J90" t="n">
        <v>1</v>
      </c>
      <c r="K90" t="n">
        <v>0</v>
      </c>
      <c r="L90" t="n">
        <v>0</v>
      </c>
      <c r="M90" t="n">
        <v>0</v>
      </c>
      <c r="N90" t="n">
        <v>0</v>
      </c>
      <c r="O90" t="n">
        <v>1</v>
      </c>
      <c r="P90" t="n">
        <v>0</v>
      </c>
      <c r="Q90" t="n">
        <v>1</v>
      </c>
      <c r="R90" s="2" t="inlineStr">
        <is>
          <t>Tallticka</t>
        </is>
      </c>
      <c r="S90">
        <f>HYPERLINK("https://klasma.github.io/Logging_0580/artfynd/A 19103-2021 artfynd.xlsx", "A 19103-2021")</f>
        <v/>
      </c>
      <c r="T90">
        <f>HYPERLINK("https://klasma.github.io/Logging_0580/kartor/A 19103-2021 karta.png", "A 19103-2021")</f>
        <v/>
      </c>
      <c r="V90">
        <f>HYPERLINK("https://klasma.github.io/Logging_0580/klagomål/A 19103-2021 FSC-klagomål.docx", "A 19103-2021")</f>
        <v/>
      </c>
      <c r="W90">
        <f>HYPERLINK("https://klasma.github.io/Logging_0580/klagomålsmail/A 19103-2021 FSC-klagomål mail.docx", "A 19103-2021")</f>
        <v/>
      </c>
      <c r="X90">
        <f>HYPERLINK("https://klasma.github.io/Logging_0580/tillsyn/A 19103-2021 tillsynsbegäran.docx", "A 19103-2021")</f>
        <v/>
      </c>
      <c r="Y90">
        <f>HYPERLINK("https://klasma.github.io/Logging_0580/tillsynsmail/A 19103-2021 tillsynsbegäran mail.docx", "A 19103-2021")</f>
        <v/>
      </c>
    </row>
    <row r="91" ht="15" customHeight="1">
      <c r="A91" t="inlineStr">
        <is>
          <t>A 50806-2023</t>
        </is>
      </c>
      <c r="B91" s="1" t="n">
        <v>45217</v>
      </c>
      <c r="C91" s="1" t="n">
        <v>46092</v>
      </c>
      <c r="D91" t="inlineStr">
        <is>
          <t>ÖSTERGÖTLANDS LÄN</t>
        </is>
      </c>
      <c r="E91" t="inlineStr">
        <is>
          <t>LINKÖPING</t>
        </is>
      </c>
      <c r="F91" t="inlineStr">
        <is>
          <t>Övriga Aktiebolag</t>
        </is>
      </c>
      <c r="G91" t="n">
        <v>0.7</v>
      </c>
      <c r="H91" t="n">
        <v>1</v>
      </c>
      <c r="I91" t="n">
        <v>0</v>
      </c>
      <c r="J91" t="n">
        <v>0</v>
      </c>
      <c r="K91" t="n">
        <v>0</v>
      </c>
      <c r="L91" t="n">
        <v>0</v>
      </c>
      <c r="M91" t="n">
        <v>0</v>
      </c>
      <c r="N91" t="n">
        <v>0</v>
      </c>
      <c r="O91" t="n">
        <v>0</v>
      </c>
      <c r="P91" t="n">
        <v>0</v>
      </c>
      <c r="Q91" t="n">
        <v>1</v>
      </c>
      <c r="R91" s="2" t="inlineStr">
        <is>
          <t>Gullviva</t>
        </is>
      </c>
      <c r="S91">
        <f>HYPERLINK("https://klasma.github.io/Logging_0580/artfynd/A 50806-2023 artfynd.xlsx", "A 50806-2023")</f>
        <v/>
      </c>
      <c r="T91">
        <f>HYPERLINK("https://klasma.github.io/Logging_0580/kartor/A 50806-2023 karta.png", "A 50806-2023")</f>
        <v/>
      </c>
      <c r="V91">
        <f>HYPERLINK("https://klasma.github.io/Logging_0580/klagomål/A 50806-2023 FSC-klagomål.docx", "A 50806-2023")</f>
        <v/>
      </c>
      <c r="W91">
        <f>HYPERLINK("https://klasma.github.io/Logging_0580/klagomålsmail/A 50806-2023 FSC-klagomål mail.docx", "A 50806-2023")</f>
        <v/>
      </c>
      <c r="X91">
        <f>HYPERLINK("https://klasma.github.io/Logging_0580/tillsyn/A 50806-2023 tillsynsbegäran.docx", "A 50806-2023")</f>
        <v/>
      </c>
      <c r="Y91">
        <f>HYPERLINK("https://klasma.github.io/Logging_0580/tillsynsmail/A 50806-2023 tillsynsbegäran mail.docx", "A 50806-2023")</f>
        <v/>
      </c>
    </row>
    <row r="92" ht="15" customHeight="1">
      <c r="A92" t="inlineStr">
        <is>
          <t>A 39457-2023</t>
        </is>
      </c>
      <c r="B92" s="1" t="n">
        <v>45166</v>
      </c>
      <c r="C92" s="1" t="n">
        <v>46092</v>
      </c>
      <c r="D92" t="inlineStr">
        <is>
          <t>ÖSTERGÖTLANDS LÄN</t>
        </is>
      </c>
      <c r="E92" t="inlineStr">
        <is>
          <t>LINKÖPING</t>
        </is>
      </c>
      <c r="G92" t="n">
        <v>2.1</v>
      </c>
      <c r="H92" t="n">
        <v>1</v>
      </c>
      <c r="I92" t="n">
        <v>0</v>
      </c>
      <c r="J92" t="n">
        <v>0</v>
      </c>
      <c r="K92" t="n">
        <v>0</v>
      </c>
      <c r="L92" t="n">
        <v>0</v>
      </c>
      <c r="M92" t="n">
        <v>0</v>
      </c>
      <c r="N92" t="n">
        <v>0</v>
      </c>
      <c r="O92" t="n">
        <v>0</v>
      </c>
      <c r="P92" t="n">
        <v>0</v>
      </c>
      <c r="Q92" t="n">
        <v>1</v>
      </c>
      <c r="R92" s="2" t="inlineStr">
        <is>
          <t>Sparvuggla</t>
        </is>
      </c>
      <c r="S92">
        <f>HYPERLINK("https://klasma.github.io/Logging_0580/artfynd/A 39457-2023 artfynd.xlsx", "A 39457-2023")</f>
        <v/>
      </c>
      <c r="T92">
        <f>HYPERLINK("https://klasma.github.io/Logging_0580/kartor/A 39457-2023 karta.png", "A 39457-2023")</f>
        <v/>
      </c>
      <c r="V92">
        <f>HYPERLINK("https://klasma.github.io/Logging_0580/klagomål/A 39457-2023 FSC-klagomål.docx", "A 39457-2023")</f>
        <v/>
      </c>
      <c r="W92">
        <f>HYPERLINK("https://klasma.github.io/Logging_0580/klagomålsmail/A 39457-2023 FSC-klagomål mail.docx", "A 39457-2023")</f>
        <v/>
      </c>
      <c r="X92">
        <f>HYPERLINK("https://klasma.github.io/Logging_0580/tillsyn/A 39457-2023 tillsynsbegäran.docx", "A 39457-2023")</f>
        <v/>
      </c>
      <c r="Y92">
        <f>HYPERLINK("https://klasma.github.io/Logging_0580/tillsynsmail/A 39457-2023 tillsynsbegäran mail.docx", "A 39457-2023")</f>
        <v/>
      </c>
      <c r="Z92">
        <f>HYPERLINK("https://klasma.github.io/Logging_0580/fåglar/A 39457-2023 prioriterade fågelarter.docx", "A 39457-2023")</f>
        <v/>
      </c>
    </row>
    <row r="93" ht="15" customHeight="1">
      <c r="A93" t="inlineStr">
        <is>
          <t>A 35948-2023</t>
        </is>
      </c>
      <c r="B93" s="1" t="n">
        <v>45148</v>
      </c>
      <c r="C93" s="1" t="n">
        <v>46092</v>
      </c>
      <c r="D93" t="inlineStr">
        <is>
          <t>ÖSTERGÖTLANDS LÄN</t>
        </is>
      </c>
      <c r="E93" t="inlineStr">
        <is>
          <t>LINKÖPING</t>
        </is>
      </c>
      <c r="G93" t="n">
        <v>1.9</v>
      </c>
      <c r="H93" t="n">
        <v>0</v>
      </c>
      <c r="I93" t="n">
        <v>1</v>
      </c>
      <c r="J93" t="n">
        <v>0</v>
      </c>
      <c r="K93" t="n">
        <v>0</v>
      </c>
      <c r="L93" t="n">
        <v>0</v>
      </c>
      <c r="M93" t="n">
        <v>0</v>
      </c>
      <c r="N93" t="n">
        <v>0</v>
      </c>
      <c r="O93" t="n">
        <v>0</v>
      </c>
      <c r="P93" t="n">
        <v>0</v>
      </c>
      <c r="Q93" t="n">
        <v>1</v>
      </c>
      <c r="R93" s="2" t="inlineStr">
        <is>
          <t>Brun nållav</t>
        </is>
      </c>
      <c r="S93">
        <f>HYPERLINK("https://klasma.github.io/Logging_0580/artfynd/A 35948-2023 artfynd.xlsx", "A 35948-2023")</f>
        <v/>
      </c>
      <c r="T93">
        <f>HYPERLINK("https://klasma.github.io/Logging_0580/kartor/A 35948-2023 karta.png", "A 35948-2023")</f>
        <v/>
      </c>
      <c r="V93">
        <f>HYPERLINK("https://klasma.github.io/Logging_0580/klagomål/A 35948-2023 FSC-klagomål.docx", "A 35948-2023")</f>
        <v/>
      </c>
      <c r="W93">
        <f>HYPERLINK("https://klasma.github.io/Logging_0580/klagomålsmail/A 35948-2023 FSC-klagomål mail.docx", "A 35948-2023")</f>
        <v/>
      </c>
      <c r="X93">
        <f>HYPERLINK("https://klasma.github.io/Logging_0580/tillsyn/A 35948-2023 tillsynsbegäran.docx", "A 35948-2023")</f>
        <v/>
      </c>
      <c r="Y93">
        <f>HYPERLINK("https://klasma.github.io/Logging_0580/tillsynsmail/A 35948-2023 tillsynsbegäran mail.docx", "A 35948-2023")</f>
        <v/>
      </c>
    </row>
    <row r="94" ht="15" customHeight="1">
      <c r="A94" t="inlineStr">
        <is>
          <t>A 62071-2023</t>
        </is>
      </c>
      <c r="B94" s="1" t="n">
        <v>45266.73542824074</v>
      </c>
      <c r="C94" s="1" t="n">
        <v>46092</v>
      </c>
      <c r="D94" t="inlineStr">
        <is>
          <t>ÖSTERGÖTLANDS LÄN</t>
        </is>
      </c>
      <c r="E94" t="inlineStr">
        <is>
          <t>LINKÖPING</t>
        </is>
      </c>
      <c r="G94" t="n">
        <v>6.5</v>
      </c>
      <c r="H94" t="n">
        <v>0</v>
      </c>
      <c r="I94" t="n">
        <v>0</v>
      </c>
      <c r="J94" t="n">
        <v>1</v>
      </c>
      <c r="K94" t="n">
        <v>0</v>
      </c>
      <c r="L94" t="n">
        <v>0</v>
      </c>
      <c r="M94" t="n">
        <v>0</v>
      </c>
      <c r="N94" t="n">
        <v>0</v>
      </c>
      <c r="O94" t="n">
        <v>1</v>
      </c>
      <c r="P94" t="n">
        <v>0</v>
      </c>
      <c r="Q94" t="n">
        <v>1</v>
      </c>
      <c r="R94" s="2" t="inlineStr">
        <is>
          <t>Svinrot</t>
        </is>
      </c>
      <c r="S94">
        <f>HYPERLINK("https://klasma.github.io/Logging_0580/artfynd/A 62071-2023 artfynd.xlsx", "A 62071-2023")</f>
        <v/>
      </c>
      <c r="T94">
        <f>HYPERLINK("https://klasma.github.io/Logging_0580/kartor/A 62071-2023 karta.png", "A 62071-2023")</f>
        <v/>
      </c>
      <c r="V94">
        <f>HYPERLINK("https://klasma.github.io/Logging_0580/klagomål/A 62071-2023 FSC-klagomål.docx", "A 62071-2023")</f>
        <v/>
      </c>
      <c r="W94">
        <f>HYPERLINK("https://klasma.github.io/Logging_0580/klagomålsmail/A 62071-2023 FSC-klagomål mail.docx", "A 62071-2023")</f>
        <v/>
      </c>
      <c r="X94">
        <f>HYPERLINK("https://klasma.github.io/Logging_0580/tillsyn/A 62071-2023 tillsynsbegäran.docx", "A 62071-2023")</f>
        <v/>
      </c>
      <c r="Y94">
        <f>HYPERLINK("https://klasma.github.io/Logging_0580/tillsynsmail/A 62071-2023 tillsynsbegäran mail.docx", "A 62071-2023")</f>
        <v/>
      </c>
    </row>
    <row r="95" ht="15" customHeight="1">
      <c r="A95" t="inlineStr">
        <is>
          <t>A 3397-2023</t>
        </is>
      </c>
      <c r="B95" s="1" t="n">
        <v>44949</v>
      </c>
      <c r="C95" s="1" t="n">
        <v>46092</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20295-2025</t>
        </is>
      </c>
      <c r="B96" s="1" t="n">
        <v>45774.74846064814</v>
      </c>
      <c r="C96" s="1" t="n">
        <v>46092</v>
      </c>
      <c r="D96" t="inlineStr">
        <is>
          <t>ÖSTERGÖTLANDS LÄN</t>
        </is>
      </c>
      <c r="E96" t="inlineStr">
        <is>
          <t>LINKÖPING</t>
        </is>
      </c>
      <c r="G96" t="n">
        <v>3</v>
      </c>
      <c r="H96" t="n">
        <v>0</v>
      </c>
      <c r="I96" t="n">
        <v>0</v>
      </c>
      <c r="J96" t="n">
        <v>1</v>
      </c>
      <c r="K96" t="n">
        <v>0</v>
      </c>
      <c r="L96" t="n">
        <v>0</v>
      </c>
      <c r="M96" t="n">
        <v>0</v>
      </c>
      <c r="N96" t="n">
        <v>0</v>
      </c>
      <c r="O96" t="n">
        <v>1</v>
      </c>
      <c r="P96" t="n">
        <v>0</v>
      </c>
      <c r="Q96" t="n">
        <v>1</v>
      </c>
      <c r="R96" s="2" t="inlineStr">
        <is>
          <t>Tallticka</t>
        </is>
      </c>
      <c r="S96">
        <f>HYPERLINK("https://klasma.github.io/Logging_0580/artfynd/A 20295-2025 artfynd.xlsx", "A 20295-2025")</f>
        <v/>
      </c>
      <c r="T96">
        <f>HYPERLINK("https://klasma.github.io/Logging_0580/kartor/A 20295-2025 karta.png", "A 20295-2025")</f>
        <v/>
      </c>
      <c r="V96">
        <f>HYPERLINK("https://klasma.github.io/Logging_0580/klagomål/A 20295-2025 FSC-klagomål.docx", "A 20295-2025")</f>
        <v/>
      </c>
      <c r="W96">
        <f>HYPERLINK("https://klasma.github.io/Logging_0580/klagomålsmail/A 20295-2025 FSC-klagomål mail.docx", "A 20295-2025")</f>
        <v/>
      </c>
      <c r="X96">
        <f>HYPERLINK("https://klasma.github.io/Logging_0580/tillsyn/A 20295-2025 tillsynsbegäran.docx", "A 20295-2025")</f>
        <v/>
      </c>
      <c r="Y96">
        <f>HYPERLINK("https://klasma.github.io/Logging_0580/tillsynsmail/A 20295-2025 tillsynsbegäran mail.docx", "A 20295-2025")</f>
        <v/>
      </c>
    </row>
    <row r="97" ht="15" customHeight="1">
      <c r="A97" t="inlineStr">
        <is>
          <t>A 60573-2021</t>
        </is>
      </c>
      <c r="B97" s="1" t="n">
        <v>44496</v>
      </c>
      <c r="C97" s="1" t="n">
        <v>46092</v>
      </c>
      <c r="D97" t="inlineStr">
        <is>
          <t>ÖSTERGÖTLANDS LÄN</t>
        </is>
      </c>
      <c r="E97" t="inlineStr">
        <is>
          <t>LINKÖPING</t>
        </is>
      </c>
      <c r="F97" t="inlineStr">
        <is>
          <t>Övriga Aktiebolag</t>
        </is>
      </c>
      <c r="G97" t="n">
        <v>5.6</v>
      </c>
      <c r="H97" t="n">
        <v>0</v>
      </c>
      <c r="I97" t="n">
        <v>0</v>
      </c>
      <c r="J97" t="n">
        <v>1</v>
      </c>
      <c r="K97" t="n">
        <v>0</v>
      </c>
      <c r="L97" t="n">
        <v>0</v>
      </c>
      <c r="M97" t="n">
        <v>0</v>
      </c>
      <c r="N97" t="n">
        <v>0</v>
      </c>
      <c r="O97" t="n">
        <v>1</v>
      </c>
      <c r="P97" t="n">
        <v>0</v>
      </c>
      <c r="Q97" t="n">
        <v>1</v>
      </c>
      <c r="R97" s="2" t="inlineStr">
        <is>
          <t>Sommarfibbla</t>
        </is>
      </c>
      <c r="S97">
        <f>HYPERLINK("https://klasma.github.io/Logging_0580/artfynd/A 60573-2021 artfynd.xlsx", "A 60573-2021")</f>
        <v/>
      </c>
      <c r="T97">
        <f>HYPERLINK("https://klasma.github.io/Logging_0580/kartor/A 60573-2021 karta.png", "A 60573-2021")</f>
        <v/>
      </c>
      <c r="V97">
        <f>HYPERLINK("https://klasma.github.io/Logging_0580/klagomål/A 60573-2021 FSC-klagomål.docx", "A 60573-2021")</f>
        <v/>
      </c>
      <c r="W97">
        <f>HYPERLINK("https://klasma.github.io/Logging_0580/klagomålsmail/A 60573-2021 FSC-klagomål mail.docx", "A 60573-2021")</f>
        <v/>
      </c>
      <c r="X97">
        <f>HYPERLINK("https://klasma.github.io/Logging_0580/tillsyn/A 60573-2021 tillsynsbegäran.docx", "A 60573-2021")</f>
        <v/>
      </c>
      <c r="Y97">
        <f>HYPERLINK("https://klasma.github.io/Logging_0580/tillsynsmail/A 60573-2021 tillsynsbegäran mail.docx", "A 60573-2021")</f>
        <v/>
      </c>
    </row>
    <row r="98" ht="15" customHeight="1">
      <c r="A98" t="inlineStr">
        <is>
          <t>A 38881-2021</t>
        </is>
      </c>
      <c r="B98" s="1" t="n">
        <v>44411.46893518518</v>
      </c>
      <c r="C98" s="1" t="n">
        <v>46092</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46092</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46092</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46092</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46092</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46092</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46092</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46092</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46092</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46092</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46092</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46092</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46092</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46092</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46092</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46092</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46092</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46092</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46092</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46092</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46092</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46092</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46092</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46092</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46092</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46092</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46092</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46092</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46092</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46092</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46092</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46092</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46092</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46092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46092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46092</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46092</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46092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46092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46092</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46092</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46092</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46092</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46092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46092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46092</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46092</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46092</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46092</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46092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46092</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46092</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46092</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46092</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46092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46092</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46092</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46092</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46092</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46092</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46092</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46092</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46092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46092</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46092</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46092</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46092</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46092</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46092</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46092</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46092</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46092</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46092</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46092</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46092</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46092</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46092</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46092</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46092</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46092</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46092</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46092</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5605-2022</t>
        </is>
      </c>
      <c r="B180" s="1" t="n">
        <v>44595</v>
      </c>
      <c r="C180" s="1" t="n">
        <v>46092</v>
      </c>
      <c r="D180" t="inlineStr">
        <is>
          <t>ÖSTERGÖTLANDS LÄN</t>
        </is>
      </c>
      <c r="E180" t="inlineStr">
        <is>
          <t>LINKÖPING</t>
        </is>
      </c>
      <c r="F180" t="inlineStr">
        <is>
          <t>Övriga statliga verk och myndigheter</t>
        </is>
      </c>
      <c r="G180" t="n">
        <v>3</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46092</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46092</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46092</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46092</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46092</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46092</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46092</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46092</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46092</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46092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46092</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46092</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46092</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46092</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46092</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46092</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46092</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46092</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46092</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46092</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46092</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54845-2023</t>
        </is>
      </c>
      <c r="B202" s="1" t="n">
        <v>45236</v>
      </c>
      <c r="C202" s="1" t="n">
        <v>46092</v>
      </c>
      <c r="D202" t="inlineStr">
        <is>
          <t>ÖSTERGÖTLANDS LÄN</t>
        </is>
      </c>
      <c r="E202" t="inlineStr">
        <is>
          <t>LINKÖPING</t>
        </is>
      </c>
      <c r="F202" t="inlineStr">
        <is>
          <t>Övriga Aktiebolag</t>
        </is>
      </c>
      <c r="G202" t="n">
        <v>5.7</v>
      </c>
      <c r="H202" t="n">
        <v>0</v>
      </c>
      <c r="I202" t="n">
        <v>0</v>
      </c>
      <c r="J202" t="n">
        <v>0</v>
      </c>
      <c r="K202" t="n">
        <v>0</v>
      </c>
      <c r="L202" t="n">
        <v>0</v>
      </c>
      <c r="M202" t="n">
        <v>0</v>
      </c>
      <c r="N202" t="n">
        <v>0</v>
      </c>
      <c r="O202" t="n">
        <v>0</v>
      </c>
      <c r="P202" t="n">
        <v>0</v>
      </c>
      <c r="Q202" t="n">
        <v>0</v>
      </c>
      <c r="R202" s="2" t="inlineStr"/>
    </row>
    <row r="203" ht="15" customHeight="1">
      <c r="A203" t="inlineStr">
        <is>
          <t>A 62488-2023</t>
        </is>
      </c>
      <c r="B203" s="1" t="n">
        <v>45268.5847337963</v>
      </c>
      <c r="C203" s="1" t="n">
        <v>46092</v>
      </c>
      <c r="D203" t="inlineStr">
        <is>
          <t>ÖSTERGÖTLANDS LÄN</t>
        </is>
      </c>
      <c r="E203" t="inlineStr">
        <is>
          <t>LINKÖPING</t>
        </is>
      </c>
      <c r="G203" t="n">
        <v>4.1</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46092</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24351-2024</t>
        </is>
      </c>
      <c r="B205" s="1" t="n">
        <v>45457.59011574074</v>
      </c>
      <c r="C205" s="1" t="n">
        <v>46092</v>
      </c>
      <c r="D205" t="inlineStr">
        <is>
          <t>ÖSTERGÖTLANDS LÄN</t>
        </is>
      </c>
      <c r="E205" t="inlineStr">
        <is>
          <t>LINKÖPING</t>
        </is>
      </c>
      <c r="G205" t="n">
        <v>11.9</v>
      </c>
      <c r="H205" t="n">
        <v>0</v>
      </c>
      <c r="I205" t="n">
        <v>0</v>
      </c>
      <c r="J205" t="n">
        <v>0</v>
      </c>
      <c r="K205" t="n">
        <v>0</v>
      </c>
      <c r="L205" t="n">
        <v>0</v>
      </c>
      <c r="M205" t="n">
        <v>0</v>
      </c>
      <c r="N205" t="n">
        <v>0</v>
      </c>
      <c r="O205" t="n">
        <v>0</v>
      </c>
      <c r="P205" t="n">
        <v>0</v>
      </c>
      <c r="Q205" t="n">
        <v>0</v>
      </c>
      <c r="R205" s="2" t="inlineStr"/>
    </row>
    <row r="206" ht="15" customHeight="1">
      <c r="A206" t="inlineStr">
        <is>
          <t>A 22772-2024</t>
        </is>
      </c>
      <c r="B206" s="1" t="n">
        <v>45448.46712962963</v>
      </c>
      <c r="C206" s="1" t="n">
        <v>46092</v>
      </c>
      <c r="D206" t="inlineStr">
        <is>
          <t>ÖSTERGÖTLANDS LÄN</t>
        </is>
      </c>
      <c r="E206" t="inlineStr">
        <is>
          <t>LINKÖPING</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46092</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46092</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20455-2024</t>
        </is>
      </c>
      <c r="B209" s="1" t="n">
        <v>45435.65314814815</v>
      </c>
      <c r="C209" s="1" t="n">
        <v>46092</v>
      </c>
      <c r="D209" t="inlineStr">
        <is>
          <t>ÖSTERGÖTLANDS LÄN</t>
        </is>
      </c>
      <c r="E209" t="inlineStr">
        <is>
          <t>LINKÖPING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224-2024</t>
        </is>
      </c>
      <c r="B210" s="1" t="n">
        <v>45294</v>
      </c>
      <c r="C210" s="1" t="n">
        <v>46092</v>
      </c>
      <c r="D210" t="inlineStr">
        <is>
          <t>ÖSTERGÖTLANDS LÄN</t>
        </is>
      </c>
      <c r="E210" t="inlineStr">
        <is>
          <t>LINKÖPING</t>
        </is>
      </c>
      <c r="G210" t="n">
        <v>2.8</v>
      </c>
      <c r="H210" t="n">
        <v>0</v>
      </c>
      <c r="I210" t="n">
        <v>0</v>
      </c>
      <c r="J210" t="n">
        <v>0</v>
      </c>
      <c r="K210" t="n">
        <v>0</v>
      </c>
      <c r="L210" t="n">
        <v>0</v>
      </c>
      <c r="M210" t="n">
        <v>0</v>
      </c>
      <c r="N210" t="n">
        <v>0</v>
      </c>
      <c r="O210" t="n">
        <v>0</v>
      </c>
      <c r="P210" t="n">
        <v>0</v>
      </c>
      <c r="Q210" t="n">
        <v>0</v>
      </c>
      <c r="R210" s="2" t="inlineStr"/>
    </row>
    <row r="211" ht="15" customHeight="1">
      <c r="A211" t="inlineStr">
        <is>
          <t>A 25418-2023</t>
        </is>
      </c>
      <c r="B211" s="1" t="n">
        <v>45089</v>
      </c>
      <c r="C211" s="1" t="n">
        <v>46092</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52796-2023</t>
        </is>
      </c>
      <c r="B212" s="1" t="n">
        <v>45219</v>
      </c>
      <c r="C212" s="1" t="n">
        <v>46092</v>
      </c>
      <c r="D212" t="inlineStr">
        <is>
          <t>ÖSTERGÖTLANDS LÄN</t>
        </is>
      </c>
      <c r="E212" t="inlineStr">
        <is>
          <t>LINKÖPING</t>
        </is>
      </c>
      <c r="F212" t="inlineStr">
        <is>
          <t>Övriga statliga verk och myndigheter</t>
        </is>
      </c>
      <c r="G212" t="n">
        <v>3.9</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46092</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46092</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46092</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34877-2023</t>
        </is>
      </c>
      <c r="B216" s="1" t="n">
        <v>45140</v>
      </c>
      <c r="C216" s="1" t="n">
        <v>46092</v>
      </c>
      <c r="D216" t="inlineStr">
        <is>
          <t>ÖSTERGÖTLANDS LÄN</t>
        </is>
      </c>
      <c r="E216" t="inlineStr">
        <is>
          <t>LINKÖPING</t>
        </is>
      </c>
      <c r="G216" t="n">
        <v>1.9</v>
      </c>
      <c r="H216" t="n">
        <v>0</v>
      </c>
      <c r="I216" t="n">
        <v>0</v>
      </c>
      <c r="J216" t="n">
        <v>0</v>
      </c>
      <c r="K216" t="n">
        <v>0</v>
      </c>
      <c r="L216" t="n">
        <v>0</v>
      </c>
      <c r="M216" t="n">
        <v>0</v>
      </c>
      <c r="N216" t="n">
        <v>0</v>
      </c>
      <c r="O216" t="n">
        <v>0</v>
      </c>
      <c r="P216" t="n">
        <v>0</v>
      </c>
      <c r="Q216" t="n">
        <v>0</v>
      </c>
      <c r="R216" s="2" t="inlineStr"/>
    </row>
    <row r="217" ht="15" customHeight="1">
      <c r="A217" t="inlineStr">
        <is>
          <t>A 30856-2022</t>
        </is>
      </c>
      <c r="B217" s="1" t="n">
        <v>44767</v>
      </c>
      <c r="C217" s="1" t="n">
        <v>46092</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46092</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46092</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46092</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46092</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56560-2023</t>
        </is>
      </c>
      <c r="B222" s="1" t="n">
        <v>45238</v>
      </c>
      <c r="C222" s="1" t="n">
        <v>46092</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46092</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46092</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46092</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22264-2025</t>
        </is>
      </c>
      <c r="B226" s="1" t="n">
        <v>45785</v>
      </c>
      <c r="C226" s="1" t="n">
        <v>46092</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9473-2024</t>
        </is>
      </c>
      <c r="B227" s="1" t="n">
        <v>45359.55474537037</v>
      </c>
      <c r="C227" s="1" t="n">
        <v>46092</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22771-2024</t>
        </is>
      </c>
      <c r="B228" s="1" t="n">
        <v>45448.46574074074</v>
      </c>
      <c r="C228" s="1" t="n">
        <v>46092</v>
      </c>
      <c r="D228" t="inlineStr">
        <is>
          <t>ÖSTERGÖTLANDS LÄN</t>
        </is>
      </c>
      <c r="E228" t="inlineStr">
        <is>
          <t>LINKÖPING</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55165-2025</t>
        </is>
      </c>
      <c r="B229" s="1" t="n">
        <v>45968.48194444444</v>
      </c>
      <c r="C229" s="1" t="n">
        <v>46092</v>
      </c>
      <c r="D229" t="inlineStr">
        <is>
          <t>ÖSTERGÖTLANDS LÄN</t>
        </is>
      </c>
      <c r="E229" t="inlineStr">
        <is>
          <t>LINKÖPING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6859-2024</t>
        </is>
      </c>
      <c r="B230" s="1" t="n">
        <v>45342</v>
      </c>
      <c r="C230" s="1" t="n">
        <v>46092</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44287-2024</t>
        </is>
      </c>
      <c r="B231" s="1" t="n">
        <v>45573.50582175926</v>
      </c>
      <c r="C231" s="1" t="n">
        <v>46092</v>
      </c>
      <c r="D231" t="inlineStr">
        <is>
          <t>ÖSTERGÖTLANDS LÄN</t>
        </is>
      </c>
      <c r="E231" t="inlineStr">
        <is>
          <t>LINKÖPING</t>
        </is>
      </c>
      <c r="G231" t="n">
        <v>12.7</v>
      </c>
      <c r="H231" t="n">
        <v>0</v>
      </c>
      <c r="I231" t="n">
        <v>0</v>
      </c>
      <c r="J231" t="n">
        <v>0</v>
      </c>
      <c r="K231" t="n">
        <v>0</v>
      </c>
      <c r="L231" t="n">
        <v>0</v>
      </c>
      <c r="M231" t="n">
        <v>0</v>
      </c>
      <c r="N231" t="n">
        <v>0</v>
      </c>
      <c r="O231" t="n">
        <v>0</v>
      </c>
      <c r="P231" t="n">
        <v>0</v>
      </c>
      <c r="Q231" t="n">
        <v>0</v>
      </c>
      <c r="R231" s="2" t="inlineStr"/>
    </row>
    <row r="232" ht="15" customHeight="1">
      <c r="A232" t="inlineStr">
        <is>
          <t>A 22364-2025</t>
        </is>
      </c>
      <c r="B232" s="1" t="n">
        <v>45786.46930555555</v>
      </c>
      <c r="C232" s="1" t="n">
        <v>46092</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55945-2024</t>
        </is>
      </c>
      <c r="B233" s="1" t="n">
        <v>45623.61754629629</v>
      </c>
      <c r="C233" s="1" t="n">
        <v>46092</v>
      </c>
      <c r="D233" t="inlineStr">
        <is>
          <t>ÖSTERGÖTLANDS LÄN</t>
        </is>
      </c>
      <c r="E233" t="inlineStr">
        <is>
          <t>LINKÖPING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34928-2023</t>
        </is>
      </c>
      <c r="B234" s="1" t="n">
        <v>45142</v>
      </c>
      <c r="C234" s="1" t="n">
        <v>46092</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572-2025</t>
        </is>
      </c>
      <c r="B235" s="1" t="n">
        <v>45664.56349537037</v>
      </c>
      <c r="C235" s="1" t="n">
        <v>46092</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1263-2024</t>
        </is>
      </c>
      <c r="B236" s="1" t="n">
        <v>45302</v>
      </c>
      <c r="C236" s="1" t="n">
        <v>46092</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56113-2025</t>
        </is>
      </c>
      <c r="B237" s="1" t="n">
        <v>45973.73924768518</v>
      </c>
      <c r="C237" s="1" t="n">
        <v>46092</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52531-2023</t>
        </is>
      </c>
      <c r="B238" s="1" t="n">
        <v>45225</v>
      </c>
      <c r="C238" s="1" t="n">
        <v>46092</v>
      </c>
      <c r="D238" t="inlineStr">
        <is>
          <t>ÖSTERGÖTLANDS LÄN</t>
        </is>
      </c>
      <c r="E238" t="inlineStr">
        <is>
          <t>LINKÖPING</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10797-2024</t>
        </is>
      </c>
      <c r="B239" s="1" t="n">
        <v>45369.6190162037</v>
      </c>
      <c r="C239" s="1" t="n">
        <v>46092</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56105-2025</t>
        </is>
      </c>
      <c r="B240" s="1" t="n">
        <v>45973.72855324074</v>
      </c>
      <c r="C240" s="1" t="n">
        <v>46092</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56403-2025</t>
        </is>
      </c>
      <c r="B241" s="1" t="n">
        <v>45974</v>
      </c>
      <c r="C241" s="1" t="n">
        <v>46092</v>
      </c>
      <c r="D241" t="inlineStr">
        <is>
          <t>ÖSTERGÖTLANDS LÄN</t>
        </is>
      </c>
      <c r="E241" t="inlineStr">
        <is>
          <t>LINKÖPING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38580-2024</t>
        </is>
      </c>
      <c r="B242" s="1" t="n">
        <v>45546.64825231482</v>
      </c>
      <c r="C242" s="1" t="n">
        <v>46092</v>
      </c>
      <c r="D242" t="inlineStr">
        <is>
          <t>ÖSTERGÖTLANDS LÄN</t>
        </is>
      </c>
      <c r="E242" t="inlineStr">
        <is>
          <t>LINKÖPING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20291-2025</t>
        </is>
      </c>
      <c r="B243" s="1" t="n">
        <v>45774.74288194445</v>
      </c>
      <c r="C243" s="1" t="n">
        <v>46092</v>
      </c>
      <c r="D243" t="inlineStr">
        <is>
          <t>ÖSTERGÖTLANDS LÄN</t>
        </is>
      </c>
      <c r="E243" t="inlineStr">
        <is>
          <t>LINKÖPING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20293-2025</t>
        </is>
      </c>
      <c r="B244" s="1" t="n">
        <v>45774.74611111111</v>
      </c>
      <c r="C244" s="1" t="n">
        <v>46092</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57752-2023</t>
        </is>
      </c>
      <c r="B245" s="1" t="n">
        <v>45246.78474537037</v>
      </c>
      <c r="C245" s="1" t="n">
        <v>46092</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56704-2025</t>
        </is>
      </c>
      <c r="B246" s="1" t="n">
        <v>45977.50608796296</v>
      </c>
      <c r="C246" s="1" t="n">
        <v>46092</v>
      </c>
      <c r="D246" t="inlineStr">
        <is>
          <t>ÖSTERGÖTLANDS LÄN</t>
        </is>
      </c>
      <c r="E246" t="inlineStr">
        <is>
          <t>LINKÖPING</t>
        </is>
      </c>
      <c r="F246" t="inlineStr">
        <is>
          <t>Övriga Aktiebolag</t>
        </is>
      </c>
      <c r="G246" t="n">
        <v>0.6</v>
      </c>
      <c r="H246" t="n">
        <v>0</v>
      </c>
      <c r="I246" t="n">
        <v>0</v>
      </c>
      <c r="J246" t="n">
        <v>0</v>
      </c>
      <c r="K246" t="n">
        <v>0</v>
      </c>
      <c r="L246" t="n">
        <v>0</v>
      </c>
      <c r="M246" t="n">
        <v>0</v>
      </c>
      <c r="N246" t="n">
        <v>0</v>
      </c>
      <c r="O246" t="n">
        <v>0</v>
      </c>
      <c r="P246" t="n">
        <v>0</v>
      </c>
      <c r="Q246" t="n">
        <v>0</v>
      </c>
      <c r="R246" s="2" t="inlineStr"/>
    </row>
    <row r="247" ht="15" customHeight="1">
      <c r="A247" t="inlineStr">
        <is>
          <t>A 29312-2024</t>
        </is>
      </c>
      <c r="B247" s="1" t="n">
        <v>45483</v>
      </c>
      <c r="C247" s="1" t="n">
        <v>46092</v>
      </c>
      <c r="D247" t="inlineStr">
        <is>
          <t>ÖSTERGÖTLANDS LÄN</t>
        </is>
      </c>
      <c r="E247" t="inlineStr">
        <is>
          <t>LINKÖPING</t>
        </is>
      </c>
      <c r="G247" t="n">
        <v>2.1</v>
      </c>
      <c r="H247" t="n">
        <v>0</v>
      </c>
      <c r="I247" t="n">
        <v>0</v>
      </c>
      <c r="J247" t="n">
        <v>0</v>
      </c>
      <c r="K247" t="n">
        <v>0</v>
      </c>
      <c r="L247" t="n">
        <v>0</v>
      </c>
      <c r="M247" t="n">
        <v>0</v>
      </c>
      <c r="N247" t="n">
        <v>0</v>
      </c>
      <c r="O247" t="n">
        <v>0</v>
      </c>
      <c r="P247" t="n">
        <v>0</v>
      </c>
      <c r="Q247" t="n">
        <v>0</v>
      </c>
      <c r="R247" s="2" t="inlineStr"/>
    </row>
    <row r="248" ht="15" customHeight="1">
      <c r="A248" t="inlineStr">
        <is>
          <t>A 23120-2025</t>
        </is>
      </c>
      <c r="B248" s="1" t="n">
        <v>45791.37481481482</v>
      </c>
      <c r="C248" s="1" t="n">
        <v>46092</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3008-2023</t>
        </is>
      </c>
      <c r="B249" s="1" t="n">
        <v>44945.79784722222</v>
      </c>
      <c r="C249" s="1" t="n">
        <v>46092</v>
      </c>
      <c r="D249" t="inlineStr">
        <is>
          <t>ÖSTERGÖTLANDS LÄN</t>
        </is>
      </c>
      <c r="E249" t="inlineStr">
        <is>
          <t>LINKÖPING</t>
        </is>
      </c>
      <c r="G249" t="n">
        <v>19.3</v>
      </c>
      <c r="H249" t="n">
        <v>0</v>
      </c>
      <c r="I249" t="n">
        <v>0</v>
      </c>
      <c r="J249" t="n">
        <v>0</v>
      </c>
      <c r="K249" t="n">
        <v>0</v>
      </c>
      <c r="L249" t="n">
        <v>0</v>
      </c>
      <c r="M249" t="n">
        <v>0</v>
      </c>
      <c r="N249" t="n">
        <v>0</v>
      </c>
      <c r="O249" t="n">
        <v>0</v>
      </c>
      <c r="P249" t="n">
        <v>0</v>
      </c>
      <c r="Q249" t="n">
        <v>0</v>
      </c>
      <c r="R249" s="2" t="inlineStr"/>
    </row>
    <row r="250" ht="15" customHeight="1">
      <c r="A250" t="inlineStr">
        <is>
          <t>A 3041-2024</t>
        </is>
      </c>
      <c r="B250" s="1" t="n">
        <v>45316.34875</v>
      </c>
      <c r="C250" s="1" t="n">
        <v>46092</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50963-2021</t>
        </is>
      </c>
      <c r="B251" s="1" t="n">
        <v>44460</v>
      </c>
      <c r="C251" s="1" t="n">
        <v>46092</v>
      </c>
      <c r="D251" t="inlineStr">
        <is>
          <t>ÖSTERGÖTLANDS LÄN</t>
        </is>
      </c>
      <c r="E251" t="inlineStr">
        <is>
          <t>LINKÖPING</t>
        </is>
      </c>
      <c r="G251" t="n">
        <v>4.4</v>
      </c>
      <c r="H251" t="n">
        <v>0</v>
      </c>
      <c r="I251" t="n">
        <v>0</v>
      </c>
      <c r="J251" t="n">
        <v>0</v>
      </c>
      <c r="K251" t="n">
        <v>0</v>
      </c>
      <c r="L251" t="n">
        <v>0</v>
      </c>
      <c r="M251" t="n">
        <v>0</v>
      </c>
      <c r="N251" t="n">
        <v>0</v>
      </c>
      <c r="O251" t="n">
        <v>0</v>
      </c>
      <c r="P251" t="n">
        <v>0</v>
      </c>
      <c r="Q251" t="n">
        <v>0</v>
      </c>
      <c r="R251" s="2" t="inlineStr"/>
    </row>
    <row r="252" ht="15" customHeight="1">
      <c r="A252" t="inlineStr">
        <is>
          <t>A 61307-2021</t>
        </is>
      </c>
      <c r="B252" s="1" t="n">
        <v>44498.63928240741</v>
      </c>
      <c r="C252" s="1" t="n">
        <v>46092</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61325-2021</t>
        </is>
      </c>
      <c r="B253" s="1" t="n">
        <v>44498.66814814815</v>
      </c>
      <c r="C253" s="1" t="n">
        <v>46092</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63665-2023</t>
        </is>
      </c>
      <c r="B254" s="1" t="n">
        <v>45275</v>
      </c>
      <c r="C254" s="1" t="n">
        <v>46092</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33867-2023</t>
        </is>
      </c>
      <c r="B255" s="1" t="n">
        <v>45133.94640046296</v>
      </c>
      <c r="C255" s="1" t="n">
        <v>46092</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39438-2025</t>
        </is>
      </c>
      <c r="B256" s="1" t="n">
        <v>45889.68641203704</v>
      </c>
      <c r="C256" s="1" t="n">
        <v>46092</v>
      </c>
      <c r="D256" t="inlineStr">
        <is>
          <t>ÖSTERGÖTLANDS LÄN</t>
        </is>
      </c>
      <c r="E256" t="inlineStr">
        <is>
          <t>LINKÖPING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27264-2025</t>
        </is>
      </c>
      <c r="B257" s="1" t="n">
        <v>45812.4794212963</v>
      </c>
      <c r="C257" s="1" t="n">
        <v>46092</v>
      </c>
      <c r="D257" t="inlineStr">
        <is>
          <t>ÖSTERGÖTLANDS LÄN</t>
        </is>
      </c>
      <c r="E257" t="inlineStr">
        <is>
          <t>LINKÖPING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30985-2022</t>
        </is>
      </c>
      <c r="B258" s="1" t="n">
        <v>44768</v>
      </c>
      <c r="C258" s="1" t="n">
        <v>46092</v>
      </c>
      <c r="D258" t="inlineStr">
        <is>
          <t>ÖSTERGÖTLANDS LÄN</t>
        </is>
      </c>
      <c r="E258" t="inlineStr">
        <is>
          <t>LINKÖPING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38317-2024</t>
        </is>
      </c>
      <c r="B259" s="1" t="n">
        <v>45545.65766203704</v>
      </c>
      <c r="C259" s="1" t="n">
        <v>46092</v>
      </c>
      <c r="D259" t="inlineStr">
        <is>
          <t>ÖSTERGÖTLANDS LÄN</t>
        </is>
      </c>
      <c r="E259" t="inlineStr">
        <is>
          <t>LINKÖPING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39074-2025</t>
        </is>
      </c>
      <c r="B260" s="1" t="n">
        <v>45888</v>
      </c>
      <c r="C260" s="1" t="n">
        <v>46092</v>
      </c>
      <c r="D260" t="inlineStr">
        <is>
          <t>ÖSTERGÖTLANDS LÄN</t>
        </is>
      </c>
      <c r="E260" t="inlineStr">
        <is>
          <t>LINKÖPING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72567-2021</t>
        </is>
      </c>
      <c r="B261" s="1" t="n">
        <v>44546.45023148148</v>
      </c>
      <c r="C261" s="1" t="n">
        <v>46092</v>
      </c>
      <c r="D261" t="inlineStr">
        <is>
          <t>ÖSTERGÖTLANDS LÄN</t>
        </is>
      </c>
      <c r="E261" t="inlineStr">
        <is>
          <t>LINKÖPING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58802-2025</t>
        </is>
      </c>
      <c r="B262" s="1" t="n">
        <v>45986.8768287037</v>
      </c>
      <c r="C262" s="1" t="n">
        <v>46092</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55004-2025</t>
        </is>
      </c>
      <c r="B263" s="1" t="n">
        <v>45967</v>
      </c>
      <c r="C263" s="1" t="n">
        <v>46092</v>
      </c>
      <c r="D263" t="inlineStr">
        <is>
          <t>ÖSTERGÖTLANDS LÄN</t>
        </is>
      </c>
      <c r="E263" t="inlineStr">
        <is>
          <t>LINKÖPING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58947-2022</t>
        </is>
      </c>
      <c r="B264" s="1" t="n">
        <v>44903.64769675926</v>
      </c>
      <c r="C264" s="1" t="n">
        <v>46092</v>
      </c>
      <c r="D264" t="inlineStr">
        <is>
          <t>ÖSTERGÖTLANDS LÄN</t>
        </is>
      </c>
      <c r="E264" t="inlineStr">
        <is>
          <t>LINKÖPING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59205-2025</t>
        </is>
      </c>
      <c r="B265" s="1" t="n">
        <v>45988.60721064815</v>
      </c>
      <c r="C265" s="1" t="n">
        <v>46092</v>
      </c>
      <c r="D265" t="inlineStr">
        <is>
          <t>ÖSTERGÖTLANDS LÄN</t>
        </is>
      </c>
      <c r="E265" t="inlineStr">
        <is>
          <t>LINKÖPING</t>
        </is>
      </c>
      <c r="F265" t="inlineStr">
        <is>
          <t>Sveaskog</t>
        </is>
      </c>
      <c r="G265" t="n">
        <v>11.3</v>
      </c>
      <c r="H265" t="n">
        <v>0</v>
      </c>
      <c r="I265" t="n">
        <v>0</v>
      </c>
      <c r="J265" t="n">
        <v>0</v>
      </c>
      <c r="K265" t="n">
        <v>0</v>
      </c>
      <c r="L265" t="n">
        <v>0</v>
      </c>
      <c r="M265" t="n">
        <v>0</v>
      </c>
      <c r="N265" t="n">
        <v>0</v>
      </c>
      <c r="O265" t="n">
        <v>0</v>
      </c>
      <c r="P265" t="n">
        <v>0</v>
      </c>
      <c r="Q265" t="n">
        <v>0</v>
      </c>
      <c r="R265" s="2" t="inlineStr"/>
    </row>
    <row r="266" ht="15" customHeight="1">
      <c r="A266" t="inlineStr">
        <is>
          <t>A 40169-2025</t>
        </is>
      </c>
      <c r="B266" s="1" t="n">
        <v>45894.62824074074</v>
      </c>
      <c r="C266" s="1" t="n">
        <v>46092</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16665-2023</t>
        </is>
      </c>
      <c r="B267" s="1" t="n">
        <v>45030.5583912037</v>
      </c>
      <c r="C267" s="1" t="n">
        <v>46092</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59472-2025</t>
        </is>
      </c>
      <c r="B268" s="1" t="n">
        <v>45989.58321759259</v>
      </c>
      <c r="C268" s="1" t="n">
        <v>46092</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23768-2025</t>
        </is>
      </c>
      <c r="B269" s="1" t="n">
        <v>45793.47493055555</v>
      </c>
      <c r="C269" s="1" t="n">
        <v>46092</v>
      </c>
      <c r="D269" t="inlineStr">
        <is>
          <t>ÖSTERGÖTLANDS LÄN</t>
        </is>
      </c>
      <c r="E269" t="inlineStr">
        <is>
          <t>LINKÖPING</t>
        </is>
      </c>
      <c r="G269" t="n">
        <v>3.4</v>
      </c>
      <c r="H269" t="n">
        <v>0</v>
      </c>
      <c r="I269" t="n">
        <v>0</v>
      </c>
      <c r="J269" t="n">
        <v>0</v>
      </c>
      <c r="K269" t="n">
        <v>0</v>
      </c>
      <c r="L269" t="n">
        <v>0</v>
      </c>
      <c r="M269" t="n">
        <v>0</v>
      </c>
      <c r="N269" t="n">
        <v>0</v>
      </c>
      <c r="O269" t="n">
        <v>0</v>
      </c>
      <c r="P269" t="n">
        <v>0</v>
      </c>
      <c r="Q269" t="n">
        <v>0</v>
      </c>
      <c r="R269" s="2" t="inlineStr"/>
    </row>
    <row r="270" ht="15" customHeight="1">
      <c r="A270" t="inlineStr">
        <is>
          <t>A 60001-2022</t>
        </is>
      </c>
      <c r="B270" s="1" t="n">
        <v>44909.47087962963</v>
      </c>
      <c r="C270" s="1" t="n">
        <v>46092</v>
      </c>
      <c r="D270" t="inlineStr">
        <is>
          <t>ÖSTERGÖTLANDS LÄN</t>
        </is>
      </c>
      <c r="E270" t="inlineStr">
        <is>
          <t>LINKÖPING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60013-2022</t>
        </is>
      </c>
      <c r="B271" s="1" t="n">
        <v>44909.47482638889</v>
      </c>
      <c r="C271" s="1" t="n">
        <v>46092</v>
      </c>
      <c r="D271" t="inlineStr">
        <is>
          <t>ÖSTERGÖTLANDS LÄN</t>
        </is>
      </c>
      <c r="E271" t="inlineStr">
        <is>
          <t>LINKÖPING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1211-2023</t>
        </is>
      </c>
      <c r="B272" s="1" t="n">
        <v>44930</v>
      </c>
      <c r="C272" s="1" t="n">
        <v>46092</v>
      </c>
      <c r="D272" t="inlineStr">
        <is>
          <t>ÖSTERGÖTLANDS LÄN</t>
        </is>
      </c>
      <c r="E272" t="inlineStr">
        <is>
          <t>LINKÖPING</t>
        </is>
      </c>
      <c r="F272" t="inlineStr">
        <is>
          <t>Övriga statliga verk och myndigheter</t>
        </is>
      </c>
      <c r="G272" t="n">
        <v>7.9</v>
      </c>
      <c r="H272" t="n">
        <v>0</v>
      </c>
      <c r="I272" t="n">
        <v>0</v>
      </c>
      <c r="J272" t="n">
        <v>0</v>
      </c>
      <c r="K272" t="n">
        <v>0</v>
      </c>
      <c r="L272" t="n">
        <v>0</v>
      </c>
      <c r="M272" t="n">
        <v>0</v>
      </c>
      <c r="N272" t="n">
        <v>0</v>
      </c>
      <c r="O272" t="n">
        <v>0</v>
      </c>
      <c r="P272" t="n">
        <v>0</v>
      </c>
      <c r="Q272" t="n">
        <v>0</v>
      </c>
      <c r="R272" s="2" t="inlineStr"/>
    </row>
    <row r="273" ht="15" customHeight="1">
      <c r="A273" t="inlineStr">
        <is>
          <t>A 60087-2025</t>
        </is>
      </c>
      <c r="B273" s="1" t="n">
        <v>45993.71726851852</v>
      </c>
      <c r="C273" s="1" t="n">
        <v>46092</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38136-2023</t>
        </is>
      </c>
      <c r="B274" s="1" t="n">
        <v>45161.37310185185</v>
      </c>
      <c r="C274" s="1" t="n">
        <v>46092</v>
      </c>
      <c r="D274" t="inlineStr">
        <is>
          <t>ÖSTERGÖTLANDS LÄN</t>
        </is>
      </c>
      <c r="E274" t="inlineStr">
        <is>
          <t>LINKÖPING</t>
        </is>
      </c>
      <c r="G274" t="n">
        <v>5.6</v>
      </c>
      <c r="H274" t="n">
        <v>0</v>
      </c>
      <c r="I274" t="n">
        <v>0</v>
      </c>
      <c r="J274" t="n">
        <v>0</v>
      </c>
      <c r="K274" t="n">
        <v>0</v>
      </c>
      <c r="L274" t="n">
        <v>0</v>
      </c>
      <c r="M274" t="n">
        <v>0</v>
      </c>
      <c r="N274" t="n">
        <v>0</v>
      </c>
      <c r="O274" t="n">
        <v>0</v>
      </c>
      <c r="P274" t="n">
        <v>0</v>
      </c>
      <c r="Q274" t="n">
        <v>0</v>
      </c>
      <c r="R274" s="2" t="inlineStr"/>
    </row>
    <row r="275" ht="15" customHeight="1">
      <c r="A275" t="inlineStr">
        <is>
          <t>A 60306-2025</t>
        </is>
      </c>
      <c r="B275" s="1" t="n">
        <v>45994.68326388889</v>
      </c>
      <c r="C275" s="1" t="n">
        <v>46092</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60284-2025</t>
        </is>
      </c>
      <c r="B276" s="1" t="n">
        <v>45994.64373842593</v>
      </c>
      <c r="C276" s="1" t="n">
        <v>46092</v>
      </c>
      <c r="D276" t="inlineStr">
        <is>
          <t>ÖSTERGÖTLANDS LÄN</t>
        </is>
      </c>
      <c r="E276" t="inlineStr">
        <is>
          <t>LINKÖPING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12317-2025</t>
        </is>
      </c>
      <c r="B277" s="1" t="n">
        <v>45729.8487037037</v>
      </c>
      <c r="C277" s="1" t="n">
        <v>46092</v>
      </c>
      <c r="D277" t="inlineStr">
        <is>
          <t>ÖSTERGÖTLANDS LÄN</t>
        </is>
      </c>
      <c r="E277" t="inlineStr">
        <is>
          <t>LINKÖPING</t>
        </is>
      </c>
      <c r="G277" t="n">
        <v>8</v>
      </c>
      <c r="H277" t="n">
        <v>0</v>
      </c>
      <c r="I277" t="n">
        <v>0</v>
      </c>
      <c r="J277" t="n">
        <v>0</v>
      </c>
      <c r="K277" t="n">
        <v>0</v>
      </c>
      <c r="L277" t="n">
        <v>0</v>
      </c>
      <c r="M277" t="n">
        <v>0</v>
      </c>
      <c r="N277" t="n">
        <v>0</v>
      </c>
      <c r="O277" t="n">
        <v>0</v>
      </c>
      <c r="P277" t="n">
        <v>0</v>
      </c>
      <c r="Q277" t="n">
        <v>0</v>
      </c>
      <c r="R277" s="2" t="inlineStr"/>
    </row>
    <row r="278" ht="15" customHeight="1">
      <c r="A278" t="inlineStr">
        <is>
          <t>A 36557-2023</t>
        </is>
      </c>
      <c r="B278" s="1" t="n">
        <v>45153</v>
      </c>
      <c r="C278" s="1" t="n">
        <v>46092</v>
      </c>
      <c r="D278" t="inlineStr">
        <is>
          <t>ÖSTERGÖTLANDS LÄN</t>
        </is>
      </c>
      <c r="E278" t="inlineStr">
        <is>
          <t>LINKÖPING</t>
        </is>
      </c>
      <c r="F278" t="inlineStr">
        <is>
          <t>Övriga Aktiebolag</t>
        </is>
      </c>
      <c r="G278" t="n">
        <v>3.1</v>
      </c>
      <c r="H278" t="n">
        <v>0</v>
      </c>
      <c r="I278" t="n">
        <v>0</v>
      </c>
      <c r="J278" t="n">
        <v>0</v>
      </c>
      <c r="K278" t="n">
        <v>0</v>
      </c>
      <c r="L278" t="n">
        <v>0</v>
      </c>
      <c r="M278" t="n">
        <v>0</v>
      </c>
      <c r="N278" t="n">
        <v>0</v>
      </c>
      <c r="O278" t="n">
        <v>0</v>
      </c>
      <c r="P278" t="n">
        <v>0</v>
      </c>
      <c r="Q278" t="n">
        <v>0</v>
      </c>
      <c r="R278" s="2" t="inlineStr"/>
    </row>
    <row r="279" ht="15" customHeight="1">
      <c r="A279" t="inlineStr">
        <is>
          <t>A 2085-2024</t>
        </is>
      </c>
      <c r="B279" s="1" t="n">
        <v>45309</v>
      </c>
      <c r="C279" s="1" t="n">
        <v>46092</v>
      </c>
      <c r="D279" t="inlineStr">
        <is>
          <t>ÖSTERGÖTLANDS LÄN</t>
        </is>
      </c>
      <c r="E279" t="inlineStr">
        <is>
          <t>LINKÖPING</t>
        </is>
      </c>
      <c r="G279" t="n">
        <v>4.5</v>
      </c>
      <c r="H279" t="n">
        <v>0</v>
      </c>
      <c r="I279" t="n">
        <v>0</v>
      </c>
      <c r="J279" t="n">
        <v>0</v>
      </c>
      <c r="K279" t="n">
        <v>0</v>
      </c>
      <c r="L279" t="n">
        <v>0</v>
      </c>
      <c r="M279" t="n">
        <v>0</v>
      </c>
      <c r="N279" t="n">
        <v>0</v>
      </c>
      <c r="O279" t="n">
        <v>0</v>
      </c>
      <c r="P279" t="n">
        <v>0</v>
      </c>
      <c r="Q279" t="n">
        <v>0</v>
      </c>
      <c r="R279" s="2" t="inlineStr"/>
    </row>
    <row r="280" ht="15" customHeight="1">
      <c r="A280" t="inlineStr">
        <is>
          <t>A 60703-2025</t>
        </is>
      </c>
      <c r="B280" s="1" t="n">
        <v>45996.6052662037</v>
      </c>
      <c r="C280" s="1" t="n">
        <v>46092</v>
      </c>
      <c r="D280" t="inlineStr">
        <is>
          <t>ÖSTERGÖTLANDS LÄN</t>
        </is>
      </c>
      <c r="E280" t="inlineStr">
        <is>
          <t>LINKÖPING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60866-2025</t>
        </is>
      </c>
      <c r="B281" s="1" t="n">
        <v>45999</v>
      </c>
      <c r="C281" s="1" t="n">
        <v>46092</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30468-2023</t>
        </is>
      </c>
      <c r="B282" s="1" t="n">
        <v>45111.58732638889</v>
      </c>
      <c r="C282" s="1" t="n">
        <v>46092</v>
      </c>
      <c r="D282" t="inlineStr">
        <is>
          <t>ÖSTERGÖTLANDS LÄN</t>
        </is>
      </c>
      <c r="E282" t="inlineStr">
        <is>
          <t>LINKÖPING</t>
        </is>
      </c>
      <c r="G282" t="n">
        <v>10.1</v>
      </c>
      <c r="H282" t="n">
        <v>0</v>
      </c>
      <c r="I282" t="n">
        <v>0</v>
      </c>
      <c r="J282" t="n">
        <v>0</v>
      </c>
      <c r="K282" t="n">
        <v>0</v>
      </c>
      <c r="L282" t="n">
        <v>0</v>
      </c>
      <c r="M282" t="n">
        <v>0</v>
      </c>
      <c r="N282" t="n">
        <v>0</v>
      </c>
      <c r="O282" t="n">
        <v>0</v>
      </c>
      <c r="P282" t="n">
        <v>0</v>
      </c>
      <c r="Q282" t="n">
        <v>0</v>
      </c>
      <c r="R282" s="2" t="inlineStr"/>
    </row>
    <row r="283" ht="15" customHeight="1">
      <c r="A283" t="inlineStr">
        <is>
          <t>A 38715-2023</t>
        </is>
      </c>
      <c r="B283" s="1" t="n">
        <v>45160</v>
      </c>
      <c r="C283" s="1" t="n">
        <v>46092</v>
      </c>
      <c r="D283" t="inlineStr">
        <is>
          <t>ÖSTERGÖTLANDS LÄN</t>
        </is>
      </c>
      <c r="E283" t="inlineStr">
        <is>
          <t>LINKÖPING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41511-2025</t>
        </is>
      </c>
      <c r="B284" s="1" t="n">
        <v>45901.53839120371</v>
      </c>
      <c r="C284" s="1" t="n">
        <v>46092</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61230-2025</t>
        </is>
      </c>
      <c r="B285" s="1" t="n">
        <v>46000.63111111111</v>
      </c>
      <c r="C285" s="1" t="n">
        <v>46092</v>
      </c>
      <c r="D285" t="inlineStr">
        <is>
          <t>ÖSTERGÖTLANDS LÄN</t>
        </is>
      </c>
      <c r="E285" t="inlineStr">
        <is>
          <t>LINKÖPING</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48699-2024</t>
        </is>
      </c>
      <c r="B286" s="1" t="n">
        <v>45593.52091435185</v>
      </c>
      <c r="C286" s="1" t="n">
        <v>46092</v>
      </c>
      <c r="D286" t="inlineStr">
        <is>
          <t>ÖSTERGÖTLANDS LÄN</t>
        </is>
      </c>
      <c r="E286" t="inlineStr">
        <is>
          <t>LINKÖPING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34864-2023</t>
        </is>
      </c>
      <c r="B287" s="1" t="n">
        <v>45141</v>
      </c>
      <c r="C287" s="1" t="n">
        <v>46092</v>
      </c>
      <c r="D287" t="inlineStr">
        <is>
          <t>ÖSTERGÖTLANDS LÄN</t>
        </is>
      </c>
      <c r="E287" t="inlineStr">
        <is>
          <t>LINKÖPING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61447-2025</t>
        </is>
      </c>
      <c r="B288" s="1" t="n">
        <v>46001.57554398148</v>
      </c>
      <c r="C288" s="1" t="n">
        <v>46092</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46687-2021</t>
        </is>
      </c>
      <c r="B289" s="1" t="n">
        <v>44445</v>
      </c>
      <c r="C289" s="1" t="n">
        <v>46092</v>
      </c>
      <c r="D289" t="inlineStr">
        <is>
          <t>ÖSTERGÖTLANDS LÄN</t>
        </is>
      </c>
      <c r="E289" t="inlineStr">
        <is>
          <t>LINKÖPING</t>
        </is>
      </c>
      <c r="F289" t="inlineStr">
        <is>
          <t>Övriga statliga verk och myndigheter</t>
        </is>
      </c>
      <c r="G289" t="n">
        <v>2.3</v>
      </c>
      <c r="H289" t="n">
        <v>0</v>
      </c>
      <c r="I289" t="n">
        <v>0</v>
      </c>
      <c r="J289" t="n">
        <v>0</v>
      </c>
      <c r="K289" t="n">
        <v>0</v>
      </c>
      <c r="L289" t="n">
        <v>0</v>
      </c>
      <c r="M289" t="n">
        <v>0</v>
      </c>
      <c r="N289" t="n">
        <v>0</v>
      </c>
      <c r="O289" t="n">
        <v>0</v>
      </c>
      <c r="P289" t="n">
        <v>0</v>
      </c>
      <c r="Q289" t="n">
        <v>0</v>
      </c>
      <c r="R289" s="2" t="inlineStr"/>
    </row>
    <row r="290" ht="15" customHeight="1">
      <c r="A290" t="inlineStr">
        <is>
          <t>A 17103-2025</t>
        </is>
      </c>
      <c r="B290" s="1" t="n">
        <v>45755.66143518518</v>
      </c>
      <c r="C290" s="1" t="n">
        <v>46092</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41706-2025</t>
        </is>
      </c>
      <c r="B291" s="1" t="n">
        <v>45902.42209490741</v>
      </c>
      <c r="C291" s="1" t="n">
        <v>46092</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13911-2025</t>
        </is>
      </c>
      <c r="B292" s="1" t="n">
        <v>45737.64784722222</v>
      </c>
      <c r="C292" s="1" t="n">
        <v>46092</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61899-2025</t>
        </is>
      </c>
      <c r="B293" s="1" t="n">
        <v>46003.46635416667</v>
      </c>
      <c r="C293" s="1" t="n">
        <v>46092</v>
      </c>
      <c r="D293" t="inlineStr">
        <is>
          <t>ÖSTERGÖTLANDS LÄN</t>
        </is>
      </c>
      <c r="E293" t="inlineStr">
        <is>
          <t>LINKÖPING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3042-2024</t>
        </is>
      </c>
      <c r="B294" s="1" t="n">
        <v>45316.35028935185</v>
      </c>
      <c r="C294" s="1" t="n">
        <v>46092</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44280-2024</t>
        </is>
      </c>
      <c r="B295" s="1" t="n">
        <v>45573.49461805556</v>
      </c>
      <c r="C295" s="1" t="n">
        <v>46092</v>
      </c>
      <c r="D295" t="inlineStr">
        <is>
          <t>ÖSTERGÖTLANDS LÄN</t>
        </is>
      </c>
      <c r="E295" t="inlineStr">
        <is>
          <t>LINKÖPING</t>
        </is>
      </c>
      <c r="G295" t="n">
        <v>5.3</v>
      </c>
      <c r="H295" t="n">
        <v>0</v>
      </c>
      <c r="I295" t="n">
        <v>0</v>
      </c>
      <c r="J295" t="n">
        <v>0</v>
      </c>
      <c r="K295" t="n">
        <v>0</v>
      </c>
      <c r="L295" t="n">
        <v>0</v>
      </c>
      <c r="M295" t="n">
        <v>0</v>
      </c>
      <c r="N295" t="n">
        <v>0</v>
      </c>
      <c r="O295" t="n">
        <v>0</v>
      </c>
      <c r="P295" t="n">
        <v>0</v>
      </c>
      <c r="Q295" t="n">
        <v>0</v>
      </c>
      <c r="R295" s="2" t="inlineStr"/>
    </row>
    <row r="296" ht="15" customHeight="1">
      <c r="A296" t="inlineStr">
        <is>
          <t>A 29293-2025</t>
        </is>
      </c>
      <c r="B296" s="1" t="n">
        <v>45824</v>
      </c>
      <c r="C296" s="1" t="n">
        <v>46092</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42624-2025</t>
        </is>
      </c>
      <c r="B297" s="1" t="n">
        <v>45905</v>
      </c>
      <c r="C297" s="1" t="n">
        <v>46092</v>
      </c>
      <c r="D297" t="inlineStr">
        <is>
          <t>ÖSTERGÖTLANDS LÄN</t>
        </is>
      </c>
      <c r="E297" t="inlineStr">
        <is>
          <t>LINKÖPING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42626-2025</t>
        </is>
      </c>
      <c r="B298" s="1" t="n">
        <v>45905</v>
      </c>
      <c r="C298" s="1" t="n">
        <v>46092</v>
      </c>
      <c r="D298" t="inlineStr">
        <is>
          <t>ÖSTERGÖTLANDS LÄN</t>
        </is>
      </c>
      <c r="E298" t="inlineStr">
        <is>
          <t>LINKÖPING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40618-2021</t>
        </is>
      </c>
      <c r="B299" s="1" t="n">
        <v>44420.49575231481</v>
      </c>
      <c r="C299" s="1" t="n">
        <v>46092</v>
      </c>
      <c r="D299" t="inlineStr">
        <is>
          <t>ÖSTERGÖTLANDS LÄN</t>
        </is>
      </c>
      <c r="E299" t="inlineStr">
        <is>
          <t>LINKÖPING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61643-2025</t>
        </is>
      </c>
      <c r="B300" s="1" t="n">
        <v>46002.43575231481</v>
      </c>
      <c r="C300" s="1" t="n">
        <v>46092</v>
      </c>
      <c r="D300" t="inlineStr">
        <is>
          <t>ÖSTERGÖTLANDS LÄN</t>
        </is>
      </c>
      <c r="E300" t="inlineStr">
        <is>
          <t>LINKÖPING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56180-2024</t>
        </is>
      </c>
      <c r="B301" s="1" t="n">
        <v>45624.56611111111</v>
      </c>
      <c r="C301" s="1" t="n">
        <v>46092</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61645-2025</t>
        </is>
      </c>
      <c r="B302" s="1" t="n">
        <v>46002.43697916667</v>
      </c>
      <c r="C302" s="1" t="n">
        <v>46092</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42623-2025</t>
        </is>
      </c>
      <c r="B303" s="1" t="n">
        <v>45905</v>
      </c>
      <c r="C303" s="1" t="n">
        <v>46092</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30471-2023</t>
        </is>
      </c>
      <c r="B304" s="1" t="n">
        <v>45111.58931712963</v>
      </c>
      <c r="C304" s="1" t="n">
        <v>46092</v>
      </c>
      <c r="D304" t="inlineStr">
        <is>
          <t>ÖSTERGÖTLANDS LÄN</t>
        </is>
      </c>
      <c r="E304" t="inlineStr">
        <is>
          <t>LINKÖPING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62515-2025</t>
        </is>
      </c>
      <c r="B305" s="1" t="n">
        <v>46007.60548611111</v>
      </c>
      <c r="C305" s="1" t="n">
        <v>46092</v>
      </c>
      <c r="D305" t="inlineStr">
        <is>
          <t>ÖSTERGÖTLANDS LÄN</t>
        </is>
      </c>
      <c r="E305" t="inlineStr">
        <is>
          <t>LINKÖPING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227-2024</t>
        </is>
      </c>
      <c r="B306" s="1" t="n">
        <v>45294.73603009259</v>
      </c>
      <c r="C306" s="1" t="n">
        <v>46092</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44155-2024</t>
        </is>
      </c>
      <c r="B307" s="1" t="n">
        <v>45572.68226851852</v>
      </c>
      <c r="C307" s="1" t="n">
        <v>46092</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5545-2026</t>
        </is>
      </c>
      <c r="B308" s="1" t="n">
        <v>46050.70089120371</v>
      </c>
      <c r="C308" s="1" t="n">
        <v>46092</v>
      </c>
      <c r="D308" t="inlineStr">
        <is>
          <t>ÖSTERGÖTLANDS LÄN</t>
        </is>
      </c>
      <c r="E308" t="inlineStr">
        <is>
          <t>LINKÖPING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30434-2024</t>
        </is>
      </c>
      <c r="B309" s="1" t="n">
        <v>45491.69811342593</v>
      </c>
      <c r="C309" s="1" t="n">
        <v>46092</v>
      </c>
      <c r="D309" t="inlineStr">
        <is>
          <t>ÖSTERGÖTLANDS LÄN</t>
        </is>
      </c>
      <c r="E309" t="inlineStr">
        <is>
          <t>LINKÖPING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56917-2022</t>
        </is>
      </c>
      <c r="B310" s="1" t="n">
        <v>44894</v>
      </c>
      <c r="C310" s="1" t="n">
        <v>46092</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57766-2023</t>
        </is>
      </c>
      <c r="B311" s="1" t="n">
        <v>45246</v>
      </c>
      <c r="C311" s="1" t="n">
        <v>46092</v>
      </c>
      <c r="D311" t="inlineStr">
        <is>
          <t>ÖSTERGÖTLANDS LÄN</t>
        </is>
      </c>
      <c r="E311" t="inlineStr">
        <is>
          <t>LINKÖPING</t>
        </is>
      </c>
      <c r="F311" t="inlineStr">
        <is>
          <t>Allmännings- och besparingsskogar</t>
        </is>
      </c>
      <c r="G311" t="n">
        <v>12.8</v>
      </c>
      <c r="H311" t="n">
        <v>0</v>
      </c>
      <c r="I311" t="n">
        <v>0</v>
      </c>
      <c r="J311" t="n">
        <v>0</v>
      </c>
      <c r="K311" t="n">
        <v>0</v>
      </c>
      <c r="L311" t="n">
        <v>0</v>
      </c>
      <c r="M311" t="n">
        <v>0</v>
      </c>
      <c r="N311" t="n">
        <v>0</v>
      </c>
      <c r="O311" t="n">
        <v>0</v>
      </c>
      <c r="P311" t="n">
        <v>0</v>
      </c>
      <c r="Q311" t="n">
        <v>0</v>
      </c>
      <c r="R311" s="2" t="inlineStr"/>
    </row>
    <row r="312" ht="15" customHeight="1">
      <c r="A312" t="inlineStr">
        <is>
          <t>A 62791-2025</t>
        </is>
      </c>
      <c r="B312" s="1" t="n">
        <v>46008.63266203704</v>
      </c>
      <c r="C312" s="1" t="n">
        <v>46092</v>
      </c>
      <c r="D312" t="inlineStr">
        <is>
          <t>ÖSTERGÖTLANDS LÄN</t>
        </is>
      </c>
      <c r="E312" t="inlineStr">
        <is>
          <t>LINKÖPING</t>
        </is>
      </c>
      <c r="G312" t="n">
        <v>2.4</v>
      </c>
      <c r="H312" t="n">
        <v>0</v>
      </c>
      <c r="I312" t="n">
        <v>0</v>
      </c>
      <c r="J312" t="n">
        <v>0</v>
      </c>
      <c r="K312" t="n">
        <v>0</v>
      </c>
      <c r="L312" t="n">
        <v>0</v>
      </c>
      <c r="M312" t="n">
        <v>0</v>
      </c>
      <c r="N312" t="n">
        <v>0</v>
      </c>
      <c r="O312" t="n">
        <v>0</v>
      </c>
      <c r="P312" t="n">
        <v>0</v>
      </c>
      <c r="Q312" t="n">
        <v>0</v>
      </c>
      <c r="R312" s="2" t="inlineStr"/>
    </row>
    <row r="313" ht="15" customHeight="1">
      <c r="A313" t="inlineStr">
        <is>
          <t>A 62686-2025</t>
        </is>
      </c>
      <c r="B313" s="1" t="n">
        <v>46008.46769675926</v>
      </c>
      <c r="C313" s="1" t="n">
        <v>46092</v>
      </c>
      <c r="D313" t="inlineStr">
        <is>
          <t>ÖSTERGÖTLANDS LÄN</t>
        </is>
      </c>
      <c r="E313" t="inlineStr">
        <is>
          <t>LINKÖPING</t>
        </is>
      </c>
      <c r="G313" t="n">
        <v>7.6</v>
      </c>
      <c r="H313" t="n">
        <v>0</v>
      </c>
      <c r="I313" t="n">
        <v>0</v>
      </c>
      <c r="J313" t="n">
        <v>0</v>
      </c>
      <c r="K313" t="n">
        <v>0</v>
      </c>
      <c r="L313" t="n">
        <v>0</v>
      </c>
      <c r="M313" t="n">
        <v>0</v>
      </c>
      <c r="N313" t="n">
        <v>0</v>
      </c>
      <c r="O313" t="n">
        <v>0</v>
      </c>
      <c r="P313" t="n">
        <v>0</v>
      </c>
      <c r="Q313" t="n">
        <v>0</v>
      </c>
      <c r="R313" s="2" t="inlineStr"/>
    </row>
    <row r="314" ht="15" customHeight="1">
      <c r="A314" t="inlineStr">
        <is>
          <t>A 63147-2025</t>
        </is>
      </c>
      <c r="B314" s="1" t="n">
        <v>46010.35003472222</v>
      </c>
      <c r="C314" s="1" t="n">
        <v>46092</v>
      </c>
      <c r="D314" t="inlineStr">
        <is>
          <t>ÖSTERGÖTLANDS LÄN</t>
        </is>
      </c>
      <c r="E314" t="inlineStr">
        <is>
          <t>LINKÖPING</t>
        </is>
      </c>
      <c r="G314" t="n">
        <v>4</v>
      </c>
      <c r="H314" t="n">
        <v>0</v>
      </c>
      <c r="I314" t="n">
        <v>0</v>
      </c>
      <c r="J314" t="n">
        <v>0</v>
      </c>
      <c r="K314" t="n">
        <v>0</v>
      </c>
      <c r="L314" t="n">
        <v>0</v>
      </c>
      <c r="M314" t="n">
        <v>0</v>
      </c>
      <c r="N314" t="n">
        <v>0</v>
      </c>
      <c r="O314" t="n">
        <v>0</v>
      </c>
      <c r="P314" t="n">
        <v>0</v>
      </c>
      <c r="Q314" t="n">
        <v>0</v>
      </c>
      <c r="R314" s="2" t="inlineStr"/>
    </row>
    <row r="315" ht="15" customHeight="1">
      <c r="A315" t="inlineStr">
        <is>
          <t>A 44170-2025</t>
        </is>
      </c>
      <c r="B315" s="1" t="n">
        <v>45915.59864583334</v>
      </c>
      <c r="C315" s="1" t="n">
        <v>46092</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25568-2024</t>
        </is>
      </c>
      <c r="B316" s="1" t="n">
        <v>45463.58699074074</v>
      </c>
      <c r="C316" s="1" t="n">
        <v>46092</v>
      </c>
      <c r="D316" t="inlineStr">
        <is>
          <t>ÖSTERGÖTLANDS LÄN</t>
        </is>
      </c>
      <c r="E316" t="inlineStr">
        <is>
          <t>LINKÖPING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6164-2026</t>
        </is>
      </c>
      <c r="B317" s="1" t="n">
        <v>46055.32596064815</v>
      </c>
      <c r="C317" s="1" t="n">
        <v>46092</v>
      </c>
      <c r="D317" t="inlineStr">
        <is>
          <t>ÖSTERGÖTLANDS LÄN</t>
        </is>
      </c>
      <c r="E317" t="inlineStr">
        <is>
          <t>LINKÖPING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43755-2025</t>
        </is>
      </c>
      <c r="B318" s="1" t="n">
        <v>45912.47329861111</v>
      </c>
      <c r="C318" s="1" t="n">
        <v>46092</v>
      </c>
      <c r="D318" t="inlineStr">
        <is>
          <t>ÖSTERGÖTLANDS LÄN</t>
        </is>
      </c>
      <c r="E318" t="inlineStr">
        <is>
          <t>LINKÖPING</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43758-2025</t>
        </is>
      </c>
      <c r="B319" s="1" t="n">
        <v>45912.47711805555</v>
      </c>
      <c r="C319" s="1" t="n">
        <v>46092</v>
      </c>
      <c r="D319" t="inlineStr">
        <is>
          <t>ÖSTERGÖTLANDS LÄN</t>
        </is>
      </c>
      <c r="E319" t="inlineStr">
        <is>
          <t>LINKÖPING</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43753-2025</t>
        </is>
      </c>
      <c r="B320" s="1" t="n">
        <v>45912.4715625</v>
      </c>
      <c r="C320" s="1" t="n">
        <v>46092</v>
      </c>
      <c r="D320" t="inlineStr">
        <is>
          <t>ÖSTERGÖTLANDS LÄN</t>
        </is>
      </c>
      <c r="E320" t="inlineStr">
        <is>
          <t>LINKÖPING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22833-2023</t>
        </is>
      </c>
      <c r="B321" s="1" t="n">
        <v>45071</v>
      </c>
      <c r="C321" s="1" t="n">
        <v>46092</v>
      </c>
      <c r="D321" t="inlineStr">
        <is>
          <t>ÖSTERGÖTLANDS LÄN</t>
        </is>
      </c>
      <c r="E321" t="inlineStr">
        <is>
          <t>LINKÖPING</t>
        </is>
      </c>
      <c r="F321" t="inlineStr">
        <is>
          <t>Kommuner</t>
        </is>
      </c>
      <c r="G321" t="n">
        <v>1</v>
      </c>
      <c r="H321" t="n">
        <v>0</v>
      </c>
      <c r="I321" t="n">
        <v>0</v>
      </c>
      <c r="J321" t="n">
        <v>0</v>
      </c>
      <c r="K321" t="n">
        <v>0</v>
      </c>
      <c r="L321" t="n">
        <v>0</v>
      </c>
      <c r="M321" t="n">
        <v>0</v>
      </c>
      <c r="N321" t="n">
        <v>0</v>
      </c>
      <c r="O321" t="n">
        <v>0</v>
      </c>
      <c r="P321" t="n">
        <v>0</v>
      </c>
      <c r="Q321" t="n">
        <v>0</v>
      </c>
      <c r="R321" s="2" t="inlineStr"/>
    </row>
    <row r="322" ht="15" customHeight="1">
      <c r="A322" t="inlineStr">
        <is>
          <t>A 44759-2025</t>
        </is>
      </c>
      <c r="B322" s="1" t="n">
        <v>45917.7152662037</v>
      </c>
      <c r="C322" s="1" t="n">
        <v>46092</v>
      </c>
      <c r="D322" t="inlineStr">
        <is>
          <t>ÖSTERGÖTLANDS LÄN</t>
        </is>
      </c>
      <c r="E322" t="inlineStr">
        <is>
          <t>LINKÖPING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2997-2025</t>
        </is>
      </c>
      <c r="B323" s="1" t="n">
        <v>45678.54631944445</v>
      </c>
      <c r="C323" s="1" t="n">
        <v>46092</v>
      </c>
      <c r="D323" t="inlineStr">
        <is>
          <t>ÖSTERGÖTLANDS LÄN</t>
        </is>
      </c>
      <c r="E323" t="inlineStr">
        <is>
          <t>LINKÖPING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6384-2026</t>
        </is>
      </c>
      <c r="B324" s="1" t="n">
        <v>46055.63732638889</v>
      </c>
      <c r="C324" s="1" t="n">
        <v>46092</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63144-2025</t>
        </is>
      </c>
      <c r="B325" s="1" t="n">
        <v>46010.34716435185</v>
      </c>
      <c r="C325" s="1" t="n">
        <v>46092</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44764-2025</t>
        </is>
      </c>
      <c r="B326" s="1" t="n">
        <v>45917.72821759259</v>
      </c>
      <c r="C326" s="1" t="n">
        <v>46092</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41345-2021</t>
        </is>
      </c>
      <c r="B327" s="1" t="n">
        <v>44424.61851851852</v>
      </c>
      <c r="C327" s="1" t="n">
        <v>46092</v>
      </c>
      <c r="D327" t="inlineStr">
        <is>
          <t>ÖSTERGÖTLANDS LÄN</t>
        </is>
      </c>
      <c r="E327" t="inlineStr">
        <is>
          <t>LINKÖPING</t>
        </is>
      </c>
      <c r="F327" t="inlineStr">
        <is>
          <t>Sveaskog</t>
        </is>
      </c>
      <c r="G327" t="n">
        <v>6.3</v>
      </c>
      <c r="H327" t="n">
        <v>0</v>
      </c>
      <c r="I327" t="n">
        <v>0</v>
      </c>
      <c r="J327" t="n">
        <v>0</v>
      </c>
      <c r="K327" t="n">
        <v>0</v>
      </c>
      <c r="L327" t="n">
        <v>0</v>
      </c>
      <c r="M327" t="n">
        <v>0</v>
      </c>
      <c r="N327" t="n">
        <v>0</v>
      </c>
      <c r="O327" t="n">
        <v>0</v>
      </c>
      <c r="P327" t="n">
        <v>0</v>
      </c>
      <c r="Q327" t="n">
        <v>0</v>
      </c>
      <c r="R327" s="2" t="inlineStr"/>
    </row>
    <row r="328" ht="15" customHeight="1">
      <c r="A328" t="inlineStr">
        <is>
          <t>A 13266-2025</t>
        </is>
      </c>
      <c r="B328" s="1" t="n">
        <v>45735.53318287037</v>
      </c>
      <c r="C328" s="1" t="n">
        <v>46092</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16213-2025</t>
        </is>
      </c>
      <c r="B329" s="1" t="n">
        <v>45750.62740740741</v>
      </c>
      <c r="C329" s="1" t="n">
        <v>46092</v>
      </c>
      <c r="D329" t="inlineStr">
        <is>
          <t>ÖSTERGÖTLANDS LÄN</t>
        </is>
      </c>
      <c r="E329" t="inlineStr">
        <is>
          <t>LINKÖPING</t>
        </is>
      </c>
      <c r="G329" t="n">
        <v>3.4</v>
      </c>
      <c r="H329" t="n">
        <v>0</v>
      </c>
      <c r="I329" t="n">
        <v>0</v>
      </c>
      <c r="J329" t="n">
        <v>0</v>
      </c>
      <c r="K329" t="n">
        <v>0</v>
      </c>
      <c r="L329" t="n">
        <v>0</v>
      </c>
      <c r="M329" t="n">
        <v>0</v>
      </c>
      <c r="N329" t="n">
        <v>0</v>
      </c>
      <c r="O329" t="n">
        <v>0</v>
      </c>
      <c r="P329" t="n">
        <v>0</v>
      </c>
      <c r="Q329" t="n">
        <v>0</v>
      </c>
      <c r="R329" s="2" t="inlineStr"/>
    </row>
    <row r="330" ht="15" customHeight="1">
      <c r="A330" t="inlineStr">
        <is>
          <t>A 45112-2025</t>
        </is>
      </c>
      <c r="B330" s="1" t="n">
        <v>45919</v>
      </c>
      <c r="C330" s="1" t="n">
        <v>46092</v>
      </c>
      <c r="D330" t="inlineStr">
        <is>
          <t>ÖSTERGÖTLANDS LÄN</t>
        </is>
      </c>
      <c r="E330" t="inlineStr">
        <is>
          <t>LINKÖPING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45634-2025</t>
        </is>
      </c>
      <c r="B331" s="1" t="n">
        <v>45922.85089120371</v>
      </c>
      <c r="C331" s="1" t="n">
        <v>46092</v>
      </c>
      <c r="D331" t="inlineStr">
        <is>
          <t>ÖSTERGÖTLANDS LÄN</t>
        </is>
      </c>
      <c r="E331" t="inlineStr">
        <is>
          <t>LINKÖPING</t>
        </is>
      </c>
      <c r="F331" t="inlineStr">
        <is>
          <t>Övriga Aktiebolag</t>
        </is>
      </c>
      <c r="G331" t="n">
        <v>0.3</v>
      </c>
      <c r="H331" t="n">
        <v>0</v>
      </c>
      <c r="I331" t="n">
        <v>0</v>
      </c>
      <c r="J331" t="n">
        <v>0</v>
      </c>
      <c r="K331" t="n">
        <v>0</v>
      </c>
      <c r="L331" t="n">
        <v>0</v>
      </c>
      <c r="M331" t="n">
        <v>0</v>
      </c>
      <c r="N331" t="n">
        <v>0</v>
      </c>
      <c r="O331" t="n">
        <v>0</v>
      </c>
      <c r="P331" t="n">
        <v>0</v>
      </c>
      <c r="Q331" t="n">
        <v>0</v>
      </c>
      <c r="R331" s="2" t="inlineStr"/>
    </row>
    <row r="332" ht="15" customHeight="1">
      <c r="A332" t="inlineStr">
        <is>
          <t>A 46225-2021</t>
        </is>
      </c>
      <c r="B332" s="1" t="n">
        <v>44442</v>
      </c>
      <c r="C332" s="1" t="n">
        <v>46092</v>
      </c>
      <c r="D332" t="inlineStr">
        <is>
          <t>ÖSTERGÖTLANDS LÄN</t>
        </is>
      </c>
      <c r="E332" t="inlineStr">
        <is>
          <t>LINKÖPING</t>
        </is>
      </c>
      <c r="G332" t="n">
        <v>2.9</v>
      </c>
      <c r="H332" t="n">
        <v>0</v>
      </c>
      <c r="I332" t="n">
        <v>0</v>
      </c>
      <c r="J332" t="n">
        <v>0</v>
      </c>
      <c r="K332" t="n">
        <v>0</v>
      </c>
      <c r="L332" t="n">
        <v>0</v>
      </c>
      <c r="M332" t="n">
        <v>0</v>
      </c>
      <c r="N332" t="n">
        <v>0</v>
      </c>
      <c r="O332" t="n">
        <v>0</v>
      </c>
      <c r="P332" t="n">
        <v>0</v>
      </c>
      <c r="Q332" t="n">
        <v>0</v>
      </c>
      <c r="R332" s="2" t="inlineStr"/>
    </row>
    <row r="333" ht="15" customHeight="1">
      <c r="A333" t="inlineStr">
        <is>
          <t>A 25776-2021</t>
        </is>
      </c>
      <c r="B333" s="1" t="n">
        <v>44343</v>
      </c>
      <c r="C333" s="1" t="n">
        <v>46092</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51484-2023</t>
        </is>
      </c>
      <c r="B334" s="1" t="n">
        <v>45222</v>
      </c>
      <c r="C334" s="1" t="n">
        <v>46092</v>
      </c>
      <c r="D334" t="inlineStr">
        <is>
          <t>ÖSTERGÖTLANDS LÄN</t>
        </is>
      </c>
      <c r="E334" t="inlineStr">
        <is>
          <t>LINKÖPING</t>
        </is>
      </c>
      <c r="F334" t="inlineStr">
        <is>
          <t>Övriga Aktiebolag</t>
        </is>
      </c>
      <c r="G334" t="n">
        <v>7.7</v>
      </c>
      <c r="H334" t="n">
        <v>0</v>
      </c>
      <c r="I334" t="n">
        <v>0</v>
      </c>
      <c r="J334" t="n">
        <v>0</v>
      </c>
      <c r="K334" t="n">
        <v>0</v>
      </c>
      <c r="L334" t="n">
        <v>0</v>
      </c>
      <c r="M334" t="n">
        <v>0</v>
      </c>
      <c r="N334" t="n">
        <v>0</v>
      </c>
      <c r="O334" t="n">
        <v>0</v>
      </c>
      <c r="P334" t="n">
        <v>0</v>
      </c>
      <c r="Q334" t="n">
        <v>0</v>
      </c>
      <c r="R334" s="2" t="inlineStr"/>
    </row>
    <row r="335" ht="15" customHeight="1">
      <c r="A335" t="inlineStr">
        <is>
          <t>A 7133-2026</t>
        </is>
      </c>
      <c r="B335" s="1" t="n">
        <v>46057</v>
      </c>
      <c r="C335" s="1" t="n">
        <v>46092</v>
      </c>
      <c r="D335" t="inlineStr">
        <is>
          <t>ÖSTERGÖTLANDS LÄN</t>
        </is>
      </c>
      <c r="E335" t="inlineStr">
        <is>
          <t>LINKÖPING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17898-2022</t>
        </is>
      </c>
      <c r="B336" s="1" t="n">
        <v>44683</v>
      </c>
      <c r="C336" s="1" t="n">
        <v>46092</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63487-2023</t>
        </is>
      </c>
      <c r="B337" s="1" t="n">
        <v>45274.66712962963</v>
      </c>
      <c r="C337" s="1" t="n">
        <v>46092</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35463-2023</t>
        </is>
      </c>
      <c r="B338" s="1" t="n">
        <v>45146</v>
      </c>
      <c r="C338" s="1" t="n">
        <v>46092</v>
      </c>
      <c r="D338" t="inlineStr">
        <is>
          <t>ÖSTERGÖTLANDS LÄN</t>
        </is>
      </c>
      <c r="E338" t="inlineStr">
        <is>
          <t>LINKÖPING</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45792-2025</t>
        </is>
      </c>
      <c r="B339" s="1" t="n">
        <v>45923.56998842592</v>
      </c>
      <c r="C339" s="1" t="n">
        <v>46092</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45804-2025</t>
        </is>
      </c>
      <c r="B340" s="1" t="n">
        <v>45923.5819675926</v>
      </c>
      <c r="C340" s="1" t="n">
        <v>46092</v>
      </c>
      <c r="D340" t="inlineStr">
        <is>
          <t>ÖSTERGÖTLANDS LÄN</t>
        </is>
      </c>
      <c r="E340" t="inlineStr">
        <is>
          <t>LINKÖPING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46426-2025</t>
        </is>
      </c>
      <c r="B341" s="1" t="n">
        <v>45925.6012962963</v>
      </c>
      <c r="C341" s="1" t="n">
        <v>46092</v>
      </c>
      <c r="D341" t="inlineStr">
        <is>
          <t>ÖSTERGÖTLANDS LÄN</t>
        </is>
      </c>
      <c r="E341" t="inlineStr">
        <is>
          <t>LINKÖPING</t>
        </is>
      </c>
      <c r="G341" t="n">
        <v>4.4</v>
      </c>
      <c r="H341" t="n">
        <v>0</v>
      </c>
      <c r="I341" t="n">
        <v>0</v>
      </c>
      <c r="J341" t="n">
        <v>0</v>
      </c>
      <c r="K341" t="n">
        <v>0</v>
      </c>
      <c r="L341" t="n">
        <v>0</v>
      </c>
      <c r="M341" t="n">
        <v>0</v>
      </c>
      <c r="N341" t="n">
        <v>0</v>
      </c>
      <c r="O341" t="n">
        <v>0</v>
      </c>
      <c r="P341" t="n">
        <v>0</v>
      </c>
      <c r="Q341" t="n">
        <v>0</v>
      </c>
      <c r="R341" s="2" t="inlineStr"/>
    </row>
    <row r="342" ht="15" customHeight="1">
      <c r="A342" t="inlineStr">
        <is>
          <t>A 55632-2022</t>
        </is>
      </c>
      <c r="B342" s="1" t="n">
        <v>44888</v>
      </c>
      <c r="C342" s="1" t="n">
        <v>46092</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63559-2023</t>
        </is>
      </c>
      <c r="B343" s="1" t="n">
        <v>45275.35924768518</v>
      </c>
      <c r="C343" s="1" t="n">
        <v>46092</v>
      </c>
      <c r="D343" t="inlineStr">
        <is>
          <t>ÖSTERGÖTLANDS LÄN</t>
        </is>
      </c>
      <c r="E343" t="inlineStr">
        <is>
          <t>LINKÖPING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46428-2025</t>
        </is>
      </c>
      <c r="B344" s="1" t="n">
        <v>45925.60758101852</v>
      </c>
      <c r="C344" s="1" t="n">
        <v>46092</v>
      </c>
      <c r="D344" t="inlineStr">
        <is>
          <t>ÖSTERGÖTLANDS LÄN</t>
        </is>
      </c>
      <c r="E344" t="inlineStr">
        <is>
          <t>LINKÖPING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26002-2025</t>
        </is>
      </c>
      <c r="B345" s="1" t="n">
        <v>45804.66534722222</v>
      </c>
      <c r="C345" s="1" t="n">
        <v>46092</v>
      </c>
      <c r="D345" t="inlineStr">
        <is>
          <t>ÖSTERGÖTLANDS LÄN</t>
        </is>
      </c>
      <c r="E345" t="inlineStr">
        <is>
          <t>LINKÖPING</t>
        </is>
      </c>
      <c r="G345" t="n">
        <v>2.5</v>
      </c>
      <c r="H345" t="n">
        <v>0</v>
      </c>
      <c r="I345" t="n">
        <v>0</v>
      </c>
      <c r="J345" t="n">
        <v>0</v>
      </c>
      <c r="K345" t="n">
        <v>0</v>
      </c>
      <c r="L345" t="n">
        <v>0</v>
      </c>
      <c r="M345" t="n">
        <v>0</v>
      </c>
      <c r="N345" t="n">
        <v>0</v>
      </c>
      <c r="O345" t="n">
        <v>0</v>
      </c>
      <c r="P345" t="n">
        <v>0</v>
      </c>
      <c r="Q345" t="n">
        <v>0</v>
      </c>
      <c r="R345" s="2" t="inlineStr"/>
    </row>
    <row r="346" ht="15" customHeight="1">
      <c r="A346" t="inlineStr">
        <is>
          <t>A 58114-2021</t>
        </is>
      </c>
      <c r="B346" s="1" t="n">
        <v>44487</v>
      </c>
      <c r="C346" s="1" t="n">
        <v>46092</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46377-2025</t>
        </is>
      </c>
      <c r="B347" s="1" t="n">
        <v>45925.51773148148</v>
      </c>
      <c r="C347" s="1" t="n">
        <v>46092</v>
      </c>
      <c r="D347" t="inlineStr">
        <is>
          <t>ÖSTERGÖTLANDS LÄN</t>
        </is>
      </c>
      <c r="E347" t="inlineStr">
        <is>
          <t>LINKÖPING</t>
        </is>
      </c>
      <c r="G347" t="n">
        <v>3.1</v>
      </c>
      <c r="H347" t="n">
        <v>0</v>
      </c>
      <c r="I347" t="n">
        <v>0</v>
      </c>
      <c r="J347" t="n">
        <v>0</v>
      </c>
      <c r="K347" t="n">
        <v>0</v>
      </c>
      <c r="L347" t="n">
        <v>0</v>
      </c>
      <c r="M347" t="n">
        <v>0</v>
      </c>
      <c r="N347" t="n">
        <v>0</v>
      </c>
      <c r="O347" t="n">
        <v>0</v>
      </c>
      <c r="P347" t="n">
        <v>0</v>
      </c>
      <c r="Q347" t="n">
        <v>0</v>
      </c>
      <c r="R347" s="2" t="inlineStr"/>
    </row>
    <row r="348" ht="15" customHeight="1">
      <c r="A348" t="inlineStr">
        <is>
          <t>A 25996-2025</t>
        </is>
      </c>
      <c r="B348" s="1" t="n">
        <v>45804.65851851852</v>
      </c>
      <c r="C348" s="1" t="n">
        <v>46092</v>
      </c>
      <c r="D348" t="inlineStr">
        <is>
          <t>ÖSTERGÖTLANDS LÄN</t>
        </is>
      </c>
      <c r="E348" t="inlineStr">
        <is>
          <t>LINKÖPING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55944-2024</t>
        </is>
      </c>
      <c r="B349" s="1" t="n">
        <v>45623.61640046296</v>
      </c>
      <c r="C349" s="1" t="n">
        <v>46092</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55947-2024</t>
        </is>
      </c>
      <c r="B350" s="1" t="n">
        <v>45623</v>
      </c>
      <c r="C350" s="1" t="n">
        <v>46092</v>
      </c>
      <c r="D350" t="inlineStr">
        <is>
          <t>ÖSTERGÖTLANDS LÄN</t>
        </is>
      </c>
      <c r="E350" t="inlineStr">
        <is>
          <t>LINKÖPING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3374-2023</t>
        </is>
      </c>
      <c r="B351" s="1" t="n">
        <v>44949</v>
      </c>
      <c r="C351" s="1" t="n">
        <v>46092</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24151-2024</t>
        </is>
      </c>
      <c r="B352" s="1" t="n">
        <v>45456.67717592593</v>
      </c>
      <c r="C352" s="1" t="n">
        <v>46092</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46847-2025</t>
        </is>
      </c>
      <c r="B353" s="1" t="n">
        <v>45928.69971064815</v>
      </c>
      <c r="C353" s="1" t="n">
        <v>46092</v>
      </c>
      <c r="D353" t="inlineStr">
        <is>
          <t>ÖSTERGÖTLANDS LÄN</t>
        </is>
      </c>
      <c r="E353" t="inlineStr">
        <is>
          <t>LINKÖPING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47233-2025</t>
        </is>
      </c>
      <c r="B354" s="1" t="n">
        <v>45930.40612268518</v>
      </c>
      <c r="C354" s="1" t="n">
        <v>46092</v>
      </c>
      <c r="D354" t="inlineStr">
        <is>
          <t>ÖSTERGÖTLANDS LÄN</t>
        </is>
      </c>
      <c r="E354" t="inlineStr">
        <is>
          <t>LINKÖPING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47606-2025</t>
        </is>
      </c>
      <c r="B355" s="1" t="n">
        <v>45931.46402777778</v>
      </c>
      <c r="C355" s="1" t="n">
        <v>46092</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47304-2025</t>
        </is>
      </c>
      <c r="B356" s="1" t="n">
        <v>45930.52037037037</v>
      </c>
      <c r="C356" s="1" t="n">
        <v>46092</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14576-2023</t>
        </is>
      </c>
      <c r="B357" s="1" t="n">
        <v>45013</v>
      </c>
      <c r="C357" s="1" t="n">
        <v>46092</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74160-2021</t>
        </is>
      </c>
      <c r="B358" s="1" t="n">
        <v>44558</v>
      </c>
      <c r="C358" s="1" t="n">
        <v>46092</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48343-2025</t>
        </is>
      </c>
      <c r="B359" s="1" t="n">
        <v>45932</v>
      </c>
      <c r="C359" s="1" t="n">
        <v>46092</v>
      </c>
      <c r="D359" t="inlineStr">
        <is>
          <t>ÖSTERGÖTLANDS LÄN</t>
        </is>
      </c>
      <c r="E359" t="inlineStr">
        <is>
          <t>LINKÖPING</t>
        </is>
      </c>
      <c r="F359" t="inlineStr">
        <is>
          <t>Övriga Aktiebolag</t>
        </is>
      </c>
      <c r="G359" t="n">
        <v>2</v>
      </c>
      <c r="H359" t="n">
        <v>0</v>
      </c>
      <c r="I359" t="n">
        <v>0</v>
      </c>
      <c r="J359" t="n">
        <v>0</v>
      </c>
      <c r="K359" t="n">
        <v>0</v>
      </c>
      <c r="L359" t="n">
        <v>0</v>
      </c>
      <c r="M359" t="n">
        <v>0</v>
      </c>
      <c r="N359" t="n">
        <v>0</v>
      </c>
      <c r="O359" t="n">
        <v>0</v>
      </c>
      <c r="P359" t="n">
        <v>0</v>
      </c>
      <c r="Q359" t="n">
        <v>0</v>
      </c>
      <c r="R359" s="2" t="inlineStr"/>
    </row>
    <row r="360" ht="15" customHeight="1">
      <c r="A360" t="inlineStr">
        <is>
          <t>A 48266-2025</t>
        </is>
      </c>
      <c r="B360" s="1" t="n">
        <v>45932</v>
      </c>
      <c r="C360" s="1" t="n">
        <v>46092</v>
      </c>
      <c r="D360" t="inlineStr">
        <is>
          <t>ÖSTERGÖTLANDS LÄN</t>
        </is>
      </c>
      <c r="E360" t="inlineStr">
        <is>
          <t>LINKÖPING</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1223-2026</t>
        </is>
      </c>
      <c r="B361" s="1" t="n">
        <v>46031.40233796297</v>
      </c>
      <c r="C361" s="1" t="n">
        <v>46092</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858-2026</t>
        </is>
      </c>
      <c r="B362" s="1" t="n">
        <v>46030.41200231481</v>
      </c>
      <c r="C362" s="1" t="n">
        <v>46092</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873-2026</t>
        </is>
      </c>
      <c r="B363" s="1" t="n">
        <v>46030.43818287037</v>
      </c>
      <c r="C363" s="1" t="n">
        <v>46092</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856-2026</t>
        </is>
      </c>
      <c r="B364" s="1" t="n">
        <v>46030.40644675926</v>
      </c>
      <c r="C364" s="1" t="n">
        <v>46092</v>
      </c>
      <c r="D364" t="inlineStr">
        <is>
          <t>ÖSTERGÖTLANDS LÄN</t>
        </is>
      </c>
      <c r="E364" t="inlineStr">
        <is>
          <t>LINKÖPING</t>
        </is>
      </c>
      <c r="G364" t="n">
        <v>6.4</v>
      </c>
      <c r="H364" t="n">
        <v>0</v>
      </c>
      <c r="I364" t="n">
        <v>0</v>
      </c>
      <c r="J364" t="n">
        <v>0</v>
      </c>
      <c r="K364" t="n">
        <v>0</v>
      </c>
      <c r="L364" t="n">
        <v>0</v>
      </c>
      <c r="M364" t="n">
        <v>0</v>
      </c>
      <c r="N364" t="n">
        <v>0</v>
      </c>
      <c r="O364" t="n">
        <v>0</v>
      </c>
      <c r="P364" t="n">
        <v>0</v>
      </c>
      <c r="Q364" t="n">
        <v>0</v>
      </c>
      <c r="R364" s="2" t="inlineStr"/>
    </row>
    <row r="365" ht="15" customHeight="1">
      <c r="A365" t="inlineStr">
        <is>
          <t>A 27950-2025</t>
        </is>
      </c>
      <c r="B365" s="1" t="n">
        <v>45817.52960648148</v>
      </c>
      <c r="C365" s="1" t="n">
        <v>46092</v>
      </c>
      <c r="D365" t="inlineStr">
        <is>
          <t>ÖSTERGÖTLANDS LÄN</t>
        </is>
      </c>
      <c r="E365" t="inlineStr">
        <is>
          <t>LINKÖPING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27797-2025</t>
        </is>
      </c>
      <c r="B366" s="1" t="n">
        <v>45816.80521990741</v>
      </c>
      <c r="C366" s="1" t="n">
        <v>46092</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27798-2025</t>
        </is>
      </c>
      <c r="B367" s="1" t="n">
        <v>45816.81532407407</v>
      </c>
      <c r="C367" s="1" t="n">
        <v>46092</v>
      </c>
      <c r="D367" t="inlineStr">
        <is>
          <t>ÖSTERGÖTLANDS LÄN</t>
        </is>
      </c>
      <c r="E367" t="inlineStr">
        <is>
          <t>LINKÖPING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48254-2025</t>
        </is>
      </c>
      <c r="B368" s="1" t="n">
        <v>45932</v>
      </c>
      <c r="C368" s="1" t="n">
        <v>46092</v>
      </c>
      <c r="D368" t="inlineStr">
        <is>
          <t>ÖSTERGÖTLANDS LÄN</t>
        </is>
      </c>
      <c r="E368" t="inlineStr">
        <is>
          <t>LINKÖPING</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860-2026</t>
        </is>
      </c>
      <c r="B369" s="1" t="n">
        <v>46030.41974537037</v>
      </c>
      <c r="C369" s="1" t="n">
        <v>46092</v>
      </c>
      <c r="D369" t="inlineStr">
        <is>
          <t>ÖSTERGÖTLANDS LÄN</t>
        </is>
      </c>
      <c r="E369" t="inlineStr">
        <is>
          <t>LINKÖPING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28200-2025</t>
        </is>
      </c>
      <c r="B370" s="1" t="n">
        <v>45818.4428125</v>
      </c>
      <c r="C370" s="1" t="n">
        <v>46092</v>
      </c>
      <c r="D370" t="inlineStr">
        <is>
          <t>ÖSTERGÖTLANDS LÄN</t>
        </is>
      </c>
      <c r="E370" t="inlineStr">
        <is>
          <t>LINKÖPING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27766-2022</t>
        </is>
      </c>
      <c r="B371" s="1" t="n">
        <v>44743.53112268518</v>
      </c>
      <c r="C371" s="1" t="n">
        <v>46092</v>
      </c>
      <c r="D371" t="inlineStr">
        <is>
          <t>ÖSTERGÖTLANDS LÄN</t>
        </is>
      </c>
      <c r="E371" t="inlineStr">
        <is>
          <t>LINKÖPING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940-2026</t>
        </is>
      </c>
      <c r="B372" s="1" t="n">
        <v>46030.53052083333</v>
      </c>
      <c r="C372" s="1" t="n">
        <v>46092</v>
      </c>
      <c r="D372" t="inlineStr">
        <is>
          <t>ÖSTERGÖTLANDS LÄN</t>
        </is>
      </c>
      <c r="E372" t="inlineStr">
        <is>
          <t>LINKÖPING</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944-2026</t>
        </is>
      </c>
      <c r="B373" s="1" t="n">
        <v>46030.53461805556</v>
      </c>
      <c r="C373" s="1" t="n">
        <v>46092</v>
      </c>
      <c r="D373" t="inlineStr">
        <is>
          <t>ÖSTERGÖTLANDS LÄN</t>
        </is>
      </c>
      <c r="E373" t="inlineStr">
        <is>
          <t>LINKÖPING</t>
        </is>
      </c>
      <c r="F373" t="inlineStr">
        <is>
          <t>Allmännings- och besparingsskogar</t>
        </is>
      </c>
      <c r="G373" t="n">
        <v>0.9</v>
      </c>
      <c r="H373" t="n">
        <v>0</v>
      </c>
      <c r="I373" t="n">
        <v>0</v>
      </c>
      <c r="J373" t="n">
        <v>0</v>
      </c>
      <c r="K373" t="n">
        <v>0</v>
      </c>
      <c r="L373" t="n">
        <v>0</v>
      </c>
      <c r="M373" t="n">
        <v>0</v>
      </c>
      <c r="N373" t="n">
        <v>0</v>
      </c>
      <c r="O373" t="n">
        <v>0</v>
      </c>
      <c r="P373" t="n">
        <v>0</v>
      </c>
      <c r="Q373" t="n">
        <v>0</v>
      </c>
      <c r="R373" s="2" t="inlineStr"/>
    </row>
    <row r="374" ht="15" customHeight="1">
      <c r="A374" t="inlineStr">
        <is>
          <t>A 28204-2025</t>
        </is>
      </c>
      <c r="B374" s="1" t="n">
        <v>45818.4477662037</v>
      </c>
      <c r="C374" s="1" t="n">
        <v>46092</v>
      </c>
      <c r="D374" t="inlineStr">
        <is>
          <t>ÖSTERGÖTLANDS LÄN</t>
        </is>
      </c>
      <c r="E374" t="inlineStr">
        <is>
          <t>LINKÖPING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28416-2025</t>
        </is>
      </c>
      <c r="B375" s="1" t="n">
        <v>45819.35346064815</v>
      </c>
      <c r="C375" s="1" t="n">
        <v>46092</v>
      </c>
      <c r="D375" t="inlineStr">
        <is>
          <t>ÖSTERGÖTLANDS LÄN</t>
        </is>
      </c>
      <c r="E375" t="inlineStr">
        <is>
          <t>LINKÖPING</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53641-2023</t>
        </is>
      </c>
      <c r="B376" s="1" t="n">
        <v>45230</v>
      </c>
      <c r="C376" s="1" t="n">
        <v>46092</v>
      </c>
      <c r="D376" t="inlineStr">
        <is>
          <t>ÖSTERGÖTLANDS LÄN</t>
        </is>
      </c>
      <c r="E376" t="inlineStr">
        <is>
          <t>LINKÖPING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33000-2023</t>
        </is>
      </c>
      <c r="B377" s="1" t="n">
        <v>45125</v>
      </c>
      <c r="C377" s="1" t="n">
        <v>46092</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28398-2025</t>
        </is>
      </c>
      <c r="B378" s="1" t="n">
        <v>45819.34208333334</v>
      </c>
      <c r="C378" s="1" t="n">
        <v>46092</v>
      </c>
      <c r="D378" t="inlineStr">
        <is>
          <t>ÖSTERGÖTLANDS LÄN</t>
        </is>
      </c>
      <c r="E378" t="inlineStr">
        <is>
          <t>LINKÖPING</t>
        </is>
      </c>
      <c r="F378" t="inlineStr">
        <is>
          <t>Sveaskog</t>
        </is>
      </c>
      <c r="G378" t="n">
        <v>7.9</v>
      </c>
      <c r="H378" t="n">
        <v>0</v>
      </c>
      <c r="I378" t="n">
        <v>0</v>
      </c>
      <c r="J378" t="n">
        <v>0</v>
      </c>
      <c r="K378" t="n">
        <v>0</v>
      </c>
      <c r="L378" t="n">
        <v>0</v>
      </c>
      <c r="M378" t="n">
        <v>0</v>
      </c>
      <c r="N378" t="n">
        <v>0</v>
      </c>
      <c r="O378" t="n">
        <v>0</v>
      </c>
      <c r="P378" t="n">
        <v>0</v>
      </c>
      <c r="Q378" t="n">
        <v>0</v>
      </c>
      <c r="R378" s="2" t="inlineStr"/>
    </row>
    <row r="379" ht="15" customHeight="1">
      <c r="A379" t="inlineStr">
        <is>
          <t>A 52892-2024</t>
        </is>
      </c>
      <c r="B379" s="1" t="n">
        <v>45610</v>
      </c>
      <c r="C379" s="1" t="n">
        <v>46092</v>
      </c>
      <c r="D379" t="inlineStr">
        <is>
          <t>ÖSTERGÖTLANDS LÄN</t>
        </is>
      </c>
      <c r="E379" t="inlineStr">
        <is>
          <t>LINKÖPING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28209-2025</t>
        </is>
      </c>
      <c r="B380" s="1" t="n">
        <v>45818.45112268518</v>
      </c>
      <c r="C380" s="1" t="n">
        <v>46092</v>
      </c>
      <c r="D380" t="inlineStr">
        <is>
          <t>ÖSTERGÖTLANDS LÄN</t>
        </is>
      </c>
      <c r="E380" t="inlineStr">
        <is>
          <t>LINKÖPING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927-2026</t>
        </is>
      </c>
      <c r="B381" s="1" t="n">
        <v>46030.50560185185</v>
      </c>
      <c r="C381" s="1" t="n">
        <v>46092</v>
      </c>
      <c r="D381" t="inlineStr">
        <is>
          <t>ÖSTERGÖTLANDS LÄN</t>
        </is>
      </c>
      <c r="E381" t="inlineStr">
        <is>
          <t>LINKÖPING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30521-2024</t>
        </is>
      </c>
      <c r="B382" s="1" t="n">
        <v>45492</v>
      </c>
      <c r="C382" s="1" t="n">
        <v>46092</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51191-2022</t>
        </is>
      </c>
      <c r="B383" s="1" t="n">
        <v>44865</v>
      </c>
      <c r="C383" s="1" t="n">
        <v>46092</v>
      </c>
      <c r="D383" t="inlineStr">
        <is>
          <t>ÖSTERGÖTLANDS LÄN</t>
        </is>
      </c>
      <c r="E383" t="inlineStr">
        <is>
          <t>LINKÖPING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49455-2025</t>
        </is>
      </c>
      <c r="B384" s="1" t="n">
        <v>45938</v>
      </c>
      <c r="C384" s="1" t="n">
        <v>46092</v>
      </c>
      <c r="D384" t="inlineStr">
        <is>
          <t>ÖSTERGÖTLANDS LÄN</t>
        </is>
      </c>
      <c r="E384" t="inlineStr">
        <is>
          <t>LINKÖPING</t>
        </is>
      </c>
      <c r="F384" t="inlineStr">
        <is>
          <t>Övriga Aktiebolag</t>
        </is>
      </c>
      <c r="G384" t="n">
        <v>5.9</v>
      </c>
      <c r="H384" t="n">
        <v>0</v>
      </c>
      <c r="I384" t="n">
        <v>0</v>
      </c>
      <c r="J384" t="n">
        <v>0</v>
      </c>
      <c r="K384" t="n">
        <v>0</v>
      </c>
      <c r="L384" t="n">
        <v>0</v>
      </c>
      <c r="M384" t="n">
        <v>0</v>
      </c>
      <c r="N384" t="n">
        <v>0</v>
      </c>
      <c r="O384" t="n">
        <v>0</v>
      </c>
      <c r="P384" t="n">
        <v>0</v>
      </c>
      <c r="Q384" t="n">
        <v>0</v>
      </c>
      <c r="R384" s="2" t="inlineStr"/>
    </row>
    <row r="385" ht="15" customHeight="1">
      <c r="A385" t="inlineStr">
        <is>
          <t>A 859-2026</t>
        </is>
      </c>
      <c r="B385" s="1" t="n">
        <v>46030.41450231482</v>
      </c>
      <c r="C385" s="1" t="n">
        <v>46092</v>
      </c>
      <c r="D385" t="inlineStr">
        <is>
          <t>ÖSTERGÖTLANDS LÄN</t>
        </is>
      </c>
      <c r="E385" t="inlineStr">
        <is>
          <t>LINKÖPING</t>
        </is>
      </c>
      <c r="G385" t="n">
        <v>0.2</v>
      </c>
      <c r="H385" t="n">
        <v>0</v>
      </c>
      <c r="I385" t="n">
        <v>0</v>
      </c>
      <c r="J385" t="n">
        <v>0</v>
      </c>
      <c r="K385" t="n">
        <v>0</v>
      </c>
      <c r="L385" t="n">
        <v>0</v>
      </c>
      <c r="M385" t="n">
        <v>0</v>
      </c>
      <c r="N385" t="n">
        <v>0</v>
      </c>
      <c r="O385" t="n">
        <v>0</v>
      </c>
      <c r="P385" t="n">
        <v>0</v>
      </c>
      <c r="Q385" t="n">
        <v>0</v>
      </c>
      <c r="R385" s="2" t="inlineStr"/>
    </row>
    <row r="386" ht="15" customHeight="1">
      <c r="A386" t="inlineStr">
        <is>
          <t>A 29027-2025</t>
        </is>
      </c>
      <c r="B386" s="1" t="n">
        <v>45821.4375462963</v>
      </c>
      <c r="C386" s="1" t="n">
        <v>46092</v>
      </c>
      <c r="D386" t="inlineStr">
        <is>
          <t>ÖSTERGÖTLANDS LÄN</t>
        </is>
      </c>
      <c r="E386" t="inlineStr">
        <is>
          <t>LINKÖPING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29411-2025</t>
        </is>
      </c>
      <c r="B387" s="1" t="n">
        <v>45824.6219212963</v>
      </c>
      <c r="C387" s="1" t="n">
        <v>46092</v>
      </c>
      <c r="D387" t="inlineStr">
        <is>
          <t>ÖSTERGÖTLANDS LÄN</t>
        </is>
      </c>
      <c r="E387" t="inlineStr">
        <is>
          <t>LINKÖPING</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12289-2025</t>
        </is>
      </c>
      <c r="B388" s="1" t="n">
        <v>45729</v>
      </c>
      <c r="C388" s="1" t="n">
        <v>46092</v>
      </c>
      <c r="D388" t="inlineStr">
        <is>
          <t>ÖSTERGÖTLANDS LÄN</t>
        </is>
      </c>
      <c r="E388" t="inlineStr">
        <is>
          <t>LINKÖPING</t>
        </is>
      </c>
      <c r="F388" t="inlineStr">
        <is>
          <t>Övriga statliga verk och myndigheter</t>
        </is>
      </c>
      <c r="G388" t="n">
        <v>6.5</v>
      </c>
      <c r="H388" t="n">
        <v>0</v>
      </c>
      <c r="I388" t="n">
        <v>0</v>
      </c>
      <c r="J388" t="n">
        <v>0</v>
      </c>
      <c r="K388" t="n">
        <v>0</v>
      </c>
      <c r="L388" t="n">
        <v>0</v>
      </c>
      <c r="M388" t="n">
        <v>0</v>
      </c>
      <c r="N388" t="n">
        <v>0</v>
      </c>
      <c r="O388" t="n">
        <v>0</v>
      </c>
      <c r="P388" t="n">
        <v>0</v>
      </c>
      <c r="Q388" t="n">
        <v>0</v>
      </c>
      <c r="R388" s="2" t="inlineStr"/>
    </row>
    <row r="389" ht="15" customHeight="1">
      <c r="A389" t="inlineStr">
        <is>
          <t>A 29599-2025</t>
        </is>
      </c>
      <c r="B389" s="1" t="n">
        <v>45825.41101851852</v>
      </c>
      <c r="C389" s="1" t="n">
        <v>46092</v>
      </c>
      <c r="D389" t="inlineStr">
        <is>
          <t>ÖSTERGÖTLANDS LÄN</t>
        </is>
      </c>
      <c r="E389" t="inlineStr">
        <is>
          <t>LINKÖPING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49605-2025</t>
        </is>
      </c>
      <c r="B390" s="1" t="n">
        <v>45938</v>
      </c>
      <c r="C390" s="1" t="n">
        <v>46092</v>
      </c>
      <c r="D390" t="inlineStr">
        <is>
          <t>ÖSTERGÖTLANDS LÄN</t>
        </is>
      </c>
      <c r="E390" t="inlineStr">
        <is>
          <t>LINKÖPING</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49663-2025</t>
        </is>
      </c>
      <c r="B391" s="1" t="n">
        <v>45938</v>
      </c>
      <c r="C391" s="1" t="n">
        <v>46092</v>
      </c>
      <c r="D391" t="inlineStr">
        <is>
          <t>ÖSTERGÖTLANDS LÄN</t>
        </is>
      </c>
      <c r="E391" t="inlineStr">
        <is>
          <t>LINKÖPING</t>
        </is>
      </c>
      <c r="F391" t="inlineStr">
        <is>
          <t>Övriga Aktiebolag</t>
        </is>
      </c>
      <c r="G391" t="n">
        <v>1.2</v>
      </c>
      <c r="H391" t="n">
        <v>0</v>
      </c>
      <c r="I391" t="n">
        <v>0</v>
      </c>
      <c r="J391" t="n">
        <v>0</v>
      </c>
      <c r="K391" t="n">
        <v>0</v>
      </c>
      <c r="L391" t="n">
        <v>0</v>
      </c>
      <c r="M391" t="n">
        <v>0</v>
      </c>
      <c r="N391" t="n">
        <v>0</v>
      </c>
      <c r="O391" t="n">
        <v>0</v>
      </c>
      <c r="P391" t="n">
        <v>0</v>
      </c>
      <c r="Q391" t="n">
        <v>0</v>
      </c>
      <c r="R391" s="2" t="inlineStr"/>
    </row>
    <row r="392" ht="15" customHeight="1">
      <c r="A392" t="inlineStr">
        <is>
          <t>A 9434-2024</t>
        </is>
      </c>
      <c r="B392" s="1" t="n">
        <v>45359</v>
      </c>
      <c r="C392" s="1" t="n">
        <v>46092</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2030-2026</t>
        </is>
      </c>
      <c r="B393" s="1" t="n">
        <v>46035.73590277778</v>
      </c>
      <c r="C393" s="1" t="n">
        <v>46092</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42054-2022</t>
        </is>
      </c>
      <c r="B394" s="1" t="n">
        <v>44830</v>
      </c>
      <c r="C394" s="1" t="n">
        <v>46092</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49632-2025</t>
        </is>
      </c>
      <c r="B395" s="1" t="n">
        <v>45938</v>
      </c>
      <c r="C395" s="1" t="n">
        <v>46092</v>
      </c>
      <c r="D395" t="inlineStr">
        <is>
          <t>ÖSTERGÖTLANDS LÄN</t>
        </is>
      </c>
      <c r="E395" t="inlineStr">
        <is>
          <t>LINKÖPING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49647-2025</t>
        </is>
      </c>
      <c r="B396" s="1" t="n">
        <v>45938</v>
      </c>
      <c r="C396" s="1" t="n">
        <v>46092</v>
      </c>
      <c r="D396" t="inlineStr">
        <is>
          <t>ÖSTERGÖTLANDS LÄN</t>
        </is>
      </c>
      <c r="E396" t="inlineStr">
        <is>
          <t>LINKÖPING</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49652-2025</t>
        </is>
      </c>
      <c r="B397" s="1" t="n">
        <v>45938</v>
      </c>
      <c r="C397" s="1" t="n">
        <v>46092</v>
      </c>
      <c r="D397" t="inlineStr">
        <is>
          <t>ÖSTERGÖTLANDS LÄN</t>
        </is>
      </c>
      <c r="E397" t="inlineStr">
        <is>
          <t>LINKÖPING</t>
        </is>
      </c>
      <c r="F397" t="inlineStr">
        <is>
          <t>Övriga Aktiebolag</t>
        </is>
      </c>
      <c r="G397" t="n">
        <v>1.8</v>
      </c>
      <c r="H397" t="n">
        <v>0</v>
      </c>
      <c r="I397" t="n">
        <v>0</v>
      </c>
      <c r="J397" t="n">
        <v>0</v>
      </c>
      <c r="K397" t="n">
        <v>0</v>
      </c>
      <c r="L397" t="n">
        <v>0</v>
      </c>
      <c r="M397" t="n">
        <v>0</v>
      </c>
      <c r="N397" t="n">
        <v>0</v>
      </c>
      <c r="O397" t="n">
        <v>0</v>
      </c>
      <c r="P397" t="n">
        <v>0</v>
      </c>
      <c r="Q397" t="n">
        <v>0</v>
      </c>
      <c r="R397" s="2" t="inlineStr"/>
    </row>
    <row r="398" ht="15" customHeight="1">
      <c r="A398" t="inlineStr">
        <is>
          <t>A 49654-2025</t>
        </is>
      </c>
      <c r="B398" s="1" t="n">
        <v>45938</v>
      </c>
      <c r="C398" s="1" t="n">
        <v>46092</v>
      </c>
      <c r="D398" t="inlineStr">
        <is>
          <t>ÖSTERGÖTLANDS LÄN</t>
        </is>
      </c>
      <c r="E398" t="inlineStr">
        <is>
          <t>LINKÖPING</t>
        </is>
      </c>
      <c r="F398" t="inlineStr">
        <is>
          <t>Övriga Aktiebolag</t>
        </is>
      </c>
      <c r="G398" t="n">
        <v>3.1</v>
      </c>
      <c r="H398" t="n">
        <v>0</v>
      </c>
      <c r="I398" t="n">
        <v>0</v>
      </c>
      <c r="J398" t="n">
        <v>0</v>
      </c>
      <c r="K398" t="n">
        <v>0</v>
      </c>
      <c r="L398" t="n">
        <v>0</v>
      </c>
      <c r="M398" t="n">
        <v>0</v>
      </c>
      <c r="N398" t="n">
        <v>0</v>
      </c>
      <c r="O398" t="n">
        <v>0</v>
      </c>
      <c r="P398" t="n">
        <v>0</v>
      </c>
      <c r="Q398" t="n">
        <v>0</v>
      </c>
      <c r="R398" s="2" t="inlineStr"/>
    </row>
    <row r="399" ht="15" customHeight="1">
      <c r="A399" t="inlineStr">
        <is>
          <t>A 50182-2023</t>
        </is>
      </c>
      <c r="B399" s="1" t="n">
        <v>45208</v>
      </c>
      <c r="C399" s="1" t="n">
        <v>46092</v>
      </c>
      <c r="D399" t="inlineStr">
        <is>
          <t>ÖSTERGÖTLANDS LÄN</t>
        </is>
      </c>
      <c r="E399" t="inlineStr">
        <is>
          <t>LINKÖPING</t>
        </is>
      </c>
      <c r="G399" t="n">
        <v>2.5</v>
      </c>
      <c r="H399" t="n">
        <v>0</v>
      </c>
      <c r="I399" t="n">
        <v>0</v>
      </c>
      <c r="J399" t="n">
        <v>0</v>
      </c>
      <c r="K399" t="n">
        <v>0</v>
      </c>
      <c r="L399" t="n">
        <v>0</v>
      </c>
      <c r="M399" t="n">
        <v>0</v>
      </c>
      <c r="N399" t="n">
        <v>0</v>
      </c>
      <c r="O399" t="n">
        <v>0</v>
      </c>
      <c r="P399" t="n">
        <v>0</v>
      </c>
      <c r="Q399" t="n">
        <v>0</v>
      </c>
      <c r="R399" s="2" t="inlineStr"/>
    </row>
    <row r="400" ht="15" customHeight="1">
      <c r="A400" t="inlineStr">
        <is>
          <t>A 10479-2026</t>
        </is>
      </c>
      <c r="B400" s="1" t="n">
        <v>46077.49231481482</v>
      </c>
      <c r="C400" s="1" t="n">
        <v>46092</v>
      </c>
      <c r="D400" t="inlineStr">
        <is>
          <t>ÖSTERGÖTLANDS LÄN</t>
        </is>
      </c>
      <c r="E400" t="inlineStr">
        <is>
          <t>LINKÖPING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49615-2025</t>
        </is>
      </c>
      <c r="B401" s="1" t="n">
        <v>45938</v>
      </c>
      <c r="C401" s="1" t="n">
        <v>46092</v>
      </c>
      <c r="D401" t="inlineStr">
        <is>
          <t>ÖSTERGÖTLANDS LÄN</t>
        </is>
      </c>
      <c r="E401" t="inlineStr">
        <is>
          <t>LINKÖPING</t>
        </is>
      </c>
      <c r="F401" t="inlineStr">
        <is>
          <t>Övriga Aktiebolag</t>
        </is>
      </c>
      <c r="G401" t="n">
        <v>1.6</v>
      </c>
      <c r="H401" t="n">
        <v>0</v>
      </c>
      <c r="I401" t="n">
        <v>0</v>
      </c>
      <c r="J401" t="n">
        <v>0</v>
      </c>
      <c r="K401" t="n">
        <v>0</v>
      </c>
      <c r="L401" t="n">
        <v>0</v>
      </c>
      <c r="M401" t="n">
        <v>0</v>
      </c>
      <c r="N401" t="n">
        <v>0</v>
      </c>
      <c r="O401" t="n">
        <v>0</v>
      </c>
      <c r="P401" t="n">
        <v>0</v>
      </c>
      <c r="Q401" t="n">
        <v>0</v>
      </c>
      <c r="R401" s="2" t="inlineStr"/>
    </row>
    <row r="402" ht="15" customHeight="1">
      <c r="A402" t="inlineStr">
        <is>
          <t>A 49619-2025</t>
        </is>
      </c>
      <c r="B402" s="1" t="n">
        <v>45938</v>
      </c>
      <c r="C402" s="1" t="n">
        <v>46092</v>
      </c>
      <c r="D402" t="inlineStr">
        <is>
          <t>ÖSTERGÖTLANDS LÄN</t>
        </is>
      </c>
      <c r="E402" t="inlineStr">
        <is>
          <t>LINKÖPING</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49629-2025</t>
        </is>
      </c>
      <c r="B403" s="1" t="n">
        <v>45938</v>
      </c>
      <c r="C403" s="1" t="n">
        <v>46092</v>
      </c>
      <c r="D403" t="inlineStr">
        <is>
          <t>ÖSTERGÖTLANDS LÄN</t>
        </is>
      </c>
      <c r="E403" t="inlineStr">
        <is>
          <t>LINKÖPING</t>
        </is>
      </c>
      <c r="F403" t="inlineStr">
        <is>
          <t>Övriga Aktiebolag</t>
        </is>
      </c>
      <c r="G403" t="n">
        <v>4.5</v>
      </c>
      <c r="H403" t="n">
        <v>0</v>
      </c>
      <c r="I403" t="n">
        <v>0</v>
      </c>
      <c r="J403" t="n">
        <v>0</v>
      </c>
      <c r="K403" t="n">
        <v>0</v>
      </c>
      <c r="L403" t="n">
        <v>0</v>
      </c>
      <c r="M403" t="n">
        <v>0</v>
      </c>
      <c r="N403" t="n">
        <v>0</v>
      </c>
      <c r="O403" t="n">
        <v>0</v>
      </c>
      <c r="P403" t="n">
        <v>0</v>
      </c>
      <c r="Q403" t="n">
        <v>0</v>
      </c>
      <c r="R403" s="2" t="inlineStr"/>
    </row>
    <row r="404" ht="15" customHeight="1">
      <c r="A404" t="inlineStr">
        <is>
          <t>A 49650-2025</t>
        </is>
      </c>
      <c r="B404" s="1" t="n">
        <v>45938</v>
      </c>
      <c r="C404" s="1" t="n">
        <v>46092</v>
      </c>
      <c r="D404" t="inlineStr">
        <is>
          <t>ÖSTERGÖTLANDS LÄN</t>
        </is>
      </c>
      <c r="E404" t="inlineStr">
        <is>
          <t>LINKÖPING</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49633-2025</t>
        </is>
      </c>
      <c r="B405" s="1" t="n">
        <v>45938</v>
      </c>
      <c r="C405" s="1" t="n">
        <v>46092</v>
      </c>
      <c r="D405" t="inlineStr">
        <is>
          <t>ÖSTERGÖTLANDS LÄN</t>
        </is>
      </c>
      <c r="E405" t="inlineStr">
        <is>
          <t>LINKÖPING</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35781-2023</t>
        </is>
      </c>
      <c r="B406" s="1" t="n">
        <v>45147</v>
      </c>
      <c r="C406" s="1" t="n">
        <v>46092</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30355-2025</t>
        </is>
      </c>
      <c r="B407" s="1" t="n">
        <v>45827</v>
      </c>
      <c r="C407" s="1" t="n">
        <v>46092</v>
      </c>
      <c r="D407" t="inlineStr">
        <is>
          <t>ÖSTERGÖTLANDS LÄN</t>
        </is>
      </c>
      <c r="E407" t="inlineStr">
        <is>
          <t>LINKÖPING</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30353-2025</t>
        </is>
      </c>
      <c r="B408" s="1" t="n">
        <v>45827</v>
      </c>
      <c r="C408" s="1" t="n">
        <v>46092</v>
      </c>
      <c r="D408" t="inlineStr">
        <is>
          <t>ÖSTERGÖTLANDS LÄN</t>
        </is>
      </c>
      <c r="E408" t="inlineStr">
        <is>
          <t>LINKÖPING</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40983-2025</t>
        </is>
      </c>
      <c r="B409" s="1" t="n">
        <v>45898</v>
      </c>
      <c r="C409" s="1" t="n">
        <v>46092</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50056-2025</t>
        </is>
      </c>
      <c r="B410" s="1" t="n">
        <v>45941</v>
      </c>
      <c r="C410" s="1" t="n">
        <v>46092</v>
      </c>
      <c r="D410" t="inlineStr">
        <is>
          <t>ÖSTERGÖTLANDS LÄN</t>
        </is>
      </c>
      <c r="E410" t="inlineStr">
        <is>
          <t>LINKÖPING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6387-2022</t>
        </is>
      </c>
      <c r="B411" s="1" t="n">
        <v>44600</v>
      </c>
      <c r="C411" s="1" t="n">
        <v>46092</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48707-2023</t>
        </is>
      </c>
      <c r="B412" s="1" t="n">
        <v>45202</v>
      </c>
      <c r="C412" s="1" t="n">
        <v>46092</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2031-2026</t>
        </is>
      </c>
      <c r="B413" s="1" t="n">
        <v>46035.74182870371</v>
      </c>
      <c r="C413" s="1" t="n">
        <v>46092</v>
      </c>
      <c r="D413" t="inlineStr">
        <is>
          <t>ÖSTERGÖTLANDS LÄN</t>
        </is>
      </c>
      <c r="E413" t="inlineStr">
        <is>
          <t>LINKÖPING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50667-2025</t>
        </is>
      </c>
      <c r="B414" s="1" t="n">
        <v>45945</v>
      </c>
      <c r="C414" s="1" t="n">
        <v>46092</v>
      </c>
      <c r="D414" t="inlineStr">
        <is>
          <t>ÖSTERGÖTLANDS LÄN</t>
        </is>
      </c>
      <c r="E414" t="inlineStr">
        <is>
          <t>LINKÖPING</t>
        </is>
      </c>
      <c r="G414" t="n">
        <v>3.3</v>
      </c>
      <c r="H414" t="n">
        <v>0</v>
      </c>
      <c r="I414" t="n">
        <v>0</v>
      </c>
      <c r="J414" t="n">
        <v>0</v>
      </c>
      <c r="K414" t="n">
        <v>0</v>
      </c>
      <c r="L414" t="n">
        <v>0</v>
      </c>
      <c r="M414" t="n">
        <v>0</v>
      </c>
      <c r="N414" t="n">
        <v>0</v>
      </c>
      <c r="O414" t="n">
        <v>0</v>
      </c>
      <c r="P414" t="n">
        <v>0</v>
      </c>
      <c r="Q414" t="n">
        <v>0</v>
      </c>
      <c r="R414" s="2" t="inlineStr"/>
    </row>
    <row r="415" ht="15" customHeight="1">
      <c r="A415" t="inlineStr">
        <is>
          <t>A 11033-2026</t>
        </is>
      </c>
      <c r="B415" s="1" t="n">
        <v>46079.57361111111</v>
      </c>
      <c r="C415" s="1" t="n">
        <v>46092</v>
      </c>
      <c r="D415" t="inlineStr">
        <is>
          <t>ÖSTERGÖTLANDS LÄN</t>
        </is>
      </c>
      <c r="E415" t="inlineStr">
        <is>
          <t>LINKÖPING</t>
        </is>
      </c>
      <c r="G415" t="n">
        <v>7.9</v>
      </c>
      <c r="H415" t="n">
        <v>0</v>
      </c>
      <c r="I415" t="n">
        <v>0</v>
      </c>
      <c r="J415" t="n">
        <v>0</v>
      </c>
      <c r="K415" t="n">
        <v>0</v>
      </c>
      <c r="L415" t="n">
        <v>0</v>
      </c>
      <c r="M415" t="n">
        <v>0</v>
      </c>
      <c r="N415" t="n">
        <v>0</v>
      </c>
      <c r="O415" t="n">
        <v>0</v>
      </c>
      <c r="P415" t="n">
        <v>0</v>
      </c>
      <c r="Q415" t="n">
        <v>0</v>
      </c>
      <c r="R415" s="2" t="inlineStr"/>
    </row>
    <row r="416" ht="15" customHeight="1">
      <c r="A416" t="inlineStr">
        <is>
          <t>A 12089-2025</t>
        </is>
      </c>
      <c r="B416" s="1" t="n">
        <v>45729</v>
      </c>
      <c r="C416" s="1" t="n">
        <v>46092</v>
      </c>
      <c r="D416" t="inlineStr">
        <is>
          <t>ÖSTERGÖTLANDS LÄN</t>
        </is>
      </c>
      <c r="E416" t="inlineStr">
        <is>
          <t>LINKÖPING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10756-2026</t>
        </is>
      </c>
      <c r="B417" s="1" t="n">
        <v>46078.55412037037</v>
      </c>
      <c r="C417" s="1" t="n">
        <v>46092</v>
      </c>
      <c r="D417" t="inlineStr">
        <is>
          <t>ÖSTERGÖTLANDS LÄN</t>
        </is>
      </c>
      <c r="E417" t="inlineStr">
        <is>
          <t>LINKÖPING</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15658-2023</t>
        </is>
      </c>
      <c r="B418" s="1" t="n">
        <v>45021.41194444444</v>
      </c>
      <c r="C418" s="1" t="n">
        <v>46092</v>
      </c>
      <c r="D418" t="inlineStr">
        <is>
          <t>ÖSTERGÖTLANDS LÄN</t>
        </is>
      </c>
      <c r="E418" t="inlineStr">
        <is>
          <t>LINKÖPING</t>
        </is>
      </c>
      <c r="G418" t="n">
        <v>1.4</v>
      </c>
      <c r="H418" t="n">
        <v>0</v>
      </c>
      <c r="I418" t="n">
        <v>0</v>
      </c>
      <c r="J418" t="n">
        <v>0</v>
      </c>
      <c r="K418" t="n">
        <v>0</v>
      </c>
      <c r="L418" t="n">
        <v>0</v>
      </c>
      <c r="M418" t="n">
        <v>0</v>
      </c>
      <c r="N418" t="n">
        <v>0</v>
      </c>
      <c r="O418" t="n">
        <v>0</v>
      </c>
      <c r="P418" t="n">
        <v>0</v>
      </c>
      <c r="Q418" t="n">
        <v>0</v>
      </c>
      <c r="R418" s="2" t="inlineStr"/>
    </row>
    <row r="419" ht="15" customHeight="1">
      <c r="A419" t="inlineStr">
        <is>
          <t>A 11057-2026</t>
        </is>
      </c>
      <c r="B419" s="1" t="n">
        <v>46079.59515046296</v>
      </c>
      <c r="C419" s="1" t="n">
        <v>46092</v>
      </c>
      <c r="D419" t="inlineStr">
        <is>
          <t>ÖSTERGÖTLANDS LÄN</t>
        </is>
      </c>
      <c r="E419" t="inlineStr">
        <is>
          <t>LINKÖPING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31581-2025</t>
        </is>
      </c>
      <c r="B420" s="1" t="n">
        <v>45833.6840162037</v>
      </c>
      <c r="C420" s="1" t="n">
        <v>46092</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31585-2025</t>
        </is>
      </c>
      <c r="B421" s="1" t="n">
        <v>45833.68815972222</v>
      </c>
      <c r="C421" s="1" t="n">
        <v>46092</v>
      </c>
      <c r="D421" t="inlineStr">
        <is>
          <t>ÖSTERGÖTLANDS LÄN</t>
        </is>
      </c>
      <c r="E421" t="inlineStr">
        <is>
          <t>LINKÖPING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51583-2024</t>
        </is>
      </c>
      <c r="B422" s="1" t="n">
        <v>45604.6397337963</v>
      </c>
      <c r="C422" s="1" t="n">
        <v>46092</v>
      </c>
      <c r="D422" t="inlineStr">
        <is>
          <t>ÖSTERGÖTLANDS LÄN</t>
        </is>
      </c>
      <c r="E422" t="inlineStr">
        <is>
          <t>LINKÖPING</t>
        </is>
      </c>
      <c r="F422" t="inlineStr">
        <is>
          <t>Övriga Aktiebolag</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64694-2023</t>
        </is>
      </c>
      <c r="B423" s="1" t="n">
        <v>45281</v>
      </c>
      <c r="C423" s="1" t="n">
        <v>46092</v>
      </c>
      <c r="D423" t="inlineStr">
        <is>
          <t>ÖSTERGÖTLANDS LÄN</t>
        </is>
      </c>
      <c r="E423" t="inlineStr">
        <is>
          <t>LINKÖPING</t>
        </is>
      </c>
      <c r="F423" t="inlineStr">
        <is>
          <t>Övriga statliga verk och myndigheter</t>
        </is>
      </c>
      <c r="G423" t="n">
        <v>4.9</v>
      </c>
      <c r="H423" t="n">
        <v>0</v>
      </c>
      <c r="I423" t="n">
        <v>0</v>
      </c>
      <c r="J423" t="n">
        <v>0</v>
      </c>
      <c r="K423" t="n">
        <v>0</v>
      </c>
      <c r="L423" t="n">
        <v>0</v>
      </c>
      <c r="M423" t="n">
        <v>0</v>
      </c>
      <c r="N423" t="n">
        <v>0</v>
      </c>
      <c r="O423" t="n">
        <v>0</v>
      </c>
      <c r="P423" t="n">
        <v>0</v>
      </c>
      <c r="Q423" t="n">
        <v>0</v>
      </c>
      <c r="R423" s="2" t="inlineStr"/>
    </row>
    <row r="424" ht="15" customHeight="1">
      <c r="A424" t="inlineStr">
        <is>
          <t>A 32602-2022</t>
        </is>
      </c>
      <c r="B424" s="1" t="n">
        <v>44783.43192129629</v>
      </c>
      <c r="C424" s="1" t="n">
        <v>46092</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11036-2026</t>
        </is>
      </c>
      <c r="B425" s="1" t="n">
        <v>46079.57836805555</v>
      </c>
      <c r="C425" s="1" t="n">
        <v>46092</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3045-2026</t>
        </is>
      </c>
      <c r="B426" s="1" t="n">
        <v>46038.74047453704</v>
      </c>
      <c r="C426" s="1" t="n">
        <v>46092</v>
      </c>
      <c r="D426" t="inlineStr">
        <is>
          <t>ÖSTERGÖTLANDS LÄN</t>
        </is>
      </c>
      <c r="E426" t="inlineStr">
        <is>
          <t>LINKÖPING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51802-2025</t>
        </is>
      </c>
      <c r="B427" s="1" t="n">
        <v>45950</v>
      </c>
      <c r="C427" s="1" t="n">
        <v>46092</v>
      </c>
      <c r="D427" t="inlineStr">
        <is>
          <t>ÖSTERGÖTLANDS LÄN</t>
        </is>
      </c>
      <c r="E427" t="inlineStr">
        <is>
          <t>LINKÖPING</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11169-2026</t>
        </is>
      </c>
      <c r="B428" s="1" t="n">
        <v>46080.37020833333</v>
      </c>
      <c r="C428" s="1" t="n">
        <v>46092</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62321-2022</t>
        </is>
      </c>
      <c r="B429" s="1" t="n">
        <v>44916</v>
      </c>
      <c r="C429" s="1" t="n">
        <v>46092</v>
      </c>
      <c r="D429" t="inlineStr">
        <is>
          <t>ÖSTERGÖTLANDS LÄN</t>
        </is>
      </c>
      <c r="E429" t="inlineStr">
        <is>
          <t>LINKÖPING</t>
        </is>
      </c>
      <c r="F429" t="inlineStr">
        <is>
          <t>Kommuner</t>
        </is>
      </c>
      <c r="G429" t="n">
        <v>5.3</v>
      </c>
      <c r="H429" t="n">
        <v>0</v>
      </c>
      <c r="I429" t="n">
        <v>0</v>
      </c>
      <c r="J429" t="n">
        <v>0</v>
      </c>
      <c r="K429" t="n">
        <v>0</v>
      </c>
      <c r="L429" t="n">
        <v>0</v>
      </c>
      <c r="M429" t="n">
        <v>0</v>
      </c>
      <c r="N429" t="n">
        <v>0</v>
      </c>
      <c r="O429" t="n">
        <v>0</v>
      </c>
      <c r="P429" t="n">
        <v>0</v>
      </c>
      <c r="Q429" t="n">
        <v>0</v>
      </c>
      <c r="R429" s="2" t="inlineStr"/>
    </row>
    <row r="430" ht="15" customHeight="1">
      <c r="A430" t="inlineStr">
        <is>
          <t>A 1084-2023</t>
        </is>
      </c>
      <c r="B430" s="1" t="n">
        <v>44929</v>
      </c>
      <c r="C430" s="1" t="n">
        <v>46092</v>
      </c>
      <c r="D430" t="inlineStr">
        <is>
          <t>ÖSTERGÖTLANDS LÄN</t>
        </is>
      </c>
      <c r="E430" t="inlineStr">
        <is>
          <t>LINKÖPING</t>
        </is>
      </c>
      <c r="G430" t="n">
        <v>10.4</v>
      </c>
      <c r="H430" t="n">
        <v>0</v>
      </c>
      <c r="I430" t="n">
        <v>0</v>
      </c>
      <c r="J430" t="n">
        <v>0</v>
      </c>
      <c r="K430" t="n">
        <v>0</v>
      </c>
      <c r="L430" t="n">
        <v>0</v>
      </c>
      <c r="M430" t="n">
        <v>0</v>
      </c>
      <c r="N430" t="n">
        <v>0</v>
      </c>
      <c r="O430" t="n">
        <v>0</v>
      </c>
      <c r="P430" t="n">
        <v>0</v>
      </c>
      <c r="Q430" t="n">
        <v>0</v>
      </c>
      <c r="R430" s="2" t="inlineStr"/>
    </row>
    <row r="431" ht="15" customHeight="1">
      <c r="A431" t="inlineStr">
        <is>
          <t>A 267-2023</t>
        </is>
      </c>
      <c r="B431" s="1" t="n">
        <v>44928.80907407407</v>
      </c>
      <c r="C431" s="1" t="n">
        <v>46092</v>
      </c>
      <c r="D431" t="inlineStr">
        <is>
          <t>ÖSTERGÖTLANDS LÄN</t>
        </is>
      </c>
      <c r="E431" t="inlineStr">
        <is>
          <t>LINKÖPING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940-2023</t>
        </is>
      </c>
      <c r="B432" s="1" t="n">
        <v>44933</v>
      </c>
      <c r="C432" s="1" t="n">
        <v>46092</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3043-2026</t>
        </is>
      </c>
      <c r="B433" s="1" t="n">
        <v>46038.73675925926</v>
      </c>
      <c r="C433" s="1" t="n">
        <v>46092</v>
      </c>
      <c r="D433" t="inlineStr">
        <is>
          <t>ÖSTERGÖTLANDS LÄN</t>
        </is>
      </c>
      <c r="E433" t="inlineStr">
        <is>
          <t>LINKÖPING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52111-2025</t>
        </is>
      </c>
      <c r="B434" s="1" t="n">
        <v>45952.69527777778</v>
      </c>
      <c r="C434" s="1" t="n">
        <v>46092</v>
      </c>
      <c r="D434" t="inlineStr">
        <is>
          <t>ÖSTERGÖTLANDS LÄN</t>
        </is>
      </c>
      <c r="E434" t="inlineStr">
        <is>
          <t>LINKÖPING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3044-2026</t>
        </is>
      </c>
      <c r="B435" s="1" t="n">
        <v>46038.73855324074</v>
      </c>
      <c r="C435" s="1" t="n">
        <v>46092</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6369-2023</t>
        </is>
      </c>
      <c r="B436" s="1" t="n">
        <v>44965.61106481482</v>
      </c>
      <c r="C436" s="1" t="n">
        <v>46092</v>
      </c>
      <c r="D436" t="inlineStr">
        <is>
          <t>ÖSTERGÖTLANDS LÄN</t>
        </is>
      </c>
      <c r="E436" t="inlineStr">
        <is>
          <t>LINKÖPING</t>
        </is>
      </c>
      <c r="G436" t="n">
        <v>4</v>
      </c>
      <c r="H436" t="n">
        <v>0</v>
      </c>
      <c r="I436" t="n">
        <v>0</v>
      </c>
      <c r="J436" t="n">
        <v>0</v>
      </c>
      <c r="K436" t="n">
        <v>0</v>
      </c>
      <c r="L436" t="n">
        <v>0</v>
      </c>
      <c r="M436" t="n">
        <v>0</v>
      </c>
      <c r="N436" t="n">
        <v>0</v>
      </c>
      <c r="O436" t="n">
        <v>0</v>
      </c>
      <c r="P436" t="n">
        <v>0</v>
      </c>
      <c r="Q436" t="n">
        <v>0</v>
      </c>
      <c r="R436" s="2" t="inlineStr"/>
    </row>
    <row r="437" ht="15" customHeight="1">
      <c r="A437" t="inlineStr">
        <is>
          <t>A 32723-2025</t>
        </is>
      </c>
      <c r="B437" s="1" t="n">
        <v>45838</v>
      </c>
      <c r="C437" s="1" t="n">
        <v>46092</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30980-2022</t>
        </is>
      </c>
      <c r="B438" s="1" t="n">
        <v>44768</v>
      </c>
      <c r="C438" s="1" t="n">
        <v>46092</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10764-2026</t>
        </is>
      </c>
      <c r="B439" s="1" t="n">
        <v>46078</v>
      </c>
      <c r="C439" s="1" t="n">
        <v>46092</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60007-2022</t>
        </is>
      </c>
      <c r="B440" s="1" t="n">
        <v>44909.47282407407</v>
      </c>
      <c r="C440" s="1" t="n">
        <v>46092</v>
      </c>
      <c r="D440" t="inlineStr">
        <is>
          <t>ÖSTERGÖTLANDS LÄN</t>
        </is>
      </c>
      <c r="E440" t="inlineStr">
        <is>
          <t>LINKÖPING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50799-2022</t>
        </is>
      </c>
      <c r="B441" s="1" t="n">
        <v>44862</v>
      </c>
      <c r="C441" s="1" t="n">
        <v>46092</v>
      </c>
      <c r="D441" t="inlineStr">
        <is>
          <t>ÖSTERGÖTLANDS LÄN</t>
        </is>
      </c>
      <c r="E441" t="inlineStr">
        <is>
          <t>LINKÖPING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52740-2025</t>
        </is>
      </c>
      <c r="B442" s="1" t="n">
        <v>45957.37747685185</v>
      </c>
      <c r="C442" s="1" t="n">
        <v>46092</v>
      </c>
      <c r="D442" t="inlineStr">
        <is>
          <t>ÖSTERGÖTLANDS LÄN</t>
        </is>
      </c>
      <c r="E442" t="inlineStr">
        <is>
          <t>LINKÖPING</t>
        </is>
      </c>
      <c r="G442" t="n">
        <v>3.7</v>
      </c>
      <c r="H442" t="n">
        <v>0</v>
      </c>
      <c r="I442" t="n">
        <v>0</v>
      </c>
      <c r="J442" t="n">
        <v>0</v>
      </c>
      <c r="K442" t="n">
        <v>0</v>
      </c>
      <c r="L442" t="n">
        <v>0</v>
      </c>
      <c r="M442" t="n">
        <v>0</v>
      </c>
      <c r="N442" t="n">
        <v>0</v>
      </c>
      <c r="O442" t="n">
        <v>0</v>
      </c>
      <c r="P442" t="n">
        <v>0</v>
      </c>
      <c r="Q442" t="n">
        <v>0</v>
      </c>
      <c r="R442" s="2" t="inlineStr"/>
    </row>
    <row r="443" ht="15" customHeight="1">
      <c r="A443" t="inlineStr">
        <is>
          <t>A 56064-2022</t>
        </is>
      </c>
      <c r="B443" s="1" t="n">
        <v>44889.59107638889</v>
      </c>
      <c r="C443" s="1" t="n">
        <v>46092</v>
      </c>
      <c r="D443" t="inlineStr">
        <is>
          <t>ÖSTERGÖTLANDS LÄN</t>
        </is>
      </c>
      <c r="E443" t="inlineStr">
        <is>
          <t>LINKÖPING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47703-2023</t>
        </is>
      </c>
      <c r="B444" s="1" t="n">
        <v>45203</v>
      </c>
      <c r="C444" s="1" t="n">
        <v>46092</v>
      </c>
      <c r="D444" t="inlineStr">
        <is>
          <t>ÖSTERGÖTLANDS LÄN</t>
        </is>
      </c>
      <c r="E444" t="inlineStr">
        <is>
          <t>LINKÖPING</t>
        </is>
      </c>
      <c r="G444" t="n">
        <v>4.1</v>
      </c>
      <c r="H444" t="n">
        <v>0</v>
      </c>
      <c r="I444" t="n">
        <v>0</v>
      </c>
      <c r="J444" t="n">
        <v>0</v>
      </c>
      <c r="K444" t="n">
        <v>0</v>
      </c>
      <c r="L444" t="n">
        <v>0</v>
      </c>
      <c r="M444" t="n">
        <v>0</v>
      </c>
      <c r="N444" t="n">
        <v>0</v>
      </c>
      <c r="O444" t="n">
        <v>0</v>
      </c>
      <c r="P444" t="n">
        <v>0</v>
      </c>
      <c r="Q444" t="n">
        <v>0</v>
      </c>
      <c r="R444" s="2" t="inlineStr"/>
    </row>
    <row r="445" ht="15" customHeight="1">
      <c r="A445" t="inlineStr">
        <is>
          <t>A 3046-2026</t>
        </is>
      </c>
      <c r="B445" s="1" t="n">
        <v>46038.74182870371</v>
      </c>
      <c r="C445" s="1" t="n">
        <v>46092</v>
      </c>
      <c r="D445" t="inlineStr">
        <is>
          <t>ÖSTERGÖTLANDS LÄN</t>
        </is>
      </c>
      <c r="E445" t="inlineStr">
        <is>
          <t>LINKÖPING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11888-2026</t>
        </is>
      </c>
      <c r="B446" s="1" t="n">
        <v>46085.51813657407</v>
      </c>
      <c r="C446" s="1" t="n">
        <v>46092</v>
      </c>
      <c r="D446" t="inlineStr">
        <is>
          <t>ÖSTERGÖTLANDS LÄN</t>
        </is>
      </c>
      <c r="E446" t="inlineStr">
        <is>
          <t>LINKÖPING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16111-2022</t>
        </is>
      </c>
      <c r="B447" s="1" t="n">
        <v>44665</v>
      </c>
      <c r="C447" s="1" t="n">
        <v>46092</v>
      </c>
      <c r="D447" t="inlineStr">
        <is>
          <t>ÖSTERGÖTLANDS LÄN</t>
        </is>
      </c>
      <c r="E447" t="inlineStr">
        <is>
          <t>LINKÖPING</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52800-2025</t>
        </is>
      </c>
      <c r="B448" s="1" t="n">
        <v>45957.44152777778</v>
      </c>
      <c r="C448" s="1" t="n">
        <v>46092</v>
      </c>
      <c r="D448" t="inlineStr">
        <is>
          <t>ÖSTERGÖTLANDS LÄN</t>
        </is>
      </c>
      <c r="E448" t="inlineStr">
        <is>
          <t>LINKÖPING</t>
        </is>
      </c>
      <c r="G448" t="n">
        <v>2.5</v>
      </c>
      <c r="H448" t="n">
        <v>0</v>
      </c>
      <c r="I448" t="n">
        <v>0</v>
      </c>
      <c r="J448" t="n">
        <v>0</v>
      </c>
      <c r="K448" t="n">
        <v>0</v>
      </c>
      <c r="L448" t="n">
        <v>0</v>
      </c>
      <c r="M448" t="n">
        <v>0</v>
      </c>
      <c r="N448" t="n">
        <v>0</v>
      </c>
      <c r="O448" t="n">
        <v>0</v>
      </c>
      <c r="P448" t="n">
        <v>0</v>
      </c>
      <c r="Q448" t="n">
        <v>0</v>
      </c>
      <c r="R448" s="2" t="inlineStr"/>
    </row>
    <row r="449" ht="15" customHeight="1">
      <c r="A449" t="inlineStr">
        <is>
          <t>A 52802-2025</t>
        </is>
      </c>
      <c r="B449" s="1" t="n">
        <v>45957.44295138889</v>
      </c>
      <c r="C449" s="1" t="n">
        <v>46092</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48962-2022</t>
        </is>
      </c>
      <c r="B450" s="1" t="n">
        <v>44860.31635416667</v>
      </c>
      <c r="C450" s="1" t="n">
        <v>46092</v>
      </c>
      <c r="D450" t="inlineStr">
        <is>
          <t>ÖSTERGÖTLANDS LÄN</t>
        </is>
      </c>
      <c r="E450" t="inlineStr">
        <is>
          <t>LINKÖPING</t>
        </is>
      </c>
      <c r="G450" t="n">
        <v>2.9</v>
      </c>
      <c r="H450" t="n">
        <v>0</v>
      </c>
      <c r="I450" t="n">
        <v>0</v>
      </c>
      <c r="J450" t="n">
        <v>0</v>
      </c>
      <c r="K450" t="n">
        <v>0</v>
      </c>
      <c r="L450" t="n">
        <v>0</v>
      </c>
      <c r="M450" t="n">
        <v>0</v>
      </c>
      <c r="N450" t="n">
        <v>0</v>
      </c>
      <c r="O450" t="n">
        <v>0</v>
      </c>
      <c r="P450" t="n">
        <v>0</v>
      </c>
      <c r="Q450" t="n">
        <v>0</v>
      </c>
      <c r="R450" s="2" t="inlineStr"/>
    </row>
    <row r="451" ht="15" customHeight="1">
      <c r="A451" t="inlineStr">
        <is>
          <t>A 52743-2025</t>
        </is>
      </c>
      <c r="B451" s="1" t="n">
        <v>45957.38039351852</v>
      </c>
      <c r="C451" s="1" t="n">
        <v>46092</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52807-2025</t>
        </is>
      </c>
      <c r="B452" s="1" t="n">
        <v>45957.44837962963</v>
      </c>
      <c r="C452" s="1" t="n">
        <v>46092</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27891-2021</t>
        </is>
      </c>
      <c r="B453" s="1" t="n">
        <v>44354.65108796296</v>
      </c>
      <c r="C453" s="1" t="n">
        <v>46092</v>
      </c>
      <c r="D453" t="inlineStr">
        <is>
          <t>ÖSTERGÖTLANDS LÄN</t>
        </is>
      </c>
      <c r="E453" t="inlineStr">
        <is>
          <t>LINKÖPING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33947-2025</t>
        </is>
      </c>
      <c r="B454" s="1" t="n">
        <v>45842.65444444444</v>
      </c>
      <c r="C454" s="1" t="n">
        <v>46092</v>
      </c>
      <c r="D454" t="inlineStr">
        <is>
          <t>ÖSTERGÖTLANDS LÄN</t>
        </is>
      </c>
      <c r="E454" t="inlineStr">
        <is>
          <t>LINKÖPING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53529-2024</t>
        </is>
      </c>
      <c r="B455" s="1" t="n">
        <v>45614</v>
      </c>
      <c r="C455" s="1" t="n">
        <v>46092</v>
      </c>
      <c r="D455" t="inlineStr">
        <is>
          <t>ÖSTERGÖTLANDS LÄN</t>
        </is>
      </c>
      <c r="E455" t="inlineStr">
        <is>
          <t>LINKÖPING</t>
        </is>
      </c>
      <c r="G455" t="n">
        <v>6.7</v>
      </c>
      <c r="H455" t="n">
        <v>0</v>
      </c>
      <c r="I455" t="n">
        <v>0</v>
      </c>
      <c r="J455" t="n">
        <v>0</v>
      </c>
      <c r="K455" t="n">
        <v>0</v>
      </c>
      <c r="L455" t="n">
        <v>0</v>
      </c>
      <c r="M455" t="n">
        <v>0</v>
      </c>
      <c r="N455" t="n">
        <v>0</v>
      </c>
      <c r="O455" t="n">
        <v>0</v>
      </c>
      <c r="P455" t="n">
        <v>0</v>
      </c>
      <c r="Q455" t="n">
        <v>0</v>
      </c>
      <c r="R455" s="2" t="inlineStr"/>
    </row>
    <row r="456" ht="15" customHeight="1">
      <c r="A456" t="inlineStr">
        <is>
          <t>A 11891-2026</t>
        </is>
      </c>
      <c r="B456" s="1" t="n">
        <v>46085.5197800926</v>
      </c>
      <c r="C456" s="1" t="n">
        <v>46092</v>
      </c>
      <c r="D456" t="inlineStr">
        <is>
          <t>ÖSTERGÖTLANDS LÄN</t>
        </is>
      </c>
      <c r="E456" t="inlineStr">
        <is>
          <t>LINKÖPING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62012-2024</t>
        </is>
      </c>
      <c r="B457" s="1" t="n">
        <v>45655.79679398148</v>
      </c>
      <c r="C457" s="1" t="n">
        <v>46092</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1268-2023</t>
        </is>
      </c>
      <c r="B458" s="1" t="n">
        <v>44936</v>
      </c>
      <c r="C458" s="1" t="n">
        <v>46092</v>
      </c>
      <c r="D458" t="inlineStr">
        <is>
          <t>ÖSTERGÖTLANDS LÄN</t>
        </is>
      </c>
      <c r="E458" t="inlineStr">
        <is>
          <t>LINKÖPING</t>
        </is>
      </c>
      <c r="G458" t="n">
        <v>4.6</v>
      </c>
      <c r="H458" t="n">
        <v>0</v>
      </c>
      <c r="I458" t="n">
        <v>0</v>
      </c>
      <c r="J458" t="n">
        <v>0</v>
      </c>
      <c r="K458" t="n">
        <v>0</v>
      </c>
      <c r="L458" t="n">
        <v>0</v>
      </c>
      <c r="M458" t="n">
        <v>0</v>
      </c>
      <c r="N458" t="n">
        <v>0</v>
      </c>
      <c r="O458" t="n">
        <v>0</v>
      </c>
      <c r="P458" t="n">
        <v>0</v>
      </c>
      <c r="Q458" t="n">
        <v>0</v>
      </c>
      <c r="R458" s="2" t="inlineStr"/>
    </row>
    <row r="459" ht="15" customHeight="1">
      <c r="A459" t="inlineStr">
        <is>
          <t>A 62687-2023</t>
        </is>
      </c>
      <c r="B459" s="1" t="n">
        <v>45271</v>
      </c>
      <c r="C459" s="1" t="n">
        <v>46092</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34641-2022</t>
        </is>
      </c>
      <c r="B460" s="1" t="n">
        <v>44795</v>
      </c>
      <c r="C460" s="1" t="n">
        <v>46092</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20469-2025</t>
        </is>
      </c>
      <c r="B461" s="1" t="n">
        <v>45775</v>
      </c>
      <c r="C461" s="1" t="n">
        <v>46092</v>
      </c>
      <c r="D461" t="inlineStr">
        <is>
          <t>ÖSTERGÖTLANDS LÄN</t>
        </is>
      </c>
      <c r="E461" t="inlineStr">
        <is>
          <t>LINKÖPING</t>
        </is>
      </c>
      <c r="F461" t="inlineStr">
        <is>
          <t>Kyrkan</t>
        </is>
      </c>
      <c r="G461" t="n">
        <v>6.1</v>
      </c>
      <c r="H461" t="n">
        <v>0</v>
      </c>
      <c r="I461" t="n">
        <v>0</v>
      </c>
      <c r="J461" t="n">
        <v>0</v>
      </c>
      <c r="K461" t="n">
        <v>0</v>
      </c>
      <c r="L461" t="n">
        <v>0</v>
      </c>
      <c r="M461" t="n">
        <v>0</v>
      </c>
      <c r="N461" t="n">
        <v>0</v>
      </c>
      <c r="O461" t="n">
        <v>0</v>
      </c>
      <c r="P461" t="n">
        <v>0</v>
      </c>
      <c r="Q461" t="n">
        <v>0</v>
      </c>
      <c r="R461" s="2" t="inlineStr"/>
    </row>
    <row r="462" ht="15" customHeight="1">
      <c r="A462" t="inlineStr">
        <is>
          <t>A 938-2023</t>
        </is>
      </c>
      <c r="B462" s="1" t="n">
        <v>44933</v>
      </c>
      <c r="C462" s="1" t="n">
        <v>46092</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2389-2023</t>
        </is>
      </c>
      <c r="B463" s="1" t="n">
        <v>44942</v>
      </c>
      <c r="C463" s="1" t="n">
        <v>46092</v>
      </c>
      <c r="D463" t="inlineStr">
        <is>
          <t>ÖSTERGÖTLANDS LÄN</t>
        </is>
      </c>
      <c r="E463" t="inlineStr">
        <is>
          <t>LINKÖPING</t>
        </is>
      </c>
      <c r="G463" t="n">
        <v>3.3</v>
      </c>
      <c r="H463" t="n">
        <v>0</v>
      </c>
      <c r="I463" t="n">
        <v>0</v>
      </c>
      <c r="J463" t="n">
        <v>0</v>
      </c>
      <c r="K463" t="n">
        <v>0</v>
      </c>
      <c r="L463" t="n">
        <v>0</v>
      </c>
      <c r="M463" t="n">
        <v>0</v>
      </c>
      <c r="N463" t="n">
        <v>0</v>
      </c>
      <c r="O463" t="n">
        <v>0</v>
      </c>
      <c r="P463" t="n">
        <v>0</v>
      </c>
      <c r="Q463" t="n">
        <v>0</v>
      </c>
      <c r="R463" s="2" t="inlineStr"/>
    </row>
    <row r="464" ht="15" customHeight="1">
      <c r="A464" t="inlineStr">
        <is>
          <t>A 12251-2026</t>
        </is>
      </c>
      <c r="B464" s="1" t="n">
        <v>46087.45278935185</v>
      </c>
      <c r="C464" s="1" t="n">
        <v>46092</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12254-2026</t>
        </is>
      </c>
      <c r="B465" s="1" t="n">
        <v>46087.46196759259</v>
      </c>
      <c r="C465" s="1" t="n">
        <v>46092</v>
      </c>
      <c r="D465" t="inlineStr">
        <is>
          <t>ÖSTERGÖTLANDS LÄN</t>
        </is>
      </c>
      <c r="E465" t="inlineStr">
        <is>
          <t>LINKÖPING</t>
        </is>
      </c>
      <c r="G465" t="n">
        <v>10.4</v>
      </c>
      <c r="H465" t="n">
        <v>0</v>
      </c>
      <c r="I465" t="n">
        <v>0</v>
      </c>
      <c r="J465" t="n">
        <v>0</v>
      </c>
      <c r="K465" t="n">
        <v>0</v>
      </c>
      <c r="L465" t="n">
        <v>0</v>
      </c>
      <c r="M465" t="n">
        <v>0</v>
      </c>
      <c r="N465" t="n">
        <v>0</v>
      </c>
      <c r="O465" t="n">
        <v>0</v>
      </c>
      <c r="P465" t="n">
        <v>0</v>
      </c>
      <c r="Q465" t="n">
        <v>0</v>
      </c>
      <c r="R465" s="2" t="inlineStr"/>
    </row>
    <row r="466" ht="15" customHeight="1">
      <c r="A466" t="inlineStr">
        <is>
          <t>A 48-2024</t>
        </is>
      </c>
      <c r="B466" s="1" t="n">
        <v>45293</v>
      </c>
      <c r="C466" s="1" t="n">
        <v>46092</v>
      </c>
      <c r="D466" t="inlineStr">
        <is>
          <t>ÖSTERGÖTLANDS LÄN</t>
        </is>
      </c>
      <c r="E466" t="inlineStr">
        <is>
          <t>LINKÖPING</t>
        </is>
      </c>
      <c r="G466" t="n">
        <v>4.6</v>
      </c>
      <c r="H466" t="n">
        <v>0</v>
      </c>
      <c r="I466" t="n">
        <v>0</v>
      </c>
      <c r="J466" t="n">
        <v>0</v>
      </c>
      <c r="K466" t="n">
        <v>0</v>
      </c>
      <c r="L466" t="n">
        <v>0</v>
      </c>
      <c r="M466" t="n">
        <v>0</v>
      </c>
      <c r="N466" t="n">
        <v>0</v>
      </c>
      <c r="O466" t="n">
        <v>0</v>
      </c>
      <c r="P466" t="n">
        <v>0</v>
      </c>
      <c r="Q466" t="n">
        <v>0</v>
      </c>
      <c r="R466" s="2" t="inlineStr"/>
    </row>
    <row r="467" ht="15" customHeight="1">
      <c r="A467" t="inlineStr">
        <is>
          <t>A 54332-2025</t>
        </is>
      </c>
      <c r="B467" s="1" t="n">
        <v>45965.34915509259</v>
      </c>
      <c r="C467" s="1" t="n">
        <v>46092</v>
      </c>
      <c r="D467" t="inlineStr">
        <is>
          <t>ÖSTERGÖTLANDS LÄN</t>
        </is>
      </c>
      <c r="E467" t="inlineStr">
        <is>
          <t>LINKÖPING</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45771-2023</t>
        </is>
      </c>
      <c r="B468" s="1" t="n">
        <v>45195.4384375</v>
      </c>
      <c r="C468" s="1" t="n">
        <v>46092</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30547-2023</t>
        </is>
      </c>
      <c r="B469" s="1" t="n">
        <v>45111.75905092592</v>
      </c>
      <c r="C469" s="1" t="n">
        <v>46092</v>
      </c>
      <c r="D469" t="inlineStr">
        <is>
          <t>ÖSTERGÖTLANDS LÄN</t>
        </is>
      </c>
      <c r="E469" t="inlineStr">
        <is>
          <t>LINKÖPING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40502-2024</t>
        </is>
      </c>
      <c r="B470" s="1" t="n">
        <v>45555.57263888889</v>
      </c>
      <c r="C470" s="1" t="n">
        <v>46092</v>
      </c>
      <c r="D470" t="inlineStr">
        <is>
          <t>ÖSTERGÖTLANDS LÄN</t>
        </is>
      </c>
      <c r="E470" t="inlineStr">
        <is>
          <t>LINKÖPING</t>
        </is>
      </c>
      <c r="F470" t="inlineStr">
        <is>
          <t>Allmännings- och besparingsskogar</t>
        </is>
      </c>
      <c r="G470" t="n">
        <v>17.5</v>
      </c>
      <c r="H470" t="n">
        <v>0</v>
      </c>
      <c r="I470" t="n">
        <v>0</v>
      </c>
      <c r="J470" t="n">
        <v>0</v>
      </c>
      <c r="K470" t="n">
        <v>0</v>
      </c>
      <c r="L470" t="n">
        <v>0</v>
      </c>
      <c r="M470" t="n">
        <v>0</v>
      </c>
      <c r="N470" t="n">
        <v>0</v>
      </c>
      <c r="O470" t="n">
        <v>0</v>
      </c>
      <c r="P470" t="n">
        <v>0</v>
      </c>
      <c r="Q470" t="n">
        <v>0</v>
      </c>
      <c r="R470" s="2" t="inlineStr"/>
    </row>
    <row r="471" ht="15" customHeight="1">
      <c r="A471" t="inlineStr">
        <is>
          <t>A 54329-2025</t>
        </is>
      </c>
      <c r="B471" s="1" t="n">
        <v>45965.34706018519</v>
      </c>
      <c r="C471" s="1" t="n">
        <v>46092</v>
      </c>
      <c r="D471" t="inlineStr">
        <is>
          <t>ÖSTERGÖTLANDS LÄN</t>
        </is>
      </c>
      <c r="E471" t="inlineStr">
        <is>
          <t>LINKÖPING</t>
        </is>
      </c>
      <c r="F471" t="inlineStr">
        <is>
          <t>Sveaskog</t>
        </is>
      </c>
      <c r="G471" t="n">
        <v>5.1</v>
      </c>
      <c r="H471" t="n">
        <v>0</v>
      </c>
      <c r="I471" t="n">
        <v>0</v>
      </c>
      <c r="J471" t="n">
        <v>0</v>
      </c>
      <c r="K471" t="n">
        <v>0</v>
      </c>
      <c r="L471" t="n">
        <v>0</v>
      </c>
      <c r="M471" t="n">
        <v>0</v>
      </c>
      <c r="N471" t="n">
        <v>0</v>
      </c>
      <c r="O471" t="n">
        <v>0</v>
      </c>
      <c r="P471" t="n">
        <v>0</v>
      </c>
      <c r="Q471" t="n">
        <v>0</v>
      </c>
      <c r="R471" s="2" t="inlineStr"/>
    </row>
    <row r="472" ht="15" customHeight="1">
      <c r="A472" t="inlineStr">
        <is>
          <t>A 4469-2026</t>
        </is>
      </c>
      <c r="B472" s="1" t="n">
        <v>46045.65662037037</v>
      </c>
      <c r="C472" s="1" t="n">
        <v>46092</v>
      </c>
      <c r="D472" t="inlineStr">
        <is>
          <t>ÖSTERGÖTLANDS LÄN</t>
        </is>
      </c>
      <c r="E472" t="inlineStr">
        <is>
          <t>LINKÖPING</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12247-2026</t>
        </is>
      </c>
      <c r="B473" s="1" t="n">
        <v>46087.44436342592</v>
      </c>
      <c r="C473" s="1" t="n">
        <v>46092</v>
      </c>
      <c r="D473" t="inlineStr">
        <is>
          <t>ÖSTERGÖTLANDS LÄN</t>
        </is>
      </c>
      <c r="E473" t="inlineStr">
        <is>
          <t>LINKÖPING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12255-2026</t>
        </is>
      </c>
      <c r="B474" s="1" t="n">
        <v>46087.46630787037</v>
      </c>
      <c r="C474" s="1" t="n">
        <v>46092</v>
      </c>
      <c r="D474" t="inlineStr">
        <is>
          <t>ÖSTERGÖTLANDS LÄN</t>
        </is>
      </c>
      <c r="E474" t="inlineStr">
        <is>
          <t>LINKÖPING</t>
        </is>
      </c>
      <c r="F474" t="inlineStr">
        <is>
          <t>Övriga Aktiebolag</t>
        </is>
      </c>
      <c r="G474" t="n">
        <v>3.2</v>
      </c>
      <c r="H474" t="n">
        <v>0</v>
      </c>
      <c r="I474" t="n">
        <v>0</v>
      </c>
      <c r="J474" t="n">
        <v>0</v>
      </c>
      <c r="K474" t="n">
        <v>0</v>
      </c>
      <c r="L474" t="n">
        <v>0</v>
      </c>
      <c r="M474" t="n">
        <v>0</v>
      </c>
      <c r="N474" t="n">
        <v>0</v>
      </c>
      <c r="O474" t="n">
        <v>0</v>
      </c>
      <c r="P474" t="n">
        <v>0</v>
      </c>
      <c r="Q474" t="n">
        <v>0</v>
      </c>
      <c r="R474" s="2" t="inlineStr"/>
    </row>
    <row r="475" ht="15" customHeight="1">
      <c r="A475" t="inlineStr">
        <is>
          <t>A 24464-2023</t>
        </is>
      </c>
      <c r="B475" s="1" t="n">
        <v>45082.58068287037</v>
      </c>
      <c r="C475" s="1" t="n">
        <v>46092</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24467-2023</t>
        </is>
      </c>
      <c r="B476" s="1" t="n">
        <v>45082</v>
      </c>
      <c r="C476" s="1" t="n">
        <v>46092</v>
      </c>
      <c r="D476" t="inlineStr">
        <is>
          <t>ÖSTERGÖTLANDS LÄN</t>
        </is>
      </c>
      <c r="E476" t="inlineStr">
        <is>
          <t>LINKÖPING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48389-2024</t>
        </is>
      </c>
      <c r="B477" s="1" t="n">
        <v>45590.59991898148</v>
      </c>
      <c r="C477" s="1" t="n">
        <v>46092</v>
      </c>
      <c r="D477" t="inlineStr">
        <is>
          <t>ÖSTERGÖTLANDS LÄN</t>
        </is>
      </c>
      <c r="E477" t="inlineStr">
        <is>
          <t>LINKÖPING</t>
        </is>
      </c>
      <c r="G477" t="n">
        <v>2.6</v>
      </c>
      <c r="H477" t="n">
        <v>0</v>
      </c>
      <c r="I477" t="n">
        <v>0</v>
      </c>
      <c r="J477" t="n">
        <v>0</v>
      </c>
      <c r="K477" t="n">
        <v>0</v>
      </c>
      <c r="L477" t="n">
        <v>0</v>
      </c>
      <c r="M477" t="n">
        <v>0</v>
      </c>
      <c r="N477" t="n">
        <v>0</v>
      </c>
      <c r="O477" t="n">
        <v>0</v>
      </c>
      <c r="P477" t="n">
        <v>0</v>
      </c>
      <c r="Q477" t="n">
        <v>0</v>
      </c>
      <c r="R477" s="2" t="inlineStr"/>
    </row>
    <row r="478" ht="15" customHeight="1">
      <c r="A478" t="inlineStr">
        <is>
          <t>A 54333-2025</t>
        </is>
      </c>
      <c r="B478" s="1" t="n">
        <v>45965.35090277778</v>
      </c>
      <c r="C478" s="1" t="n">
        <v>46092</v>
      </c>
      <c r="D478" t="inlineStr">
        <is>
          <t>ÖSTERGÖTLANDS LÄN</t>
        </is>
      </c>
      <c r="E478" t="inlineStr">
        <is>
          <t>LINKÖPING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33800-2023</t>
        </is>
      </c>
      <c r="B479" s="1" t="n">
        <v>45121</v>
      </c>
      <c r="C479" s="1" t="n">
        <v>46092</v>
      </c>
      <c r="D479" t="inlineStr">
        <is>
          <t>ÖSTERGÖTLANDS LÄN</t>
        </is>
      </c>
      <c r="E479" t="inlineStr">
        <is>
          <t>LINKÖPING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26007-2025</t>
        </is>
      </c>
      <c r="B480" s="1" t="n">
        <v>45804.67081018518</v>
      </c>
      <c r="C480" s="1" t="n">
        <v>46092</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35174-2025</t>
        </is>
      </c>
      <c r="B481" s="1" t="n">
        <v>45852.90648148148</v>
      </c>
      <c r="C481" s="1" t="n">
        <v>46092</v>
      </c>
      <c r="D481" t="inlineStr">
        <is>
          <t>ÖSTERGÖTLANDS LÄN</t>
        </is>
      </c>
      <c r="E481" t="inlineStr">
        <is>
          <t>LINKÖPING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56792-2023</t>
        </is>
      </c>
      <c r="B482" s="1" t="n">
        <v>45244</v>
      </c>
      <c r="C482" s="1" t="n">
        <v>46092</v>
      </c>
      <c r="D482" t="inlineStr">
        <is>
          <t>ÖSTERGÖTLANDS LÄN</t>
        </is>
      </c>
      <c r="E482" t="inlineStr">
        <is>
          <t>LINKÖPING</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38886-2024</t>
        </is>
      </c>
      <c r="B483" s="1" t="n">
        <v>45547.66443287037</v>
      </c>
      <c r="C483" s="1" t="n">
        <v>46092</v>
      </c>
      <c r="D483" t="inlineStr">
        <is>
          <t>ÖSTERGÖTLANDS LÄN</t>
        </is>
      </c>
      <c r="E483" t="inlineStr">
        <is>
          <t>LINKÖPING</t>
        </is>
      </c>
      <c r="G483" t="n">
        <v>5.3</v>
      </c>
      <c r="H483" t="n">
        <v>0</v>
      </c>
      <c r="I483" t="n">
        <v>0</v>
      </c>
      <c r="J483" t="n">
        <v>0</v>
      </c>
      <c r="K483" t="n">
        <v>0</v>
      </c>
      <c r="L483" t="n">
        <v>0</v>
      </c>
      <c r="M483" t="n">
        <v>0</v>
      </c>
      <c r="N483" t="n">
        <v>0</v>
      </c>
      <c r="O483" t="n">
        <v>0</v>
      </c>
      <c r="P483" t="n">
        <v>0</v>
      </c>
      <c r="Q483" t="n">
        <v>0</v>
      </c>
      <c r="R483" s="2" t="inlineStr"/>
    </row>
    <row r="484" ht="15" customHeight="1">
      <c r="A484" t="inlineStr">
        <is>
          <t>A 47991-2023</t>
        </is>
      </c>
      <c r="B484" s="1" t="n">
        <v>45204.62655092592</v>
      </c>
      <c r="C484" s="1" t="n">
        <v>46092</v>
      </c>
      <c r="D484" t="inlineStr">
        <is>
          <t>ÖSTERGÖTLANDS LÄN</t>
        </is>
      </c>
      <c r="E484" t="inlineStr">
        <is>
          <t>LINKÖPING</t>
        </is>
      </c>
      <c r="F484" t="inlineStr">
        <is>
          <t>Allmännings- och besparingsskogar</t>
        </is>
      </c>
      <c r="G484" t="n">
        <v>7.3</v>
      </c>
      <c r="H484" t="n">
        <v>0</v>
      </c>
      <c r="I484" t="n">
        <v>0</v>
      </c>
      <c r="J484" t="n">
        <v>0</v>
      </c>
      <c r="K484" t="n">
        <v>0</v>
      </c>
      <c r="L484" t="n">
        <v>0</v>
      </c>
      <c r="M484" t="n">
        <v>0</v>
      </c>
      <c r="N484" t="n">
        <v>0</v>
      </c>
      <c r="O484" t="n">
        <v>0</v>
      </c>
      <c r="P484" t="n">
        <v>0</v>
      </c>
      <c r="Q484" t="n">
        <v>0</v>
      </c>
      <c r="R484" s="2" t="inlineStr"/>
    </row>
    <row r="485" ht="15" customHeight="1">
      <c r="A485" t="inlineStr">
        <is>
          <t>A 35179-2025</t>
        </is>
      </c>
      <c r="B485" s="1" t="n">
        <v>45852.93737268518</v>
      </c>
      <c r="C485" s="1" t="n">
        <v>46092</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35180-2025</t>
        </is>
      </c>
      <c r="B486" s="1" t="n">
        <v>45852.9413425926</v>
      </c>
      <c r="C486" s="1" t="n">
        <v>46092</v>
      </c>
      <c r="D486" t="inlineStr">
        <is>
          <t>ÖSTERGÖTLANDS LÄN</t>
        </is>
      </c>
      <c r="E486" t="inlineStr">
        <is>
          <t>LINKÖPING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12486-2026</t>
        </is>
      </c>
      <c r="B487" s="1" t="n">
        <v>46090.56501157407</v>
      </c>
      <c r="C487" s="1" t="n">
        <v>46092</v>
      </c>
      <c r="D487" t="inlineStr">
        <is>
          <t>ÖSTERGÖTLANDS LÄN</t>
        </is>
      </c>
      <c r="E487" t="inlineStr">
        <is>
          <t>LINKÖPING</t>
        </is>
      </c>
      <c r="G487" t="n">
        <v>2.6</v>
      </c>
      <c r="H487" t="n">
        <v>0</v>
      </c>
      <c r="I487" t="n">
        <v>0</v>
      </c>
      <c r="J487" t="n">
        <v>0</v>
      </c>
      <c r="K487" t="n">
        <v>0</v>
      </c>
      <c r="L487" t="n">
        <v>0</v>
      </c>
      <c r="M487" t="n">
        <v>0</v>
      </c>
      <c r="N487" t="n">
        <v>0</v>
      </c>
      <c r="O487" t="n">
        <v>0</v>
      </c>
      <c r="P487" t="n">
        <v>0</v>
      </c>
      <c r="Q487" t="n">
        <v>0</v>
      </c>
      <c r="R487" s="2" t="inlineStr"/>
    </row>
    <row r="488" ht="15" customHeight="1">
      <c r="A488" t="inlineStr">
        <is>
          <t>A 35178-2025</t>
        </is>
      </c>
      <c r="B488" s="1" t="n">
        <v>45852.91939814815</v>
      </c>
      <c r="C488" s="1" t="n">
        <v>46092</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39017-2021</t>
        </is>
      </c>
      <c r="B489" s="1" t="n">
        <v>44412</v>
      </c>
      <c r="C489" s="1" t="n">
        <v>46092</v>
      </c>
      <c r="D489" t="inlineStr">
        <is>
          <t>ÖSTERGÖTLANDS LÄN</t>
        </is>
      </c>
      <c r="E489" t="inlineStr">
        <is>
          <t>LINKÖPING</t>
        </is>
      </c>
      <c r="F489" t="inlineStr">
        <is>
          <t>Övriga statliga verk och myndigheter</t>
        </is>
      </c>
      <c r="G489" t="n">
        <v>0.8</v>
      </c>
      <c r="H489" t="n">
        <v>0</v>
      </c>
      <c r="I489" t="n">
        <v>0</v>
      </c>
      <c r="J489" t="n">
        <v>0</v>
      </c>
      <c r="K489" t="n">
        <v>0</v>
      </c>
      <c r="L489" t="n">
        <v>0</v>
      </c>
      <c r="M489" t="n">
        <v>0</v>
      </c>
      <c r="N489" t="n">
        <v>0</v>
      </c>
      <c r="O489" t="n">
        <v>0</v>
      </c>
      <c r="P489" t="n">
        <v>0</v>
      </c>
      <c r="Q489" t="n">
        <v>0</v>
      </c>
      <c r="R489" s="2" t="inlineStr"/>
    </row>
    <row r="490" ht="15" customHeight="1">
      <c r="A490" t="inlineStr">
        <is>
          <t>A 10477-2026</t>
        </is>
      </c>
      <c r="B490" s="1" t="n">
        <v>46077.4871875</v>
      </c>
      <c r="C490" s="1" t="n">
        <v>46092</v>
      </c>
      <c r="D490" t="inlineStr">
        <is>
          <t>ÖSTERGÖTLANDS LÄN</t>
        </is>
      </c>
      <c r="E490" t="inlineStr">
        <is>
          <t>LINKÖPING</t>
        </is>
      </c>
      <c r="G490" t="n">
        <v>9.6</v>
      </c>
      <c r="H490" t="n">
        <v>0</v>
      </c>
      <c r="I490" t="n">
        <v>0</v>
      </c>
      <c r="J490" t="n">
        <v>0</v>
      </c>
      <c r="K490" t="n">
        <v>0</v>
      </c>
      <c r="L490" t="n">
        <v>0</v>
      </c>
      <c r="M490" t="n">
        <v>0</v>
      </c>
      <c r="N490" t="n">
        <v>0</v>
      </c>
      <c r="O490" t="n">
        <v>0</v>
      </c>
      <c r="P490" t="n">
        <v>0</v>
      </c>
      <c r="Q490" t="n">
        <v>0</v>
      </c>
      <c r="R490" s="2" t="inlineStr"/>
    </row>
    <row r="491" ht="15" customHeight="1">
      <c r="A491" t="inlineStr">
        <is>
          <t>A 55102-2025</t>
        </is>
      </c>
      <c r="B491" s="1" t="n">
        <v>45968.35410879629</v>
      </c>
      <c r="C491" s="1" t="n">
        <v>46092</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1260-2023</t>
        </is>
      </c>
      <c r="B492" s="1" t="n">
        <v>44936</v>
      </c>
      <c r="C492" s="1" t="n">
        <v>46092</v>
      </c>
      <c r="D492" t="inlineStr">
        <is>
          <t>ÖSTERGÖTLANDS LÄN</t>
        </is>
      </c>
      <c r="E492" t="inlineStr">
        <is>
          <t>LINKÖPING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55132-2025</t>
        </is>
      </c>
      <c r="B493" s="1" t="n">
        <v>45968.41912037037</v>
      </c>
      <c r="C493" s="1" t="n">
        <v>46092</v>
      </c>
      <c r="D493" t="inlineStr">
        <is>
          <t>ÖSTERGÖTLANDS LÄN</t>
        </is>
      </c>
      <c r="E493" t="inlineStr">
        <is>
          <t>LINKÖPING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1355-2023</t>
        </is>
      </c>
      <c r="B494" s="1" t="n">
        <v>44931</v>
      </c>
      <c r="C494" s="1" t="n">
        <v>46092</v>
      </c>
      <c r="D494" t="inlineStr">
        <is>
          <t>ÖSTERGÖTLANDS LÄN</t>
        </is>
      </c>
      <c r="E494" t="inlineStr">
        <is>
          <t>LINKÖPING</t>
        </is>
      </c>
      <c r="G494" t="n">
        <v>4</v>
      </c>
      <c r="H494" t="n">
        <v>0</v>
      </c>
      <c r="I494" t="n">
        <v>0</v>
      </c>
      <c r="J494" t="n">
        <v>0</v>
      </c>
      <c r="K494" t="n">
        <v>0</v>
      </c>
      <c r="L494" t="n">
        <v>0</v>
      </c>
      <c r="M494" t="n">
        <v>0</v>
      </c>
      <c r="N494" t="n">
        <v>0</v>
      </c>
      <c r="O494" t="n">
        <v>0</v>
      </c>
      <c r="P494" t="n">
        <v>0</v>
      </c>
      <c r="Q494" t="n">
        <v>0</v>
      </c>
      <c r="R494" s="2" t="inlineStr"/>
    </row>
    <row r="495" ht="15" customHeight="1">
      <c r="A495" t="inlineStr">
        <is>
          <t>A 55109-2025</t>
        </is>
      </c>
      <c r="B495" s="1" t="n">
        <v>45968.37731481482</v>
      </c>
      <c r="C495" s="1" t="n">
        <v>46092</v>
      </c>
      <c r="D495" t="inlineStr">
        <is>
          <t>ÖSTERGÖTLANDS LÄN</t>
        </is>
      </c>
      <c r="E495" t="inlineStr">
        <is>
          <t>LINKÖPING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35757-2025</t>
        </is>
      </c>
      <c r="B496" s="1" t="n">
        <v>45860.59876157407</v>
      </c>
      <c r="C496" s="1" t="n">
        <v>46092</v>
      </c>
      <c r="D496" t="inlineStr">
        <is>
          <t>ÖSTERGÖTLANDS LÄN</t>
        </is>
      </c>
      <c r="E496" t="inlineStr">
        <is>
          <t>LINKÖPING</t>
        </is>
      </c>
      <c r="G496" t="n">
        <v>5.7</v>
      </c>
      <c r="H496" t="n">
        <v>0</v>
      </c>
      <c r="I496" t="n">
        <v>0</v>
      </c>
      <c r="J496" t="n">
        <v>0</v>
      </c>
      <c r="K496" t="n">
        <v>0</v>
      </c>
      <c r="L496" t="n">
        <v>0</v>
      </c>
      <c r="M496" t="n">
        <v>0</v>
      </c>
      <c r="N496" t="n">
        <v>0</v>
      </c>
      <c r="O496" t="n">
        <v>0</v>
      </c>
      <c r="P496" t="n">
        <v>0</v>
      </c>
      <c r="Q496" t="n">
        <v>0</v>
      </c>
      <c r="R496" s="2" t="inlineStr"/>
    </row>
    <row r="497" ht="15" customHeight="1">
      <c r="A497" t="inlineStr">
        <is>
          <t>A 35745-2025</t>
        </is>
      </c>
      <c r="B497" s="1" t="n">
        <v>45860.54739583333</v>
      </c>
      <c r="C497" s="1" t="n">
        <v>46092</v>
      </c>
      <c r="D497" t="inlineStr">
        <is>
          <t>ÖSTERGÖTLANDS LÄN</t>
        </is>
      </c>
      <c r="E497" t="inlineStr">
        <is>
          <t>LINKÖPING</t>
        </is>
      </c>
      <c r="G497" t="n">
        <v>4.4</v>
      </c>
      <c r="H497" t="n">
        <v>0</v>
      </c>
      <c r="I497" t="n">
        <v>0</v>
      </c>
      <c r="J497" t="n">
        <v>0</v>
      </c>
      <c r="K497" t="n">
        <v>0</v>
      </c>
      <c r="L497" t="n">
        <v>0</v>
      </c>
      <c r="M497" t="n">
        <v>0</v>
      </c>
      <c r="N497" t="n">
        <v>0</v>
      </c>
      <c r="O497" t="n">
        <v>0</v>
      </c>
      <c r="P497" t="n">
        <v>0</v>
      </c>
      <c r="Q497" t="n">
        <v>0</v>
      </c>
      <c r="R497" s="2" t="inlineStr"/>
    </row>
    <row r="498" ht="15" customHeight="1">
      <c r="A498" t="inlineStr">
        <is>
          <t>A 35747-2025</t>
        </is>
      </c>
      <c r="B498" s="1" t="n">
        <v>45860.56385416666</v>
      </c>
      <c r="C498" s="1" t="n">
        <v>46092</v>
      </c>
      <c r="D498" t="inlineStr">
        <is>
          <t>ÖSTERGÖTLANDS LÄN</t>
        </is>
      </c>
      <c r="E498" t="inlineStr">
        <is>
          <t>LINKÖPING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3007-2025</t>
        </is>
      </c>
      <c r="B499" s="1" t="n">
        <v>45678.56328703704</v>
      </c>
      <c r="C499" s="1" t="n">
        <v>46092</v>
      </c>
      <c r="D499" t="inlineStr">
        <is>
          <t>ÖSTERGÖTLANDS LÄN</t>
        </is>
      </c>
      <c r="E499" t="inlineStr">
        <is>
          <t>LINKÖPING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35759-2025</t>
        </is>
      </c>
      <c r="B500" s="1" t="n">
        <v>45860</v>
      </c>
      <c r="C500" s="1" t="n">
        <v>46092</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10492-2022</t>
        </is>
      </c>
      <c r="B501" s="1" t="n">
        <v>44623.6377199074</v>
      </c>
      <c r="C501" s="1" t="n">
        <v>46092</v>
      </c>
      <c r="D501" t="inlineStr">
        <is>
          <t>ÖSTERGÖTLANDS LÄN</t>
        </is>
      </c>
      <c r="E501" t="inlineStr">
        <is>
          <t>LINKÖPING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30465-2023</t>
        </is>
      </c>
      <c r="B502" s="1" t="n">
        <v>45111</v>
      </c>
      <c r="C502" s="1" t="n">
        <v>46092</v>
      </c>
      <c r="D502" t="inlineStr">
        <is>
          <t>ÖSTERGÖTLANDS LÄN</t>
        </is>
      </c>
      <c r="E502" t="inlineStr">
        <is>
          <t>LINKÖPING</t>
        </is>
      </c>
      <c r="F502" t="inlineStr">
        <is>
          <t>Övriga Aktiebolag</t>
        </is>
      </c>
      <c r="G502" t="n">
        <v>0.7</v>
      </c>
      <c r="H502" t="n">
        <v>0</v>
      </c>
      <c r="I502" t="n">
        <v>0</v>
      </c>
      <c r="J502" t="n">
        <v>0</v>
      </c>
      <c r="K502" t="n">
        <v>0</v>
      </c>
      <c r="L502" t="n">
        <v>0</v>
      </c>
      <c r="M502" t="n">
        <v>0</v>
      </c>
      <c r="N502" t="n">
        <v>0</v>
      </c>
      <c r="O502" t="n">
        <v>0</v>
      </c>
      <c r="P502" t="n">
        <v>0</v>
      </c>
      <c r="Q502" t="n">
        <v>0</v>
      </c>
      <c r="R502" s="2" t="inlineStr"/>
    </row>
    <row r="503" ht="15" customHeight="1">
      <c r="A503" t="inlineStr">
        <is>
          <t>A 5099-2026</t>
        </is>
      </c>
      <c r="B503" s="1" t="n">
        <v>46049.56158564815</v>
      </c>
      <c r="C503" s="1" t="n">
        <v>46092</v>
      </c>
      <c r="D503" t="inlineStr">
        <is>
          <t>ÖSTERGÖTLANDS LÄN</t>
        </is>
      </c>
      <c r="E503" t="inlineStr">
        <is>
          <t>LINKÖPING</t>
        </is>
      </c>
      <c r="G503" t="n">
        <v>5</v>
      </c>
      <c r="H503" t="n">
        <v>0</v>
      </c>
      <c r="I503" t="n">
        <v>0</v>
      </c>
      <c r="J503" t="n">
        <v>0</v>
      </c>
      <c r="K503" t="n">
        <v>0</v>
      </c>
      <c r="L503" t="n">
        <v>0</v>
      </c>
      <c r="M503" t="n">
        <v>0</v>
      </c>
      <c r="N503" t="n">
        <v>0</v>
      </c>
      <c r="O503" t="n">
        <v>0</v>
      </c>
      <c r="P503" t="n">
        <v>0</v>
      </c>
      <c r="Q503" t="n">
        <v>0</v>
      </c>
      <c r="R503" s="2" t="inlineStr"/>
    </row>
    <row r="504" ht="15" customHeight="1">
      <c r="A504" t="inlineStr">
        <is>
          <t>A 39021-2021</t>
        </is>
      </c>
      <c r="B504" s="1" t="n">
        <v>44412</v>
      </c>
      <c r="C504" s="1" t="n">
        <v>46092</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12482-2026</t>
        </is>
      </c>
      <c r="B505" s="1" t="n">
        <v>46090.56292824074</v>
      </c>
      <c r="C505" s="1" t="n">
        <v>46092</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62353-2022</t>
        </is>
      </c>
      <c r="B506" s="1" t="n">
        <v>44923</v>
      </c>
      <c r="C506" s="1" t="n">
        <v>46092</v>
      </c>
      <c r="D506" t="inlineStr">
        <is>
          <t>ÖSTERGÖTLANDS LÄN</t>
        </is>
      </c>
      <c r="E506" t="inlineStr">
        <is>
          <t>LINKÖPING</t>
        </is>
      </c>
      <c r="F506" t="inlineStr">
        <is>
          <t>Allmännings- och besparingsskogar</t>
        </is>
      </c>
      <c r="G506" t="n">
        <v>1.7</v>
      </c>
      <c r="H506" t="n">
        <v>0</v>
      </c>
      <c r="I506" t="n">
        <v>0</v>
      </c>
      <c r="J506" t="n">
        <v>0</v>
      </c>
      <c r="K506" t="n">
        <v>0</v>
      </c>
      <c r="L506" t="n">
        <v>0</v>
      </c>
      <c r="M506" t="n">
        <v>0</v>
      </c>
      <c r="N506" t="n">
        <v>0</v>
      </c>
      <c r="O506" t="n">
        <v>0</v>
      </c>
      <c r="P506" t="n">
        <v>0</v>
      </c>
      <c r="Q506" t="n">
        <v>0</v>
      </c>
      <c r="R506" s="2" t="inlineStr"/>
    </row>
    <row r="507" ht="15" customHeight="1">
      <c r="A507" t="inlineStr">
        <is>
          <t>A 30111-2024</t>
        </is>
      </c>
      <c r="B507" s="1" t="n">
        <v>45489.46947916667</v>
      </c>
      <c r="C507" s="1" t="n">
        <v>46092</v>
      </c>
      <c r="D507" t="inlineStr">
        <is>
          <t>ÖSTERGÖTLANDS LÄN</t>
        </is>
      </c>
      <c r="E507" t="inlineStr">
        <is>
          <t>LINKÖPING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30119-2024</t>
        </is>
      </c>
      <c r="B508" s="1" t="n">
        <v>45489</v>
      </c>
      <c r="C508" s="1" t="n">
        <v>46092</v>
      </c>
      <c r="D508" t="inlineStr">
        <is>
          <t>ÖSTERGÖTLANDS LÄN</t>
        </is>
      </c>
      <c r="E508" t="inlineStr">
        <is>
          <t>LINKÖPING</t>
        </is>
      </c>
      <c r="G508" t="n">
        <v>1.7</v>
      </c>
      <c r="H508" t="n">
        <v>0</v>
      </c>
      <c r="I508" t="n">
        <v>0</v>
      </c>
      <c r="J508" t="n">
        <v>0</v>
      </c>
      <c r="K508" t="n">
        <v>0</v>
      </c>
      <c r="L508" t="n">
        <v>0</v>
      </c>
      <c r="M508" t="n">
        <v>0</v>
      </c>
      <c r="N508" t="n">
        <v>0</v>
      </c>
      <c r="O508" t="n">
        <v>0</v>
      </c>
      <c r="P508" t="n">
        <v>0</v>
      </c>
      <c r="Q508" t="n">
        <v>0</v>
      </c>
      <c r="R508" s="2" t="inlineStr"/>
    </row>
    <row r="509" ht="15" customHeight="1">
      <c r="A509" t="inlineStr">
        <is>
          <t>A 29411-2023</t>
        </is>
      </c>
      <c r="B509" s="1" t="n">
        <v>45106.46225694445</v>
      </c>
      <c r="C509" s="1" t="n">
        <v>46092</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29412-2023</t>
        </is>
      </c>
      <c r="B510" s="1" t="n">
        <v>45106.46359953703</v>
      </c>
      <c r="C510" s="1" t="n">
        <v>46092</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31792-2021</t>
        </is>
      </c>
      <c r="B511" s="1" t="n">
        <v>44369</v>
      </c>
      <c r="C511" s="1" t="n">
        <v>46092</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421-2024</t>
        </is>
      </c>
      <c r="B512" s="1" t="n">
        <v>45296.51877314815</v>
      </c>
      <c r="C512" s="1" t="n">
        <v>46092</v>
      </c>
      <c r="D512" t="inlineStr">
        <is>
          <t>ÖSTERGÖTLANDS LÄN</t>
        </is>
      </c>
      <c r="E512" t="inlineStr">
        <is>
          <t>LINKÖPING</t>
        </is>
      </c>
      <c r="G512" t="n">
        <v>3.7</v>
      </c>
      <c r="H512" t="n">
        <v>0</v>
      </c>
      <c r="I512" t="n">
        <v>0</v>
      </c>
      <c r="J512" t="n">
        <v>0</v>
      </c>
      <c r="K512" t="n">
        <v>0</v>
      </c>
      <c r="L512" t="n">
        <v>0</v>
      </c>
      <c r="M512" t="n">
        <v>0</v>
      </c>
      <c r="N512" t="n">
        <v>0</v>
      </c>
      <c r="O512" t="n">
        <v>0</v>
      </c>
      <c r="P512" t="n">
        <v>0</v>
      </c>
      <c r="Q512" t="n">
        <v>0</v>
      </c>
      <c r="R512" s="2" t="inlineStr"/>
    </row>
    <row r="513" ht="15" customHeight="1">
      <c r="A513" t="inlineStr">
        <is>
          <t>A 22043-2023</t>
        </is>
      </c>
      <c r="B513" s="1" t="n">
        <v>45069.39050925926</v>
      </c>
      <c r="C513" s="1" t="n">
        <v>46092</v>
      </c>
      <c r="D513" t="inlineStr">
        <is>
          <t>ÖSTERGÖTLANDS LÄN</t>
        </is>
      </c>
      <c r="E513" t="inlineStr">
        <is>
          <t>LINKÖPING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61532-2021</t>
        </is>
      </c>
      <c r="B514" s="1" t="n">
        <v>44501</v>
      </c>
      <c r="C514" s="1" t="n">
        <v>46092</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14028-2024</t>
        </is>
      </c>
      <c r="B515" s="1" t="n">
        <v>45392</v>
      </c>
      <c r="C515" s="1" t="n">
        <v>46092</v>
      </c>
      <c r="D515" t="inlineStr">
        <is>
          <t>ÖSTERGÖTLANDS LÄN</t>
        </is>
      </c>
      <c r="E515" t="inlineStr">
        <is>
          <t>LINKÖPING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40431-2024</t>
        </is>
      </c>
      <c r="B516" s="1" t="n">
        <v>45555.47070601852</v>
      </c>
      <c r="C516" s="1" t="n">
        <v>46092</v>
      </c>
      <c r="D516" t="inlineStr">
        <is>
          <t>ÖSTERGÖTLANDS LÄN</t>
        </is>
      </c>
      <c r="E516" t="inlineStr">
        <is>
          <t>LINKÖPING</t>
        </is>
      </c>
      <c r="F516" t="inlineStr">
        <is>
          <t>Allmännings- och besparingsskogar</t>
        </is>
      </c>
      <c r="G516" t="n">
        <v>2.9</v>
      </c>
      <c r="H516" t="n">
        <v>0</v>
      </c>
      <c r="I516" t="n">
        <v>0</v>
      </c>
      <c r="J516" t="n">
        <v>0</v>
      </c>
      <c r="K516" t="n">
        <v>0</v>
      </c>
      <c r="L516" t="n">
        <v>0</v>
      </c>
      <c r="M516" t="n">
        <v>0</v>
      </c>
      <c r="N516" t="n">
        <v>0</v>
      </c>
      <c r="O516" t="n">
        <v>0</v>
      </c>
      <c r="P516" t="n">
        <v>0</v>
      </c>
      <c r="Q516" t="n">
        <v>0</v>
      </c>
      <c r="R516" s="2" t="inlineStr"/>
    </row>
    <row r="517" ht="15" customHeight="1">
      <c r="A517" t="inlineStr">
        <is>
          <t>A 60860-2024</t>
        </is>
      </c>
      <c r="B517" s="1" t="n">
        <v>45644.6893287037</v>
      </c>
      <c r="C517" s="1" t="n">
        <v>46092</v>
      </c>
      <c r="D517" t="inlineStr">
        <is>
          <t>ÖSTERGÖTLANDS LÄN</t>
        </is>
      </c>
      <c r="E517" t="inlineStr">
        <is>
          <t>LINKÖPING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2697-2023</t>
        </is>
      </c>
      <c r="B518" s="1" t="n">
        <v>44944</v>
      </c>
      <c r="C518" s="1" t="n">
        <v>46092</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37057-2025</t>
        </is>
      </c>
      <c r="B519" s="1" t="n">
        <v>45875.37489583333</v>
      </c>
      <c r="C519" s="1" t="n">
        <v>46092</v>
      </c>
      <c r="D519" t="inlineStr">
        <is>
          <t>ÖSTERGÖTLANDS LÄN</t>
        </is>
      </c>
      <c r="E519" t="inlineStr">
        <is>
          <t>LINKÖPING</t>
        </is>
      </c>
      <c r="G519" t="n">
        <v>3.3</v>
      </c>
      <c r="H519" t="n">
        <v>0</v>
      </c>
      <c r="I519" t="n">
        <v>0</v>
      </c>
      <c r="J519" t="n">
        <v>0</v>
      </c>
      <c r="K519" t="n">
        <v>0</v>
      </c>
      <c r="L519" t="n">
        <v>0</v>
      </c>
      <c r="M519" t="n">
        <v>0</v>
      </c>
      <c r="N519" t="n">
        <v>0</v>
      </c>
      <c r="O519" t="n">
        <v>0</v>
      </c>
      <c r="P519" t="n">
        <v>0</v>
      </c>
      <c r="Q519" t="n">
        <v>0</v>
      </c>
      <c r="R519" s="2" t="inlineStr"/>
    </row>
    <row r="520" ht="15" customHeight="1">
      <c r="A520" t="inlineStr">
        <is>
          <t>A 45806-2024</t>
        </is>
      </c>
      <c r="B520" s="1" t="n">
        <v>45579.69619212963</v>
      </c>
      <c r="C520" s="1" t="n">
        <v>46092</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56756-2023</t>
        </is>
      </c>
      <c r="B521" s="1" t="n">
        <v>45244</v>
      </c>
      <c r="C521" s="1" t="n">
        <v>46092</v>
      </c>
      <c r="D521" t="inlineStr">
        <is>
          <t>ÖSTERGÖTLANDS LÄN</t>
        </is>
      </c>
      <c r="E521" t="inlineStr">
        <is>
          <t>LINKÖPING</t>
        </is>
      </c>
      <c r="F521" t="inlineStr">
        <is>
          <t>Övriga Aktiebolag</t>
        </is>
      </c>
      <c r="G521" t="n">
        <v>0.8</v>
      </c>
      <c r="H521" t="n">
        <v>0</v>
      </c>
      <c r="I521" t="n">
        <v>0</v>
      </c>
      <c r="J521" t="n">
        <v>0</v>
      </c>
      <c r="K521" t="n">
        <v>0</v>
      </c>
      <c r="L521" t="n">
        <v>0</v>
      </c>
      <c r="M521" t="n">
        <v>0</v>
      </c>
      <c r="N521" t="n">
        <v>0</v>
      </c>
      <c r="O521" t="n">
        <v>0</v>
      </c>
      <c r="P521" t="n">
        <v>0</v>
      </c>
      <c r="Q521" t="n">
        <v>0</v>
      </c>
      <c r="R521" s="2" t="inlineStr"/>
    </row>
    <row r="522" ht="15" customHeight="1">
      <c r="A522" t="inlineStr">
        <is>
          <t>A 60985-2023</t>
        </is>
      </c>
      <c r="B522" s="1" t="n">
        <v>45261.48429398148</v>
      </c>
      <c r="C522" s="1" t="n">
        <v>46092</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24904-2024</t>
        </is>
      </c>
      <c r="B523" s="1" t="n">
        <v>45461</v>
      </c>
      <c r="C523" s="1" t="n">
        <v>46092</v>
      </c>
      <c r="D523" t="inlineStr">
        <is>
          <t>ÖSTERGÖTLANDS LÄN</t>
        </is>
      </c>
      <c r="E523" t="inlineStr">
        <is>
          <t>LINKÖPING</t>
        </is>
      </c>
      <c r="G523" t="n">
        <v>3.8</v>
      </c>
      <c r="H523" t="n">
        <v>0</v>
      </c>
      <c r="I523" t="n">
        <v>0</v>
      </c>
      <c r="J523" t="n">
        <v>0</v>
      </c>
      <c r="K523" t="n">
        <v>0</v>
      </c>
      <c r="L523" t="n">
        <v>0</v>
      </c>
      <c r="M523" t="n">
        <v>0</v>
      </c>
      <c r="N523" t="n">
        <v>0</v>
      </c>
      <c r="O523" t="n">
        <v>0</v>
      </c>
      <c r="P523" t="n">
        <v>0</v>
      </c>
      <c r="Q523" t="n">
        <v>0</v>
      </c>
      <c r="R523" s="2" t="inlineStr"/>
    </row>
    <row r="524" ht="15" customHeight="1">
      <c r="A524" t="inlineStr">
        <is>
          <t>A 55009-2023</t>
        </is>
      </c>
      <c r="B524" s="1" t="n">
        <v>45237</v>
      </c>
      <c r="C524" s="1" t="n">
        <v>46092</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34872-2023</t>
        </is>
      </c>
      <c r="B525" s="1" t="n">
        <v>45140</v>
      </c>
      <c r="C525" s="1" t="n">
        <v>46092</v>
      </c>
      <c r="D525" t="inlineStr">
        <is>
          <t>ÖSTERGÖTLANDS LÄN</t>
        </is>
      </c>
      <c r="E525" t="inlineStr">
        <is>
          <t>LINKÖPING</t>
        </is>
      </c>
      <c r="G525" t="n">
        <v>4.8</v>
      </c>
      <c r="H525" t="n">
        <v>0</v>
      </c>
      <c r="I525" t="n">
        <v>0</v>
      </c>
      <c r="J525" t="n">
        <v>0</v>
      </c>
      <c r="K525" t="n">
        <v>0</v>
      </c>
      <c r="L525" t="n">
        <v>0</v>
      </c>
      <c r="M525" t="n">
        <v>0</v>
      </c>
      <c r="N525" t="n">
        <v>0</v>
      </c>
      <c r="O525" t="n">
        <v>0</v>
      </c>
      <c r="P525" t="n">
        <v>0</v>
      </c>
      <c r="Q525" t="n">
        <v>0</v>
      </c>
      <c r="R525" s="2" t="inlineStr"/>
    </row>
    <row r="526" ht="15" customHeight="1">
      <c r="A526" t="inlineStr">
        <is>
          <t>A 36336-2022</t>
        </is>
      </c>
      <c r="B526" s="1" t="n">
        <v>44803</v>
      </c>
      <c r="C526" s="1" t="n">
        <v>46092</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25097-2023</t>
        </is>
      </c>
      <c r="B527" s="1" t="n">
        <v>45086</v>
      </c>
      <c r="C527" s="1" t="n">
        <v>46092</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25829-2025</t>
        </is>
      </c>
      <c r="B528" s="1" t="n">
        <v>45804.44505787037</v>
      </c>
      <c r="C528" s="1" t="n">
        <v>46092</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38046-2025</t>
        </is>
      </c>
      <c r="B529" s="1" t="n">
        <v>45882.39939814815</v>
      </c>
      <c r="C529" s="1" t="n">
        <v>46092</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10461-2023</t>
        </is>
      </c>
      <c r="B530" s="1" t="n">
        <v>44987.5969212963</v>
      </c>
      <c r="C530" s="1" t="n">
        <v>46092</v>
      </c>
      <c r="D530" t="inlineStr">
        <is>
          <t>ÖSTERGÖTLANDS LÄN</t>
        </is>
      </c>
      <c r="E530" t="inlineStr">
        <is>
          <t>LINKÖPING</t>
        </is>
      </c>
      <c r="G530" t="n">
        <v>7.8</v>
      </c>
      <c r="H530" t="n">
        <v>0</v>
      </c>
      <c r="I530" t="n">
        <v>0</v>
      </c>
      <c r="J530" t="n">
        <v>0</v>
      </c>
      <c r="K530" t="n">
        <v>0</v>
      </c>
      <c r="L530" t="n">
        <v>0</v>
      </c>
      <c r="M530" t="n">
        <v>0</v>
      </c>
      <c r="N530" t="n">
        <v>0</v>
      </c>
      <c r="O530" t="n">
        <v>0</v>
      </c>
      <c r="P530" t="n">
        <v>0</v>
      </c>
      <c r="Q530" t="n">
        <v>0</v>
      </c>
      <c r="R530" s="2" t="inlineStr"/>
    </row>
    <row r="531" ht="15" customHeight="1">
      <c r="A531" t="inlineStr">
        <is>
          <t>A 50386-2021</t>
        </is>
      </c>
      <c r="B531" s="1" t="n">
        <v>44459</v>
      </c>
      <c r="C531" s="1" t="n">
        <v>46092</v>
      </c>
      <c r="D531" t="inlineStr">
        <is>
          <t>ÖSTERGÖTLANDS LÄN</t>
        </is>
      </c>
      <c r="E531" t="inlineStr">
        <is>
          <t>LINKÖPING</t>
        </is>
      </c>
      <c r="G531" t="n">
        <v>2.3</v>
      </c>
      <c r="H531" t="n">
        <v>0</v>
      </c>
      <c r="I531" t="n">
        <v>0</v>
      </c>
      <c r="J531" t="n">
        <v>0</v>
      </c>
      <c r="K531" t="n">
        <v>0</v>
      </c>
      <c r="L531" t="n">
        <v>0</v>
      </c>
      <c r="M531" t="n">
        <v>0</v>
      </c>
      <c r="N531" t="n">
        <v>0</v>
      </c>
      <c r="O531" t="n">
        <v>0</v>
      </c>
      <c r="P531" t="n">
        <v>0</v>
      </c>
      <c r="Q531" t="n">
        <v>0</v>
      </c>
      <c r="R531" s="2" t="inlineStr"/>
    </row>
    <row r="532" ht="15" customHeight="1">
      <c r="A532" t="inlineStr">
        <is>
          <t>A 350-2022</t>
        </is>
      </c>
      <c r="B532" s="1" t="n">
        <v>44565</v>
      </c>
      <c r="C532" s="1" t="n">
        <v>46092</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18891-2022</t>
        </is>
      </c>
      <c r="B533" s="1" t="n">
        <v>44690</v>
      </c>
      <c r="C533" s="1" t="n">
        <v>46092</v>
      </c>
      <c r="D533" t="inlineStr">
        <is>
          <t>ÖSTERGÖTLANDS LÄN</t>
        </is>
      </c>
      <c r="E533" t="inlineStr">
        <is>
          <t>LINKÖPING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30976-2022</t>
        </is>
      </c>
      <c r="B534" s="1" t="n">
        <v>44768</v>
      </c>
      <c r="C534" s="1" t="n">
        <v>46092</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61281-2021</t>
        </is>
      </c>
      <c r="B535" s="1" t="n">
        <v>44498.60736111111</v>
      </c>
      <c r="C535" s="1" t="n">
        <v>46092</v>
      </c>
      <c r="D535" t="inlineStr">
        <is>
          <t>ÖSTERGÖTLANDS LÄN</t>
        </is>
      </c>
      <c r="E535" t="inlineStr">
        <is>
          <t>LINKÖPING</t>
        </is>
      </c>
      <c r="G535" t="n">
        <v>4.5</v>
      </c>
      <c r="H535" t="n">
        <v>0</v>
      </c>
      <c r="I535" t="n">
        <v>0</v>
      </c>
      <c r="J535" t="n">
        <v>0</v>
      </c>
      <c r="K535" t="n">
        <v>0</v>
      </c>
      <c r="L535" t="n">
        <v>0</v>
      </c>
      <c r="M535" t="n">
        <v>0</v>
      </c>
      <c r="N535" t="n">
        <v>0</v>
      </c>
      <c r="O535" t="n">
        <v>0</v>
      </c>
      <c r="P535" t="n">
        <v>0</v>
      </c>
      <c r="Q535" t="n">
        <v>0</v>
      </c>
      <c r="R535" s="2" t="inlineStr"/>
    </row>
    <row r="536" ht="15" customHeight="1">
      <c r="A536" t="inlineStr">
        <is>
          <t>A 25292-2021</t>
        </is>
      </c>
      <c r="B536" s="1" t="n">
        <v>44342</v>
      </c>
      <c r="C536" s="1" t="n">
        <v>46092</v>
      </c>
      <c r="D536" t="inlineStr">
        <is>
          <t>ÖSTERGÖTLANDS LÄN</t>
        </is>
      </c>
      <c r="E536" t="inlineStr">
        <is>
          <t>LINKÖPING</t>
        </is>
      </c>
      <c r="F536" t="inlineStr">
        <is>
          <t>Övriga Aktiebolag</t>
        </is>
      </c>
      <c r="G536" t="n">
        <v>12.8</v>
      </c>
      <c r="H536" t="n">
        <v>0</v>
      </c>
      <c r="I536" t="n">
        <v>0</v>
      </c>
      <c r="J536" t="n">
        <v>0</v>
      </c>
      <c r="K536" t="n">
        <v>0</v>
      </c>
      <c r="L536" t="n">
        <v>0</v>
      </c>
      <c r="M536" t="n">
        <v>0</v>
      </c>
      <c r="N536" t="n">
        <v>0</v>
      </c>
      <c r="O536" t="n">
        <v>0</v>
      </c>
      <c r="P536" t="n">
        <v>0</v>
      </c>
      <c r="Q536" t="n">
        <v>0</v>
      </c>
      <c r="R536" s="2" t="inlineStr"/>
    </row>
    <row r="537" ht="15" customHeight="1">
      <c r="A537" t="inlineStr">
        <is>
          <t>A 63935-2021</t>
        </is>
      </c>
      <c r="B537" s="1" t="n">
        <v>44509</v>
      </c>
      <c r="C537" s="1" t="n">
        <v>46092</v>
      </c>
      <c r="D537" t="inlineStr">
        <is>
          <t>ÖSTERGÖTLANDS LÄN</t>
        </is>
      </c>
      <c r="E537" t="inlineStr">
        <is>
          <t>LINKÖPING</t>
        </is>
      </c>
      <c r="F537" t="inlineStr">
        <is>
          <t>Övriga statliga verk och myndigheter</t>
        </is>
      </c>
      <c r="G537" t="n">
        <v>2.8</v>
      </c>
      <c r="H537" t="n">
        <v>0</v>
      </c>
      <c r="I537" t="n">
        <v>0</v>
      </c>
      <c r="J537" t="n">
        <v>0</v>
      </c>
      <c r="K537" t="n">
        <v>0</v>
      </c>
      <c r="L537" t="n">
        <v>0</v>
      </c>
      <c r="M537" t="n">
        <v>0</v>
      </c>
      <c r="N537" t="n">
        <v>0</v>
      </c>
      <c r="O537" t="n">
        <v>0</v>
      </c>
      <c r="P537" t="n">
        <v>0</v>
      </c>
      <c r="Q537" t="n">
        <v>0</v>
      </c>
      <c r="R537" s="2" t="inlineStr"/>
    </row>
    <row r="538" ht="15" customHeight="1">
      <c r="A538" t="inlineStr">
        <is>
          <t>A 38971-2025</t>
        </is>
      </c>
      <c r="B538" s="1" t="n">
        <v>45887.71827546296</v>
      </c>
      <c r="C538" s="1" t="n">
        <v>46092</v>
      </c>
      <c r="D538" t="inlineStr">
        <is>
          <t>ÖSTERGÖTLANDS LÄN</t>
        </is>
      </c>
      <c r="E538" t="inlineStr">
        <is>
          <t>LINKÖPING</t>
        </is>
      </c>
      <c r="G538" t="n">
        <v>3.9</v>
      </c>
      <c r="H538" t="n">
        <v>0</v>
      </c>
      <c r="I538" t="n">
        <v>0</v>
      </c>
      <c r="J538" t="n">
        <v>0</v>
      </c>
      <c r="K538" t="n">
        <v>0</v>
      </c>
      <c r="L538" t="n">
        <v>0</v>
      </c>
      <c r="M538" t="n">
        <v>0</v>
      </c>
      <c r="N538" t="n">
        <v>0</v>
      </c>
      <c r="O538" t="n">
        <v>0</v>
      </c>
      <c r="P538" t="n">
        <v>0</v>
      </c>
      <c r="Q538" t="n">
        <v>0</v>
      </c>
      <c r="R538" s="2" t="inlineStr"/>
    </row>
    <row r="539" ht="15" customHeight="1">
      <c r="A539" t="inlineStr">
        <is>
          <t>A 55345-2021</t>
        </is>
      </c>
      <c r="B539" s="1" t="n">
        <v>44475</v>
      </c>
      <c r="C539" s="1" t="n">
        <v>46092</v>
      </c>
      <c r="D539" t="inlineStr">
        <is>
          <t>ÖSTERGÖTLANDS LÄN</t>
        </is>
      </c>
      <c r="E539" t="inlineStr">
        <is>
          <t>LINKÖPING</t>
        </is>
      </c>
      <c r="G539" t="n">
        <v>5.7</v>
      </c>
      <c r="H539" t="n">
        <v>0</v>
      </c>
      <c r="I539" t="n">
        <v>0</v>
      </c>
      <c r="J539" t="n">
        <v>0</v>
      </c>
      <c r="K539" t="n">
        <v>0</v>
      </c>
      <c r="L539" t="n">
        <v>0</v>
      </c>
      <c r="M539" t="n">
        <v>0</v>
      </c>
      <c r="N539" t="n">
        <v>0</v>
      </c>
      <c r="O539" t="n">
        <v>0</v>
      </c>
      <c r="P539" t="n">
        <v>0</v>
      </c>
      <c r="Q539" t="n">
        <v>0</v>
      </c>
      <c r="R539" s="2" t="inlineStr"/>
    </row>
    <row r="540" ht="15" customHeight="1">
      <c r="A540" t="inlineStr">
        <is>
          <t>A 55736-2022</t>
        </is>
      </c>
      <c r="B540" s="1" t="n">
        <v>44888</v>
      </c>
      <c r="C540" s="1" t="n">
        <v>46092</v>
      </c>
      <c r="D540" t="inlineStr">
        <is>
          <t>ÖSTERGÖTLANDS LÄN</t>
        </is>
      </c>
      <c r="E540" t="inlineStr">
        <is>
          <t>LINKÖPING</t>
        </is>
      </c>
      <c r="G540" t="n">
        <v>5.5</v>
      </c>
      <c r="H540" t="n">
        <v>0</v>
      </c>
      <c r="I540" t="n">
        <v>0</v>
      </c>
      <c r="J540" t="n">
        <v>0</v>
      </c>
      <c r="K540" t="n">
        <v>0</v>
      </c>
      <c r="L540" t="n">
        <v>0</v>
      </c>
      <c r="M540" t="n">
        <v>0</v>
      </c>
      <c r="N540" t="n">
        <v>0</v>
      </c>
      <c r="O540" t="n">
        <v>0</v>
      </c>
      <c r="P540" t="n">
        <v>0</v>
      </c>
      <c r="Q540" t="n">
        <v>0</v>
      </c>
      <c r="R540" s="2" t="inlineStr"/>
    </row>
    <row r="541" ht="15" customHeight="1">
      <c r="A541" t="inlineStr">
        <is>
          <t>A 10194-2023</t>
        </is>
      </c>
      <c r="B541" s="1" t="n">
        <v>44986.52277777778</v>
      </c>
      <c r="C541" s="1" t="n">
        <v>46092</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7702-2023</t>
        </is>
      </c>
      <c r="B542" s="1" t="n">
        <v>44967</v>
      </c>
      <c r="C542" s="1" t="n">
        <v>46092</v>
      </c>
      <c r="D542" t="inlineStr">
        <is>
          <t>ÖSTERGÖTLANDS LÄN</t>
        </is>
      </c>
      <c r="E542" t="inlineStr">
        <is>
          <t>LINKÖPING</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42000-2023</t>
        </is>
      </c>
      <c r="B543" s="1" t="n">
        <v>45177</v>
      </c>
      <c r="C543" s="1" t="n">
        <v>46092</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31534-2023</t>
        </is>
      </c>
      <c r="B544" s="1" t="n">
        <v>45116</v>
      </c>
      <c r="C544" s="1" t="n">
        <v>46092</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35427-2023</t>
        </is>
      </c>
      <c r="B545" s="1" t="n">
        <v>45146</v>
      </c>
      <c r="C545" s="1" t="n">
        <v>46092</v>
      </c>
      <c r="D545" t="inlineStr">
        <is>
          <t>ÖSTERGÖTLANDS LÄN</t>
        </is>
      </c>
      <c r="E545" t="inlineStr">
        <is>
          <t>LINKÖPING</t>
        </is>
      </c>
      <c r="F545" t="inlineStr">
        <is>
          <t>Övriga Aktiebolag</t>
        </is>
      </c>
      <c r="G545" t="n">
        <v>2.5</v>
      </c>
      <c r="H545" t="n">
        <v>0</v>
      </c>
      <c r="I545" t="n">
        <v>0</v>
      </c>
      <c r="J545" t="n">
        <v>0</v>
      </c>
      <c r="K545" t="n">
        <v>0</v>
      </c>
      <c r="L545" t="n">
        <v>0</v>
      </c>
      <c r="M545" t="n">
        <v>0</v>
      </c>
      <c r="N545" t="n">
        <v>0</v>
      </c>
      <c r="O545" t="n">
        <v>0</v>
      </c>
      <c r="P545" t="n">
        <v>0</v>
      </c>
      <c r="Q545" t="n">
        <v>0</v>
      </c>
      <c r="R545" s="2" t="inlineStr"/>
    </row>
    <row r="546" ht="15" customHeight="1">
      <c r="A546" t="inlineStr">
        <is>
          <t>A 36725-2023</t>
        </is>
      </c>
      <c r="B546" s="1" t="n">
        <v>45153.68471064815</v>
      </c>
      <c r="C546" s="1" t="n">
        <v>46092</v>
      </c>
      <c r="D546" t="inlineStr">
        <is>
          <t>ÖSTERGÖTLANDS LÄN</t>
        </is>
      </c>
      <c r="E546" t="inlineStr">
        <is>
          <t>LINKÖPING</t>
        </is>
      </c>
      <c r="F546" t="inlineStr">
        <is>
          <t>Allmännings- och besparingsskogar</t>
        </is>
      </c>
      <c r="G546" t="n">
        <v>2.6</v>
      </c>
      <c r="H546" t="n">
        <v>0</v>
      </c>
      <c r="I546" t="n">
        <v>0</v>
      </c>
      <c r="J546" t="n">
        <v>0</v>
      </c>
      <c r="K546" t="n">
        <v>0</v>
      </c>
      <c r="L546" t="n">
        <v>0</v>
      </c>
      <c r="M546" t="n">
        <v>0</v>
      </c>
      <c r="N546" t="n">
        <v>0</v>
      </c>
      <c r="O546" t="n">
        <v>0</v>
      </c>
      <c r="P546" t="n">
        <v>0</v>
      </c>
      <c r="Q546" t="n">
        <v>0</v>
      </c>
      <c r="R546" s="2" t="inlineStr"/>
    </row>
    <row r="547" ht="15" customHeight="1">
      <c r="A547" t="inlineStr">
        <is>
          <t>A 53639-2023</t>
        </is>
      </c>
      <c r="B547" s="1" t="n">
        <v>45230.59686342593</v>
      </c>
      <c r="C547" s="1" t="n">
        <v>46092</v>
      </c>
      <c r="D547" t="inlineStr">
        <is>
          <t>ÖSTERGÖTLANDS LÄN</t>
        </is>
      </c>
      <c r="E547" t="inlineStr">
        <is>
          <t>LINKÖPING</t>
        </is>
      </c>
      <c r="G547" t="n">
        <v>2.3</v>
      </c>
      <c r="H547" t="n">
        <v>0</v>
      </c>
      <c r="I547" t="n">
        <v>0</v>
      </c>
      <c r="J547" t="n">
        <v>0</v>
      </c>
      <c r="K547" t="n">
        <v>0</v>
      </c>
      <c r="L547" t="n">
        <v>0</v>
      </c>
      <c r="M547" t="n">
        <v>0</v>
      </c>
      <c r="N547" t="n">
        <v>0</v>
      </c>
      <c r="O547" t="n">
        <v>0</v>
      </c>
      <c r="P547" t="n">
        <v>0</v>
      </c>
      <c r="Q547" t="n">
        <v>0</v>
      </c>
      <c r="R547" s="2" t="inlineStr"/>
    </row>
    <row r="548" ht="15" customHeight="1">
      <c r="A548" t="inlineStr">
        <is>
          <t>A 1657-2024</t>
        </is>
      </c>
      <c r="B548" s="1" t="n">
        <v>45306.82501157407</v>
      </c>
      <c r="C548" s="1" t="n">
        <v>46092</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50784-2022</t>
        </is>
      </c>
      <c r="B549" s="1" t="n">
        <v>44862</v>
      </c>
      <c r="C549" s="1" t="n">
        <v>46092</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26803-2024</t>
        </is>
      </c>
      <c r="B550" s="1" t="n">
        <v>45470</v>
      </c>
      <c r="C550" s="1" t="n">
        <v>46092</v>
      </c>
      <c r="D550" t="inlineStr">
        <is>
          <t>ÖSTERGÖTLANDS LÄN</t>
        </is>
      </c>
      <c r="E550" t="inlineStr">
        <is>
          <t>LINKÖPING</t>
        </is>
      </c>
      <c r="F550" t="inlineStr">
        <is>
          <t>Allmännings- och besparingsskogar</t>
        </is>
      </c>
      <c r="G550" t="n">
        <v>4.5</v>
      </c>
      <c r="H550" t="n">
        <v>0</v>
      </c>
      <c r="I550" t="n">
        <v>0</v>
      </c>
      <c r="J550" t="n">
        <v>0</v>
      </c>
      <c r="K550" t="n">
        <v>0</v>
      </c>
      <c r="L550" t="n">
        <v>0</v>
      </c>
      <c r="M550" t="n">
        <v>0</v>
      </c>
      <c r="N550" t="n">
        <v>0</v>
      </c>
      <c r="O550" t="n">
        <v>0</v>
      </c>
      <c r="P550" t="n">
        <v>0</v>
      </c>
      <c r="Q550" t="n">
        <v>0</v>
      </c>
      <c r="R550" s="2" t="inlineStr"/>
    </row>
    <row r="551" ht="15" customHeight="1">
      <c r="A551" t="inlineStr">
        <is>
          <t>A 19187-2021</t>
        </is>
      </c>
      <c r="B551" s="1" t="n">
        <v>44308</v>
      </c>
      <c r="C551" s="1" t="n">
        <v>46092</v>
      </c>
      <c r="D551" t="inlineStr">
        <is>
          <t>ÖSTERGÖTLANDS LÄN</t>
        </is>
      </c>
      <c r="E551" t="inlineStr">
        <is>
          <t>LINKÖPING</t>
        </is>
      </c>
      <c r="F551" t="inlineStr">
        <is>
          <t>Allmännings- och besparingsskogar</t>
        </is>
      </c>
      <c r="G551" t="n">
        <v>20</v>
      </c>
      <c r="H551" t="n">
        <v>0</v>
      </c>
      <c r="I551" t="n">
        <v>0</v>
      </c>
      <c r="J551" t="n">
        <v>0</v>
      </c>
      <c r="K551" t="n">
        <v>0</v>
      </c>
      <c r="L551" t="n">
        <v>0</v>
      </c>
      <c r="M551" t="n">
        <v>0</v>
      </c>
      <c r="N551" t="n">
        <v>0</v>
      </c>
      <c r="O551" t="n">
        <v>0</v>
      </c>
      <c r="P551" t="n">
        <v>0</v>
      </c>
      <c r="Q551" t="n">
        <v>0</v>
      </c>
      <c r="R551" s="2" t="inlineStr"/>
    </row>
    <row r="552" ht="15" customHeight="1">
      <c r="A552" t="inlineStr">
        <is>
          <t>A 60472-2022</t>
        </is>
      </c>
      <c r="B552" s="1" t="n">
        <v>44911.41037037037</v>
      </c>
      <c r="C552" s="1" t="n">
        <v>46092</v>
      </c>
      <c r="D552" t="inlineStr">
        <is>
          <t>ÖSTERGÖTLANDS LÄN</t>
        </is>
      </c>
      <c r="E552" t="inlineStr">
        <is>
          <t>LINKÖPING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43934-2023</t>
        </is>
      </c>
      <c r="B553" s="1" t="n">
        <v>45187</v>
      </c>
      <c r="C553" s="1" t="n">
        <v>46092</v>
      </c>
      <c r="D553" t="inlineStr">
        <is>
          <t>ÖSTERGÖTLANDS LÄN</t>
        </is>
      </c>
      <c r="E553" t="inlineStr">
        <is>
          <t>LINKÖPING</t>
        </is>
      </c>
      <c r="F553" t="inlineStr">
        <is>
          <t>Övriga Aktiebolag</t>
        </is>
      </c>
      <c r="G553" t="n">
        <v>3.8</v>
      </c>
      <c r="H553" t="n">
        <v>0</v>
      </c>
      <c r="I553" t="n">
        <v>0</v>
      </c>
      <c r="J553" t="n">
        <v>0</v>
      </c>
      <c r="K553" t="n">
        <v>0</v>
      </c>
      <c r="L553" t="n">
        <v>0</v>
      </c>
      <c r="M553" t="n">
        <v>0</v>
      </c>
      <c r="N553" t="n">
        <v>0</v>
      </c>
      <c r="O553" t="n">
        <v>0</v>
      </c>
      <c r="P553" t="n">
        <v>0</v>
      </c>
      <c r="Q553" t="n">
        <v>0</v>
      </c>
      <c r="R553" s="2" t="inlineStr"/>
    </row>
    <row r="554" ht="15" customHeight="1">
      <c r="A554" t="inlineStr">
        <is>
          <t>A 22774-2024</t>
        </is>
      </c>
      <c r="B554" s="1" t="n">
        <v>45448.46924768519</v>
      </c>
      <c r="C554" s="1" t="n">
        <v>46092</v>
      </c>
      <c r="D554" t="inlineStr">
        <is>
          <t>ÖSTERGÖTLANDS LÄN</t>
        </is>
      </c>
      <c r="E554" t="inlineStr">
        <is>
          <t>LINKÖPING</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22778-2024</t>
        </is>
      </c>
      <c r="B555" s="1" t="n">
        <v>45448.47233796296</v>
      </c>
      <c r="C555" s="1" t="n">
        <v>46092</v>
      </c>
      <c r="D555" t="inlineStr">
        <is>
          <t>ÖSTERGÖTLANDS LÄN</t>
        </is>
      </c>
      <c r="E555" t="inlineStr">
        <is>
          <t>LINKÖPING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1209-2023</t>
        </is>
      </c>
      <c r="B556" s="1" t="n">
        <v>44930</v>
      </c>
      <c r="C556" s="1" t="n">
        <v>46092</v>
      </c>
      <c r="D556" t="inlineStr">
        <is>
          <t>ÖSTERGÖTLANDS LÄN</t>
        </is>
      </c>
      <c r="E556" t="inlineStr">
        <is>
          <t>LINKÖPING</t>
        </is>
      </c>
      <c r="F556" t="inlineStr">
        <is>
          <t>Övriga statliga verk och myndigheter</t>
        </is>
      </c>
      <c r="G556" t="n">
        <v>25.8</v>
      </c>
      <c r="H556" t="n">
        <v>0</v>
      </c>
      <c r="I556" t="n">
        <v>0</v>
      </c>
      <c r="J556" t="n">
        <v>0</v>
      </c>
      <c r="K556" t="n">
        <v>0</v>
      </c>
      <c r="L556" t="n">
        <v>0</v>
      </c>
      <c r="M556" t="n">
        <v>0</v>
      </c>
      <c r="N556" t="n">
        <v>0</v>
      </c>
      <c r="O556" t="n">
        <v>0</v>
      </c>
      <c r="P556" t="n">
        <v>0</v>
      </c>
      <c r="Q556" t="n">
        <v>0</v>
      </c>
      <c r="R556" s="2" t="inlineStr"/>
    </row>
    <row r="557" ht="15" customHeight="1">
      <c r="A557" t="inlineStr">
        <is>
          <t>A 10407-2025</t>
        </is>
      </c>
      <c r="B557" s="1" t="n">
        <v>45720.62863425926</v>
      </c>
      <c r="C557" s="1" t="n">
        <v>46092</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11590-2023</t>
        </is>
      </c>
      <c r="B558" s="1" t="n">
        <v>44994.36689814815</v>
      </c>
      <c r="C558" s="1" t="n">
        <v>46092</v>
      </c>
      <c r="D558" t="inlineStr">
        <is>
          <t>ÖSTERGÖTLANDS LÄN</t>
        </is>
      </c>
      <c r="E558" t="inlineStr">
        <is>
          <t>LINKÖPING</t>
        </is>
      </c>
      <c r="G558" t="n">
        <v>3.1</v>
      </c>
      <c r="H558" t="n">
        <v>0</v>
      </c>
      <c r="I558" t="n">
        <v>0</v>
      </c>
      <c r="J558" t="n">
        <v>0</v>
      </c>
      <c r="K558" t="n">
        <v>0</v>
      </c>
      <c r="L558" t="n">
        <v>0</v>
      </c>
      <c r="M558" t="n">
        <v>0</v>
      </c>
      <c r="N558" t="n">
        <v>0</v>
      </c>
      <c r="O558" t="n">
        <v>0</v>
      </c>
      <c r="P558" t="n">
        <v>0</v>
      </c>
      <c r="Q558" t="n">
        <v>0</v>
      </c>
      <c r="R558" s="2" t="inlineStr"/>
    </row>
    <row r="559" ht="15" customHeight="1">
      <c r="A559" t="inlineStr">
        <is>
          <t>A 19169-2023</t>
        </is>
      </c>
      <c r="B559" s="1" t="n">
        <v>45044</v>
      </c>
      <c r="C559" s="1" t="n">
        <v>46092</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672-2024</t>
        </is>
      </c>
      <c r="B560" s="1" t="n">
        <v>45300</v>
      </c>
      <c r="C560" s="1" t="n">
        <v>46092</v>
      </c>
      <c r="D560" t="inlineStr">
        <is>
          <t>ÖSTERGÖTLANDS LÄN</t>
        </is>
      </c>
      <c r="E560" t="inlineStr">
        <is>
          <t>LINKÖPING</t>
        </is>
      </c>
      <c r="F560" t="inlineStr">
        <is>
          <t>Sveaskog</t>
        </is>
      </c>
      <c r="G560" t="n">
        <v>4.5</v>
      </c>
      <c r="H560" t="n">
        <v>0</v>
      </c>
      <c r="I560" t="n">
        <v>0</v>
      </c>
      <c r="J560" t="n">
        <v>0</v>
      </c>
      <c r="K560" t="n">
        <v>0</v>
      </c>
      <c r="L560" t="n">
        <v>0</v>
      </c>
      <c r="M560" t="n">
        <v>0</v>
      </c>
      <c r="N560" t="n">
        <v>0</v>
      </c>
      <c r="O560" t="n">
        <v>0</v>
      </c>
      <c r="P560" t="n">
        <v>0</v>
      </c>
      <c r="Q560" t="n">
        <v>0</v>
      </c>
      <c r="R560" s="2" t="inlineStr"/>
    </row>
    <row r="561" ht="15" customHeight="1">
      <c r="A561" t="inlineStr">
        <is>
          <t>A 55493-2021</t>
        </is>
      </c>
      <c r="B561" s="1" t="n">
        <v>44475.61988425926</v>
      </c>
      <c r="C561" s="1" t="n">
        <v>46092</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14093-2024</t>
        </is>
      </c>
      <c r="B562" s="1" t="n">
        <v>45392.60278935185</v>
      </c>
      <c r="C562" s="1" t="n">
        <v>46092</v>
      </c>
      <c r="D562" t="inlineStr">
        <is>
          <t>ÖSTERGÖTLANDS LÄN</t>
        </is>
      </c>
      <c r="E562" t="inlineStr">
        <is>
          <t>LINKÖPING</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62019-2024</t>
        </is>
      </c>
      <c r="B563" s="1" t="n">
        <v>45655.82</v>
      </c>
      <c r="C563" s="1" t="n">
        <v>46092</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25119-2023</t>
        </is>
      </c>
      <c r="B564" s="1" t="n">
        <v>45086.42326388889</v>
      </c>
      <c r="C564" s="1" t="n">
        <v>46092</v>
      </c>
      <c r="D564" t="inlineStr">
        <is>
          <t>ÖSTERGÖTLANDS LÄN</t>
        </is>
      </c>
      <c r="E564" t="inlineStr">
        <is>
          <t>LINKÖPING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57396-2021</t>
        </is>
      </c>
      <c r="B565" s="1" t="n">
        <v>44483.56151620371</v>
      </c>
      <c r="C565" s="1" t="n">
        <v>46092</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51571-2024</t>
        </is>
      </c>
      <c r="B566" s="1" t="n">
        <v>45604</v>
      </c>
      <c r="C566" s="1" t="n">
        <v>46092</v>
      </c>
      <c r="D566" t="inlineStr">
        <is>
          <t>ÖSTERGÖTLANDS LÄN</t>
        </is>
      </c>
      <c r="E566" t="inlineStr">
        <is>
          <t>LINKÖPING</t>
        </is>
      </c>
      <c r="F566" t="inlineStr">
        <is>
          <t>Övriga Aktiebolag</t>
        </is>
      </c>
      <c r="G566" t="n">
        <v>1.4</v>
      </c>
      <c r="H566" t="n">
        <v>0</v>
      </c>
      <c r="I566" t="n">
        <v>0</v>
      </c>
      <c r="J566" t="n">
        <v>0</v>
      </c>
      <c r="K566" t="n">
        <v>0</v>
      </c>
      <c r="L566" t="n">
        <v>0</v>
      </c>
      <c r="M566" t="n">
        <v>0</v>
      </c>
      <c r="N566" t="n">
        <v>0</v>
      </c>
      <c r="O566" t="n">
        <v>0</v>
      </c>
      <c r="P566" t="n">
        <v>0</v>
      </c>
      <c r="Q566" t="n">
        <v>0</v>
      </c>
      <c r="R566" s="2" t="inlineStr"/>
    </row>
    <row r="567" ht="15" customHeight="1">
      <c r="A567" t="inlineStr">
        <is>
          <t>A 17143-2025</t>
        </is>
      </c>
      <c r="B567" s="1" t="n">
        <v>45755.92731481481</v>
      </c>
      <c r="C567" s="1" t="n">
        <v>46092</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17124-2025</t>
        </is>
      </c>
      <c r="B568" s="1" t="n">
        <v>45755.69678240741</v>
      </c>
      <c r="C568" s="1" t="n">
        <v>46092</v>
      </c>
      <c r="D568" t="inlineStr">
        <is>
          <t>ÖSTERGÖTLANDS LÄN</t>
        </is>
      </c>
      <c r="E568" t="inlineStr">
        <is>
          <t>LINKÖPING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17126-2025</t>
        </is>
      </c>
      <c r="B569" s="1" t="n">
        <v>45755.70814814815</v>
      </c>
      <c r="C569" s="1" t="n">
        <v>46092</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31640-2023</t>
        </is>
      </c>
      <c r="B570" s="1" t="n">
        <v>45117</v>
      </c>
      <c r="C570" s="1" t="n">
        <v>46092</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11790-2024</t>
        </is>
      </c>
      <c r="B571" s="1" t="n">
        <v>45374</v>
      </c>
      <c r="C571" s="1" t="n">
        <v>46092</v>
      </c>
      <c r="D571" t="inlineStr">
        <is>
          <t>ÖSTERGÖTLANDS LÄN</t>
        </is>
      </c>
      <c r="E571" t="inlineStr">
        <is>
          <t>LINKÖPING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61281-2021</t>
        </is>
      </c>
      <c r="B572" s="1" t="n">
        <v>44498.60736111111</v>
      </c>
      <c r="C572" s="1" t="n">
        <v>46092</v>
      </c>
      <c r="D572" t="inlineStr">
        <is>
          <t>ÖSTERGÖTLANDS LÄN</t>
        </is>
      </c>
      <c r="E572" t="inlineStr">
        <is>
          <t>LINKÖPING</t>
        </is>
      </c>
      <c r="G572" t="n">
        <v>4.5</v>
      </c>
      <c r="H572" t="n">
        <v>0</v>
      </c>
      <c r="I572" t="n">
        <v>0</v>
      </c>
      <c r="J572" t="n">
        <v>0</v>
      </c>
      <c r="K572" t="n">
        <v>0</v>
      </c>
      <c r="L572" t="n">
        <v>0</v>
      </c>
      <c r="M572" t="n">
        <v>0</v>
      </c>
      <c r="N572" t="n">
        <v>0</v>
      </c>
      <c r="O572" t="n">
        <v>0</v>
      </c>
      <c r="P572" t="n">
        <v>0</v>
      </c>
      <c r="Q572" t="n">
        <v>0</v>
      </c>
      <c r="R572" s="2" t="inlineStr"/>
    </row>
    <row r="573" ht="15" customHeight="1">
      <c r="A573" t="inlineStr">
        <is>
          <t>A 6206-2024</t>
        </is>
      </c>
      <c r="B573" s="1" t="n">
        <v>45337.5977662037</v>
      </c>
      <c r="C573" s="1" t="n">
        <v>46092</v>
      </c>
      <c r="D573" t="inlineStr">
        <is>
          <t>ÖSTERGÖTLANDS LÄN</t>
        </is>
      </c>
      <c r="E573" t="inlineStr">
        <is>
          <t>LINKÖPING</t>
        </is>
      </c>
      <c r="G573" t="n">
        <v>2</v>
      </c>
      <c r="H573" t="n">
        <v>0</v>
      </c>
      <c r="I573" t="n">
        <v>0</v>
      </c>
      <c r="J573" t="n">
        <v>0</v>
      </c>
      <c r="K573" t="n">
        <v>0</v>
      </c>
      <c r="L573" t="n">
        <v>0</v>
      </c>
      <c r="M573" t="n">
        <v>0</v>
      </c>
      <c r="N573" t="n">
        <v>0</v>
      </c>
      <c r="O573" t="n">
        <v>0</v>
      </c>
      <c r="P573" t="n">
        <v>0</v>
      </c>
      <c r="Q573" t="n">
        <v>0</v>
      </c>
      <c r="R573" s="2" t="inlineStr"/>
    </row>
    <row r="574" ht="15" customHeight="1">
      <c r="A574" t="inlineStr">
        <is>
          <t>A 168-2024</t>
        </is>
      </c>
      <c r="B574" s="1" t="n">
        <v>45294</v>
      </c>
      <c r="C574" s="1" t="n">
        <v>46092</v>
      </c>
      <c r="D574" t="inlineStr">
        <is>
          <t>ÖSTERGÖTLANDS LÄN</t>
        </is>
      </c>
      <c r="E574" t="inlineStr">
        <is>
          <t>LINKÖPING</t>
        </is>
      </c>
      <c r="F574" t="inlineStr">
        <is>
          <t>Allmännings- och besparingsskogar</t>
        </is>
      </c>
      <c r="G574" t="n">
        <v>8.9</v>
      </c>
      <c r="H574" t="n">
        <v>0</v>
      </c>
      <c r="I574" t="n">
        <v>0</v>
      </c>
      <c r="J574" t="n">
        <v>0</v>
      </c>
      <c r="K574" t="n">
        <v>0</v>
      </c>
      <c r="L574" t="n">
        <v>0</v>
      </c>
      <c r="M574" t="n">
        <v>0</v>
      </c>
      <c r="N574" t="n">
        <v>0</v>
      </c>
      <c r="O574" t="n">
        <v>0</v>
      </c>
      <c r="P574" t="n">
        <v>0</v>
      </c>
      <c r="Q574" t="n">
        <v>0</v>
      </c>
      <c r="R574" s="2" t="inlineStr"/>
    </row>
    <row r="575" ht="15" customHeight="1">
      <c r="A575" t="inlineStr">
        <is>
          <t>A 51919-2024</t>
        </is>
      </c>
      <c r="B575" s="1" t="n">
        <v>45607.60791666667</v>
      </c>
      <c r="C575" s="1" t="n">
        <v>46092</v>
      </c>
      <c r="D575" t="inlineStr">
        <is>
          <t>ÖSTERGÖTLANDS LÄN</t>
        </is>
      </c>
      <c r="E575" t="inlineStr">
        <is>
          <t>LINKÖPING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56623-2024</t>
        </is>
      </c>
      <c r="B576" s="1" t="n">
        <v>45625</v>
      </c>
      <c r="C576" s="1" t="n">
        <v>46092</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11330-2023</t>
        </is>
      </c>
      <c r="B577" s="1" t="n">
        <v>44993.24648148148</v>
      </c>
      <c r="C577" s="1" t="n">
        <v>46092</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63304-2021</t>
        </is>
      </c>
      <c r="B578" s="1" t="n">
        <v>44508.4396412037</v>
      </c>
      <c r="C578" s="1" t="n">
        <v>46092</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14528-2025</t>
        </is>
      </c>
      <c r="B579" s="1" t="n">
        <v>45741</v>
      </c>
      <c r="C579" s="1" t="n">
        <v>46092</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3530-2024</t>
        </is>
      </c>
      <c r="B580" s="1" t="n">
        <v>45320.54717592592</v>
      </c>
      <c r="C580" s="1" t="n">
        <v>46092</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62073-2023</t>
        </is>
      </c>
      <c r="B581" s="1" t="n">
        <v>45266.73844907407</v>
      </c>
      <c r="C581" s="1" t="n">
        <v>46092</v>
      </c>
      <c r="D581" t="inlineStr">
        <is>
          <t>ÖSTERGÖTLANDS LÄN</t>
        </is>
      </c>
      <c r="E581" t="inlineStr">
        <is>
          <t>LINKÖPING</t>
        </is>
      </c>
      <c r="F581" t="inlineStr">
        <is>
          <t>Allmännings- och besparingsskogar</t>
        </is>
      </c>
      <c r="G581" t="n">
        <v>1.8</v>
      </c>
      <c r="H581" t="n">
        <v>0</v>
      </c>
      <c r="I581" t="n">
        <v>0</v>
      </c>
      <c r="J581" t="n">
        <v>0</v>
      </c>
      <c r="K581" t="n">
        <v>0</v>
      </c>
      <c r="L581" t="n">
        <v>0</v>
      </c>
      <c r="M581" t="n">
        <v>0</v>
      </c>
      <c r="N581" t="n">
        <v>0</v>
      </c>
      <c r="O581" t="n">
        <v>0</v>
      </c>
      <c r="P581" t="n">
        <v>0</v>
      </c>
      <c r="Q581" t="n">
        <v>0</v>
      </c>
      <c r="R581" s="2" t="inlineStr"/>
    </row>
    <row r="582" ht="15" customHeight="1">
      <c r="A582" t="inlineStr">
        <is>
          <t>A 5872-2025</t>
        </is>
      </c>
      <c r="B582" s="1" t="n">
        <v>45695.36659722222</v>
      </c>
      <c r="C582" s="1" t="n">
        <v>46092</v>
      </c>
      <c r="D582" t="inlineStr">
        <is>
          <t>ÖSTERGÖTLANDS LÄN</t>
        </is>
      </c>
      <c r="E582" t="inlineStr">
        <is>
          <t>LINKÖPING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53814-2023</t>
        </is>
      </c>
      <c r="B583" s="1" t="n">
        <v>45231</v>
      </c>
      <c r="C583" s="1" t="n">
        <v>46092</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3432-2023</t>
        </is>
      </c>
      <c r="B584" s="1" t="n">
        <v>44949</v>
      </c>
      <c r="C584" s="1" t="n">
        <v>46092</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54425-2022</t>
        </is>
      </c>
      <c r="B585" s="1" t="n">
        <v>44882.57453703704</v>
      </c>
      <c r="C585" s="1" t="n">
        <v>46092</v>
      </c>
      <c r="D585" t="inlineStr">
        <is>
          <t>ÖSTERGÖTLANDS LÄN</t>
        </is>
      </c>
      <c r="E585" t="inlineStr">
        <is>
          <t>LINKÖPING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54428-2022</t>
        </is>
      </c>
      <c r="B586" s="1" t="n">
        <v>44882.57643518518</v>
      </c>
      <c r="C586" s="1" t="n">
        <v>46092</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660-2023</t>
        </is>
      </c>
      <c r="B587" s="1" t="n">
        <v>44930</v>
      </c>
      <c r="C587" s="1" t="n">
        <v>46092</v>
      </c>
      <c r="D587" t="inlineStr">
        <is>
          <t>ÖSTERGÖTLANDS LÄN</t>
        </is>
      </c>
      <c r="E587" t="inlineStr">
        <is>
          <t>LINKÖPING</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62501-2023</t>
        </is>
      </c>
      <c r="B588" s="1" t="n">
        <v>45268</v>
      </c>
      <c r="C588" s="1" t="n">
        <v>46092</v>
      </c>
      <c r="D588" t="inlineStr">
        <is>
          <t>ÖSTERGÖTLANDS LÄN</t>
        </is>
      </c>
      <c r="E588" t="inlineStr">
        <is>
          <t>LINKÖPING</t>
        </is>
      </c>
      <c r="G588" t="n">
        <v>7.4</v>
      </c>
      <c r="H588" t="n">
        <v>0</v>
      </c>
      <c r="I588" t="n">
        <v>0</v>
      </c>
      <c r="J588" t="n">
        <v>0</v>
      </c>
      <c r="K588" t="n">
        <v>0</v>
      </c>
      <c r="L588" t="n">
        <v>0</v>
      </c>
      <c r="M588" t="n">
        <v>0</v>
      </c>
      <c r="N588" t="n">
        <v>0</v>
      </c>
      <c r="O588" t="n">
        <v>0</v>
      </c>
      <c r="P588" t="n">
        <v>0</v>
      </c>
      <c r="Q588" t="n">
        <v>0</v>
      </c>
      <c r="R588" s="2" t="inlineStr"/>
    </row>
    <row r="589" ht="15" customHeight="1">
      <c r="A589" t="inlineStr">
        <is>
          <t>A 13413-2023</t>
        </is>
      </c>
      <c r="B589" s="1" t="n">
        <v>45005.58341435185</v>
      </c>
      <c r="C589" s="1" t="n">
        <v>46092</v>
      </c>
      <c r="D589" t="inlineStr">
        <is>
          <t>ÖSTERGÖTLANDS LÄN</t>
        </is>
      </c>
      <c r="E589" t="inlineStr">
        <is>
          <t>LINKÖPING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26620-2023</t>
        </is>
      </c>
      <c r="B590" s="1" t="n">
        <v>45092.70390046296</v>
      </c>
      <c r="C590" s="1" t="n">
        <v>46092</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16462-2021</t>
        </is>
      </c>
      <c r="B591" s="1" t="n">
        <v>44293</v>
      </c>
      <c r="C591" s="1" t="n">
        <v>46092</v>
      </c>
      <c r="D591" t="inlineStr">
        <is>
          <t>ÖSTERGÖTLANDS LÄN</t>
        </is>
      </c>
      <c r="E591" t="inlineStr">
        <is>
          <t>LINKÖPING</t>
        </is>
      </c>
      <c r="F591" t="inlineStr">
        <is>
          <t>Allmännings- och besparingsskogar</t>
        </is>
      </c>
      <c r="G591" t="n">
        <v>24.7</v>
      </c>
      <c r="H591" t="n">
        <v>0</v>
      </c>
      <c r="I591" t="n">
        <v>0</v>
      </c>
      <c r="J591" t="n">
        <v>0</v>
      </c>
      <c r="K591" t="n">
        <v>0</v>
      </c>
      <c r="L591" t="n">
        <v>0</v>
      </c>
      <c r="M591" t="n">
        <v>0</v>
      </c>
      <c r="N591" t="n">
        <v>0</v>
      </c>
      <c r="O591" t="n">
        <v>0</v>
      </c>
      <c r="P591" t="n">
        <v>0</v>
      </c>
      <c r="Q591" t="n">
        <v>0</v>
      </c>
      <c r="R591" s="2" t="inlineStr"/>
    </row>
    <row r="592" ht="15" customHeight="1">
      <c r="A592" t="inlineStr">
        <is>
          <t>A 63554-2023</t>
        </is>
      </c>
      <c r="B592" s="1" t="n">
        <v>45275</v>
      </c>
      <c r="C592" s="1" t="n">
        <v>46092</v>
      </c>
      <c r="D592" t="inlineStr">
        <is>
          <t>ÖSTERGÖTLANDS LÄN</t>
        </is>
      </c>
      <c r="E592" t="inlineStr">
        <is>
          <t>LINKÖPING</t>
        </is>
      </c>
      <c r="G592" t="n">
        <v>4.3</v>
      </c>
      <c r="H592" t="n">
        <v>0</v>
      </c>
      <c r="I592" t="n">
        <v>0</v>
      </c>
      <c r="J592" t="n">
        <v>0</v>
      </c>
      <c r="K592" t="n">
        <v>0</v>
      </c>
      <c r="L592" t="n">
        <v>0</v>
      </c>
      <c r="M592" t="n">
        <v>0</v>
      </c>
      <c r="N592" t="n">
        <v>0</v>
      </c>
      <c r="O592" t="n">
        <v>0</v>
      </c>
      <c r="P592" t="n">
        <v>0</v>
      </c>
      <c r="Q592" t="n">
        <v>0</v>
      </c>
      <c r="R592" s="2" t="inlineStr"/>
    </row>
    <row r="593" ht="15" customHeight="1">
      <c r="A593" t="inlineStr">
        <is>
          <t>A 63638-2023</t>
        </is>
      </c>
      <c r="B593" s="1" t="n">
        <v>45275</v>
      </c>
      <c r="C593" s="1" t="n">
        <v>46092</v>
      </c>
      <c r="D593" t="inlineStr">
        <is>
          <t>ÖSTERGÖTLANDS LÄN</t>
        </is>
      </c>
      <c r="E593" t="inlineStr">
        <is>
          <t>LINKÖPING</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63658-2023</t>
        </is>
      </c>
      <c r="B594" s="1" t="n">
        <v>45275</v>
      </c>
      <c r="C594" s="1" t="n">
        <v>46092</v>
      </c>
      <c r="D594" t="inlineStr">
        <is>
          <t>ÖSTERGÖTLANDS LÄN</t>
        </is>
      </c>
      <c r="E594" t="inlineStr">
        <is>
          <t>LINKÖPING</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16820-2024</t>
        </is>
      </c>
      <c r="B595" s="1" t="n">
        <v>45411.46809027778</v>
      </c>
      <c r="C595" s="1" t="n">
        <v>46092</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4456-2024</t>
        </is>
      </c>
      <c r="B596" s="1" t="n">
        <v>45327.52847222222</v>
      </c>
      <c r="C596" s="1" t="n">
        <v>46092</v>
      </c>
      <c r="D596" t="inlineStr">
        <is>
          <t>ÖSTERGÖTLANDS LÄN</t>
        </is>
      </c>
      <c r="E596" t="inlineStr">
        <is>
          <t>LINKÖPING</t>
        </is>
      </c>
      <c r="G596" t="n">
        <v>2.7</v>
      </c>
      <c r="H596" t="n">
        <v>0</v>
      </c>
      <c r="I596" t="n">
        <v>0</v>
      </c>
      <c r="J596" t="n">
        <v>0</v>
      </c>
      <c r="K596" t="n">
        <v>0</v>
      </c>
      <c r="L596" t="n">
        <v>0</v>
      </c>
      <c r="M596" t="n">
        <v>0</v>
      </c>
      <c r="N596" t="n">
        <v>0</v>
      </c>
      <c r="O596" t="n">
        <v>0</v>
      </c>
      <c r="P596" t="n">
        <v>0</v>
      </c>
      <c r="Q596" t="n">
        <v>0</v>
      </c>
      <c r="R596" s="2" t="inlineStr"/>
    </row>
    <row r="597" ht="15" customHeight="1">
      <c r="A597" t="inlineStr">
        <is>
          <t>A 20298-2025</t>
        </is>
      </c>
      <c r="B597" s="1" t="n">
        <v>45774.75024305555</v>
      </c>
      <c r="C597" s="1" t="n">
        <v>46092</v>
      </c>
      <c r="D597" t="inlineStr">
        <is>
          <t>ÖSTERGÖTLANDS LÄN</t>
        </is>
      </c>
      <c r="E597" t="inlineStr">
        <is>
          <t>LINKÖPING</t>
        </is>
      </c>
      <c r="G597" t="n">
        <v>1.3</v>
      </c>
      <c r="H597" t="n">
        <v>0</v>
      </c>
      <c r="I597" t="n">
        <v>0</v>
      </c>
      <c r="J597" t="n">
        <v>0</v>
      </c>
      <c r="K597" t="n">
        <v>0</v>
      </c>
      <c r="L597" t="n">
        <v>0</v>
      </c>
      <c r="M597" t="n">
        <v>0</v>
      </c>
      <c r="N597" t="n">
        <v>0</v>
      </c>
      <c r="O597" t="n">
        <v>0</v>
      </c>
      <c r="P597" t="n">
        <v>0</v>
      </c>
      <c r="Q597" t="n">
        <v>0</v>
      </c>
      <c r="R597" s="2" t="inlineStr"/>
    </row>
    <row r="598" ht="15" customHeight="1">
      <c r="A598" t="inlineStr">
        <is>
          <t>A 15121-2022</t>
        </is>
      </c>
      <c r="B598" s="1" t="n">
        <v>44658</v>
      </c>
      <c r="C598" s="1" t="n">
        <v>46092</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50743-2023</t>
        </is>
      </c>
      <c r="B599" s="1" t="n">
        <v>45217</v>
      </c>
      <c r="C599" s="1" t="n">
        <v>46092</v>
      </c>
      <c r="D599" t="inlineStr">
        <is>
          <t>ÖSTERGÖTLANDS LÄN</t>
        </is>
      </c>
      <c r="E599" t="inlineStr">
        <is>
          <t>LINKÖPING</t>
        </is>
      </c>
      <c r="G599" t="n">
        <v>2.7</v>
      </c>
      <c r="H599" t="n">
        <v>0</v>
      </c>
      <c r="I599" t="n">
        <v>0</v>
      </c>
      <c r="J599" t="n">
        <v>0</v>
      </c>
      <c r="K599" t="n">
        <v>0</v>
      </c>
      <c r="L599" t="n">
        <v>0</v>
      </c>
      <c r="M599" t="n">
        <v>0</v>
      </c>
      <c r="N599" t="n">
        <v>0</v>
      </c>
      <c r="O599" t="n">
        <v>0</v>
      </c>
      <c r="P599" t="n">
        <v>0</v>
      </c>
      <c r="Q599" t="n">
        <v>0</v>
      </c>
      <c r="R599" s="2" t="inlineStr"/>
    </row>
    <row r="600" ht="15" customHeight="1">
      <c r="A600" t="inlineStr">
        <is>
          <t>A 13687-2025</t>
        </is>
      </c>
      <c r="B600" s="1" t="n">
        <v>45737.31425925926</v>
      </c>
      <c r="C600" s="1" t="n">
        <v>46092</v>
      </c>
      <c r="D600" t="inlineStr">
        <is>
          <t>ÖSTERGÖTLANDS LÄN</t>
        </is>
      </c>
      <c r="E600" t="inlineStr">
        <is>
          <t>LINKÖPING</t>
        </is>
      </c>
      <c r="G600" t="n">
        <v>2.7</v>
      </c>
      <c r="H600" t="n">
        <v>0</v>
      </c>
      <c r="I600" t="n">
        <v>0</v>
      </c>
      <c r="J600" t="n">
        <v>0</v>
      </c>
      <c r="K600" t="n">
        <v>0</v>
      </c>
      <c r="L600" t="n">
        <v>0</v>
      </c>
      <c r="M600" t="n">
        <v>0</v>
      </c>
      <c r="N600" t="n">
        <v>0</v>
      </c>
      <c r="O600" t="n">
        <v>0</v>
      </c>
      <c r="P600" t="n">
        <v>0</v>
      </c>
      <c r="Q600" t="n">
        <v>0</v>
      </c>
      <c r="R600" s="2" t="inlineStr"/>
    </row>
    <row r="601" ht="15" customHeight="1">
      <c r="A601" t="inlineStr">
        <is>
          <t>A 13695-2025</t>
        </is>
      </c>
      <c r="B601" s="1" t="n">
        <v>45737.32219907407</v>
      </c>
      <c r="C601" s="1" t="n">
        <v>46092</v>
      </c>
      <c r="D601" t="inlineStr">
        <is>
          <t>ÖSTERGÖTLANDS LÄN</t>
        </is>
      </c>
      <c r="E601" t="inlineStr">
        <is>
          <t>LINKÖPING</t>
        </is>
      </c>
      <c r="G601" t="n">
        <v>5.3</v>
      </c>
      <c r="H601" t="n">
        <v>0</v>
      </c>
      <c r="I601" t="n">
        <v>0</v>
      </c>
      <c r="J601" t="n">
        <v>0</v>
      </c>
      <c r="K601" t="n">
        <v>0</v>
      </c>
      <c r="L601" t="n">
        <v>0</v>
      </c>
      <c r="M601" t="n">
        <v>0</v>
      </c>
      <c r="N601" t="n">
        <v>0</v>
      </c>
      <c r="O601" t="n">
        <v>0</v>
      </c>
      <c r="P601" t="n">
        <v>0</v>
      </c>
      <c r="Q601" t="n">
        <v>0</v>
      </c>
      <c r="R601" s="2" t="inlineStr"/>
    </row>
    <row r="602" ht="15" customHeight="1">
      <c r="A602" t="inlineStr">
        <is>
          <t>A 20294-2025</t>
        </is>
      </c>
      <c r="B602" s="1" t="n">
        <v>45774.74667824074</v>
      </c>
      <c r="C602" s="1" t="n">
        <v>46092</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17128-2025</t>
        </is>
      </c>
      <c r="B603" s="1" t="n">
        <v>45755.72622685185</v>
      </c>
      <c r="C603" s="1" t="n">
        <v>46092</v>
      </c>
      <c r="D603" t="inlineStr">
        <is>
          <t>ÖSTERGÖTLANDS LÄN</t>
        </is>
      </c>
      <c r="E603" t="inlineStr">
        <is>
          <t>LINKÖPING</t>
        </is>
      </c>
      <c r="G603" t="n">
        <v>2.9</v>
      </c>
      <c r="H603" t="n">
        <v>0</v>
      </c>
      <c r="I603" t="n">
        <v>0</v>
      </c>
      <c r="J603" t="n">
        <v>0</v>
      </c>
      <c r="K603" t="n">
        <v>0</v>
      </c>
      <c r="L603" t="n">
        <v>0</v>
      </c>
      <c r="M603" t="n">
        <v>0</v>
      </c>
      <c r="N603" t="n">
        <v>0</v>
      </c>
      <c r="O603" t="n">
        <v>0</v>
      </c>
      <c r="P603" t="n">
        <v>0</v>
      </c>
      <c r="Q603" t="n">
        <v>0</v>
      </c>
      <c r="R603" s="2" t="inlineStr"/>
    </row>
    <row r="604" ht="15" customHeight="1">
      <c r="A604" t="inlineStr">
        <is>
          <t>A 52125-2022</t>
        </is>
      </c>
      <c r="B604" s="1" t="n">
        <v>44873</v>
      </c>
      <c r="C604" s="1" t="n">
        <v>46092</v>
      </c>
      <c r="D604" t="inlineStr">
        <is>
          <t>ÖSTERGÖTLANDS LÄN</t>
        </is>
      </c>
      <c r="E604" t="inlineStr">
        <is>
          <t>LINKÖPING</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27343-2023</t>
        </is>
      </c>
      <c r="B605" s="1" t="n">
        <v>45096</v>
      </c>
      <c r="C605" s="1" t="n">
        <v>46092</v>
      </c>
      <c r="D605" t="inlineStr">
        <is>
          <t>ÖSTERGÖTLANDS LÄN</t>
        </is>
      </c>
      <c r="E605" t="inlineStr">
        <is>
          <t>LINKÖPING</t>
        </is>
      </c>
      <c r="F605" t="inlineStr">
        <is>
          <t>Allmännings- och besparingsskogar</t>
        </is>
      </c>
      <c r="G605" t="n">
        <v>6.9</v>
      </c>
      <c r="H605" t="n">
        <v>0</v>
      </c>
      <c r="I605" t="n">
        <v>0</v>
      </c>
      <c r="J605" t="n">
        <v>0</v>
      </c>
      <c r="K605" t="n">
        <v>0</v>
      </c>
      <c r="L605" t="n">
        <v>0</v>
      </c>
      <c r="M605" t="n">
        <v>0</v>
      </c>
      <c r="N605" t="n">
        <v>0</v>
      </c>
      <c r="O605" t="n">
        <v>0</v>
      </c>
      <c r="P605" t="n">
        <v>0</v>
      </c>
      <c r="Q605" t="n">
        <v>0</v>
      </c>
      <c r="R605" s="2" t="inlineStr"/>
    </row>
    <row r="606" ht="15" customHeight="1">
      <c r="A606" t="inlineStr">
        <is>
          <t>A 22842-2023</t>
        </is>
      </c>
      <c r="B606" s="1" t="n">
        <v>45071</v>
      </c>
      <c r="C606" s="1" t="n">
        <v>46092</v>
      </c>
      <c r="D606" t="inlineStr">
        <is>
          <t>ÖSTERGÖTLANDS LÄN</t>
        </is>
      </c>
      <c r="E606" t="inlineStr">
        <is>
          <t>LINKÖPING</t>
        </is>
      </c>
      <c r="F606" t="inlineStr">
        <is>
          <t>Kommuner</t>
        </is>
      </c>
      <c r="G606" t="n">
        <v>1.3</v>
      </c>
      <c r="H606" t="n">
        <v>0</v>
      </c>
      <c r="I606" t="n">
        <v>0</v>
      </c>
      <c r="J606" t="n">
        <v>0</v>
      </c>
      <c r="K606" t="n">
        <v>0</v>
      </c>
      <c r="L606" t="n">
        <v>0</v>
      </c>
      <c r="M606" t="n">
        <v>0</v>
      </c>
      <c r="N606" t="n">
        <v>0</v>
      </c>
      <c r="O606" t="n">
        <v>0</v>
      </c>
      <c r="P606" t="n">
        <v>0</v>
      </c>
      <c r="Q606" t="n">
        <v>0</v>
      </c>
      <c r="R606" s="2" t="inlineStr"/>
    </row>
    <row r="607" ht="15" customHeight="1">
      <c r="A607" t="inlineStr">
        <is>
          <t>A 14520-2025</t>
        </is>
      </c>
      <c r="B607" s="1" t="n">
        <v>45741</v>
      </c>
      <c r="C607" s="1" t="n">
        <v>46092</v>
      </c>
      <c r="D607" t="inlineStr">
        <is>
          <t>ÖSTERGÖTLANDS LÄN</t>
        </is>
      </c>
      <c r="E607" t="inlineStr">
        <is>
          <t>LINKÖPING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31548-2022</t>
        </is>
      </c>
      <c r="B608" s="1" t="n">
        <v>44775.39832175926</v>
      </c>
      <c r="C608" s="1" t="n">
        <v>46092</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62017-2024</t>
        </is>
      </c>
      <c r="B609" s="1" t="n">
        <v>45655.81140046296</v>
      </c>
      <c r="C609" s="1" t="n">
        <v>46092</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17785-2023</t>
        </is>
      </c>
      <c r="B610" s="1" t="n">
        <v>45037.55094907407</v>
      </c>
      <c r="C610" s="1" t="n">
        <v>46092</v>
      </c>
      <c r="D610" t="inlineStr">
        <is>
          <t>ÖSTERGÖTLANDS LÄN</t>
        </is>
      </c>
      <c r="E610" t="inlineStr">
        <is>
          <t>LINKÖPING</t>
        </is>
      </c>
      <c r="F610" t="inlineStr">
        <is>
          <t>Allmännings- och besparingsskogar</t>
        </is>
      </c>
      <c r="G610" t="n">
        <v>3.1</v>
      </c>
      <c r="H610" t="n">
        <v>0</v>
      </c>
      <c r="I610" t="n">
        <v>0</v>
      </c>
      <c r="J610" t="n">
        <v>0</v>
      </c>
      <c r="K610" t="n">
        <v>0</v>
      </c>
      <c r="L610" t="n">
        <v>0</v>
      </c>
      <c r="M610" t="n">
        <v>0</v>
      </c>
      <c r="N610" t="n">
        <v>0</v>
      </c>
      <c r="O610" t="n">
        <v>0</v>
      </c>
      <c r="P610" t="n">
        <v>0</v>
      </c>
      <c r="Q610" t="n">
        <v>0</v>
      </c>
      <c r="R610" s="2" t="inlineStr"/>
    </row>
    <row r="611" ht="15" customHeight="1">
      <c r="A611" t="inlineStr">
        <is>
          <t>A 62686-2023</t>
        </is>
      </c>
      <c r="B611" s="1" t="n">
        <v>45271</v>
      </c>
      <c r="C611" s="1" t="n">
        <v>46092</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42044-2023</t>
        </is>
      </c>
      <c r="B612" s="1" t="n">
        <v>45177</v>
      </c>
      <c r="C612" s="1" t="n">
        <v>46092</v>
      </c>
      <c r="D612" t="inlineStr">
        <is>
          <t>ÖSTERGÖTLANDS LÄN</t>
        </is>
      </c>
      <c r="E612" t="inlineStr">
        <is>
          <t>LINKÖPING</t>
        </is>
      </c>
      <c r="G612" t="n">
        <v>3.9</v>
      </c>
      <c r="H612" t="n">
        <v>0</v>
      </c>
      <c r="I612" t="n">
        <v>0</v>
      </c>
      <c r="J612" t="n">
        <v>0</v>
      </c>
      <c r="K612" t="n">
        <v>0</v>
      </c>
      <c r="L612" t="n">
        <v>0</v>
      </c>
      <c r="M612" t="n">
        <v>0</v>
      </c>
      <c r="N612" t="n">
        <v>0</v>
      </c>
      <c r="O612" t="n">
        <v>0</v>
      </c>
      <c r="P612" t="n">
        <v>0</v>
      </c>
      <c r="Q612" t="n">
        <v>0</v>
      </c>
      <c r="R612" s="2" t="inlineStr"/>
    </row>
    <row r="613" ht="15" customHeight="1">
      <c r="A613" t="inlineStr">
        <is>
          <t>A 49656-2021</t>
        </is>
      </c>
      <c r="B613" s="1" t="n">
        <v>44454</v>
      </c>
      <c r="C613" s="1" t="n">
        <v>46092</v>
      </c>
      <c r="D613" t="inlineStr">
        <is>
          <t>ÖSTERGÖTLANDS LÄN</t>
        </is>
      </c>
      <c r="E613" t="inlineStr">
        <is>
          <t>LINKÖPING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38230-2023</t>
        </is>
      </c>
      <c r="B614" s="1" t="n">
        <v>45161.55373842592</v>
      </c>
      <c r="C614" s="1" t="n">
        <v>46092</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45442-2024</t>
        </is>
      </c>
      <c r="B615" s="1" t="n">
        <v>45576.64189814815</v>
      </c>
      <c r="C615" s="1" t="n">
        <v>46092</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4908-2023</t>
        </is>
      </c>
      <c r="B616" s="1" t="n">
        <v>44958</v>
      </c>
      <c r="C616" s="1" t="n">
        <v>46092</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1265-2023</t>
        </is>
      </c>
      <c r="B617" s="1" t="n">
        <v>44936</v>
      </c>
      <c r="C617" s="1" t="n">
        <v>46092</v>
      </c>
      <c r="D617" t="inlineStr">
        <is>
          <t>ÖSTERGÖTLANDS LÄN</t>
        </is>
      </c>
      <c r="E617" t="inlineStr">
        <is>
          <t>LINKÖPING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12411-2022</t>
        </is>
      </c>
      <c r="B618" s="1" t="n">
        <v>44638.21601851852</v>
      </c>
      <c r="C618" s="1" t="n">
        <v>46092</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23491-2024</t>
        </is>
      </c>
      <c r="B619" s="1" t="n">
        <v>45453</v>
      </c>
      <c r="C619" s="1" t="n">
        <v>46092</v>
      </c>
      <c r="D619" t="inlineStr">
        <is>
          <t>ÖSTERGÖTLANDS LÄN</t>
        </is>
      </c>
      <c r="E619" t="inlineStr">
        <is>
          <t>LINKÖPING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70-2024</t>
        </is>
      </c>
      <c r="B620" s="1" t="n">
        <v>45293</v>
      </c>
      <c r="C620" s="1" t="n">
        <v>46092</v>
      </c>
      <c r="D620" t="inlineStr">
        <is>
          <t>ÖSTERGÖTLANDS LÄN</t>
        </is>
      </c>
      <c r="E620" t="inlineStr">
        <is>
          <t>LINKÖPING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6054-2022</t>
        </is>
      </c>
      <c r="B621" s="1" t="n">
        <v>44599.53623842593</v>
      </c>
      <c r="C621" s="1" t="n">
        <v>46092</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31725-2022</t>
        </is>
      </c>
      <c r="B622" s="1" t="n">
        <v>44776.48541666667</v>
      </c>
      <c r="C622" s="1" t="n">
        <v>46092</v>
      </c>
      <c r="D622" t="inlineStr">
        <is>
          <t>ÖSTERGÖTLANDS LÄN</t>
        </is>
      </c>
      <c r="E622" t="inlineStr">
        <is>
          <t>LINKÖPING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57391-2023</t>
        </is>
      </c>
      <c r="B623" s="1" t="n">
        <v>45245</v>
      </c>
      <c r="C623" s="1" t="n">
        <v>46092</v>
      </c>
      <c r="D623" t="inlineStr">
        <is>
          <t>ÖSTERGÖTLANDS LÄN</t>
        </is>
      </c>
      <c r="E623" t="inlineStr">
        <is>
          <t>LINKÖPING</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7992-2023</t>
        </is>
      </c>
      <c r="B624" s="1" t="n">
        <v>44970</v>
      </c>
      <c r="C624" s="1" t="n">
        <v>46092</v>
      </c>
      <c r="D624" t="inlineStr">
        <is>
          <t>ÖSTERGÖTLANDS LÄN</t>
        </is>
      </c>
      <c r="E624" t="inlineStr">
        <is>
          <t>LINKÖPING</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13689-2025</t>
        </is>
      </c>
      <c r="B625" s="1" t="n">
        <v>45737.31590277778</v>
      </c>
      <c r="C625" s="1" t="n">
        <v>46092</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13696-2025</t>
        </is>
      </c>
      <c r="B626" s="1" t="n">
        <v>45737.32273148148</v>
      </c>
      <c r="C626" s="1" t="n">
        <v>46092</v>
      </c>
      <c r="D626" t="inlineStr">
        <is>
          <t>ÖSTERGÖTLANDS LÄN</t>
        </is>
      </c>
      <c r="E626" t="inlineStr">
        <is>
          <t>LINKÖPING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1924-2024</t>
        </is>
      </c>
      <c r="B627" s="1" t="n">
        <v>45308</v>
      </c>
      <c r="C627" s="1" t="n">
        <v>46092</v>
      </c>
      <c r="D627" t="inlineStr">
        <is>
          <t>ÖSTERGÖTLANDS LÄN</t>
        </is>
      </c>
      <c r="E627" t="inlineStr">
        <is>
          <t>LINKÖPING</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32346-2023</t>
        </is>
      </c>
      <c r="B628" s="1" t="n">
        <v>45120</v>
      </c>
      <c r="C628" s="1" t="n">
        <v>46092</v>
      </c>
      <c r="D628" t="inlineStr">
        <is>
          <t>ÖSTERGÖTLANDS LÄN</t>
        </is>
      </c>
      <c r="E628" t="inlineStr">
        <is>
          <t>LINKÖPING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50508-2024</t>
        </is>
      </c>
      <c r="B629" s="1" t="n">
        <v>45601.53907407408</v>
      </c>
      <c r="C629" s="1" t="n">
        <v>46092</v>
      </c>
      <c r="D629" t="inlineStr">
        <is>
          <t>ÖSTERGÖTLANDS LÄN</t>
        </is>
      </c>
      <c r="E629" t="inlineStr">
        <is>
          <t>LINKÖPING</t>
        </is>
      </c>
      <c r="F629" t="inlineStr">
        <is>
          <t>Övriga Aktiebolag</t>
        </is>
      </c>
      <c r="G629" t="n">
        <v>2</v>
      </c>
      <c r="H629" t="n">
        <v>0</v>
      </c>
      <c r="I629" t="n">
        <v>0</v>
      </c>
      <c r="J629" t="n">
        <v>0</v>
      </c>
      <c r="K629" t="n">
        <v>0</v>
      </c>
      <c r="L629" t="n">
        <v>0</v>
      </c>
      <c r="M629" t="n">
        <v>0</v>
      </c>
      <c r="N629" t="n">
        <v>0</v>
      </c>
      <c r="O629" t="n">
        <v>0</v>
      </c>
      <c r="P629" t="n">
        <v>0</v>
      </c>
      <c r="Q629" t="n">
        <v>0</v>
      </c>
      <c r="R629" s="2" t="inlineStr"/>
    </row>
    <row r="630" ht="15" customHeight="1">
      <c r="A630" t="inlineStr">
        <is>
          <t>A 7808-2022</t>
        </is>
      </c>
      <c r="B630" s="1" t="n">
        <v>44608</v>
      </c>
      <c r="C630" s="1" t="n">
        <v>46092</v>
      </c>
      <c r="D630" t="inlineStr">
        <is>
          <t>ÖSTERGÖTLANDS LÄN</t>
        </is>
      </c>
      <c r="E630" t="inlineStr">
        <is>
          <t>LINKÖPING</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27844-2024</t>
        </is>
      </c>
      <c r="B631" s="1" t="n">
        <v>45475.63047453704</v>
      </c>
      <c r="C631" s="1" t="n">
        <v>46092</v>
      </c>
      <c r="D631" t="inlineStr">
        <is>
          <t>ÖSTERGÖTLANDS LÄN</t>
        </is>
      </c>
      <c r="E631" t="inlineStr">
        <is>
          <t>LINKÖPING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40810-2022</t>
        </is>
      </c>
      <c r="B632" s="1" t="n">
        <v>44824</v>
      </c>
      <c r="C632" s="1" t="n">
        <v>46092</v>
      </c>
      <c r="D632" t="inlineStr">
        <is>
          <t>ÖSTERGÖTLANDS LÄN</t>
        </is>
      </c>
      <c r="E632" t="inlineStr">
        <is>
          <t>LINKÖPING</t>
        </is>
      </c>
      <c r="G632" t="n">
        <v>2.8</v>
      </c>
      <c r="H632" t="n">
        <v>0</v>
      </c>
      <c r="I632" t="n">
        <v>0</v>
      </c>
      <c r="J632" t="n">
        <v>0</v>
      </c>
      <c r="K632" t="n">
        <v>0</v>
      </c>
      <c r="L632" t="n">
        <v>0</v>
      </c>
      <c r="M632" t="n">
        <v>0</v>
      </c>
      <c r="N632" t="n">
        <v>0</v>
      </c>
      <c r="O632" t="n">
        <v>0</v>
      </c>
      <c r="P632" t="n">
        <v>0</v>
      </c>
      <c r="Q632" t="n">
        <v>0</v>
      </c>
      <c r="R632" s="2" t="inlineStr"/>
    </row>
    <row r="633" ht="15" customHeight="1">
      <c r="A633" t="inlineStr">
        <is>
          <t>A 51559-2024</t>
        </is>
      </c>
      <c r="B633" s="1" t="n">
        <v>45604.61431712963</v>
      </c>
      <c r="C633" s="1" t="n">
        <v>46092</v>
      </c>
      <c r="D633" t="inlineStr">
        <is>
          <t>ÖSTERGÖTLANDS LÄN</t>
        </is>
      </c>
      <c r="E633" t="inlineStr">
        <is>
          <t>LINKÖPING</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49979-2022</t>
        </is>
      </c>
      <c r="B634" s="1" t="n">
        <v>44865</v>
      </c>
      <c r="C634" s="1" t="n">
        <v>46092</v>
      </c>
      <c r="D634" t="inlineStr">
        <is>
          <t>ÖSTERGÖTLANDS LÄN</t>
        </is>
      </c>
      <c r="E634" t="inlineStr">
        <is>
          <t>LINKÖPING</t>
        </is>
      </c>
      <c r="F634" t="inlineStr">
        <is>
          <t>Övriga Aktiebolag</t>
        </is>
      </c>
      <c r="G634" t="n">
        <v>11.4</v>
      </c>
      <c r="H634" t="n">
        <v>0</v>
      </c>
      <c r="I634" t="n">
        <v>0</v>
      </c>
      <c r="J634" t="n">
        <v>0</v>
      </c>
      <c r="K634" t="n">
        <v>0</v>
      </c>
      <c r="L634" t="n">
        <v>0</v>
      </c>
      <c r="M634" t="n">
        <v>0</v>
      </c>
      <c r="N634" t="n">
        <v>0</v>
      </c>
      <c r="O634" t="n">
        <v>0</v>
      </c>
      <c r="P634" t="n">
        <v>0</v>
      </c>
      <c r="Q634" t="n">
        <v>0</v>
      </c>
      <c r="R634" s="2" t="inlineStr"/>
    </row>
    <row r="635" ht="15" customHeight="1">
      <c r="A635" t="inlineStr">
        <is>
          <t>A 39219-2021</t>
        </is>
      </c>
      <c r="B635" s="1" t="n">
        <v>44413</v>
      </c>
      <c r="C635" s="1" t="n">
        <v>46092</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39224-2021</t>
        </is>
      </c>
      <c r="B636" s="1" t="n">
        <v>44413</v>
      </c>
      <c r="C636" s="1" t="n">
        <v>46092</v>
      </c>
      <c r="D636" t="inlineStr">
        <is>
          <t>ÖSTERGÖTLANDS LÄN</t>
        </is>
      </c>
      <c r="E636" t="inlineStr">
        <is>
          <t>LINKÖPING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62495-2023</t>
        </is>
      </c>
      <c r="B637" s="1" t="n">
        <v>45268.59717592593</v>
      </c>
      <c r="C637" s="1" t="n">
        <v>46092</v>
      </c>
      <c r="D637" t="inlineStr">
        <is>
          <t>ÖSTERGÖTLANDS LÄN</t>
        </is>
      </c>
      <c r="E637" t="inlineStr">
        <is>
          <t>LINKÖPING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29413-2023</t>
        </is>
      </c>
      <c r="B638" s="1" t="n">
        <v>45106.46465277778</v>
      </c>
      <c r="C638" s="1" t="n">
        <v>46092</v>
      </c>
      <c r="D638" t="inlineStr">
        <is>
          <t>ÖSTERGÖTLANDS LÄN</t>
        </is>
      </c>
      <c r="E638" t="inlineStr">
        <is>
          <t>LINKÖPING</t>
        </is>
      </c>
      <c r="G638" t="n">
        <v>8</v>
      </c>
      <c r="H638" t="n">
        <v>0</v>
      </c>
      <c r="I638" t="n">
        <v>0</v>
      </c>
      <c r="J638" t="n">
        <v>0</v>
      </c>
      <c r="K638" t="n">
        <v>0</v>
      </c>
      <c r="L638" t="n">
        <v>0</v>
      </c>
      <c r="M638" t="n">
        <v>0</v>
      </c>
      <c r="N638" t="n">
        <v>0</v>
      </c>
      <c r="O638" t="n">
        <v>0</v>
      </c>
      <c r="P638" t="n">
        <v>0</v>
      </c>
      <c r="Q638" t="n">
        <v>0</v>
      </c>
      <c r="R638" s="2" t="inlineStr"/>
    </row>
    <row r="639" ht="15" customHeight="1">
      <c r="A639" t="inlineStr">
        <is>
          <t>A 25948-2023</t>
        </is>
      </c>
      <c r="B639" s="1" t="n">
        <v>45090</v>
      </c>
      <c r="C639" s="1" t="n">
        <v>46092</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1627-2023</t>
        </is>
      </c>
      <c r="B640" s="1" t="n">
        <v>44937</v>
      </c>
      <c r="C640" s="1" t="n">
        <v>46092</v>
      </c>
      <c r="D640" t="inlineStr">
        <is>
          <t>ÖSTERGÖTLANDS LÄN</t>
        </is>
      </c>
      <c r="E640" t="inlineStr">
        <is>
          <t>LINKÖPING</t>
        </is>
      </c>
      <c r="G640" t="n">
        <v>10.8</v>
      </c>
      <c r="H640" t="n">
        <v>0</v>
      </c>
      <c r="I640" t="n">
        <v>0</v>
      </c>
      <c r="J640" t="n">
        <v>0</v>
      </c>
      <c r="K640" t="n">
        <v>0</v>
      </c>
      <c r="L640" t="n">
        <v>0</v>
      </c>
      <c r="M640" t="n">
        <v>0</v>
      </c>
      <c r="N640" t="n">
        <v>0</v>
      </c>
      <c r="O640" t="n">
        <v>0</v>
      </c>
      <c r="P640" t="n">
        <v>0</v>
      </c>
      <c r="Q640" t="n">
        <v>0</v>
      </c>
      <c r="R640" s="2" t="inlineStr"/>
    </row>
    <row r="641" ht="15" customHeight="1">
      <c r="A641" t="inlineStr">
        <is>
          <t>A 30481-2023</t>
        </is>
      </c>
      <c r="B641" s="1" t="n">
        <v>45111</v>
      </c>
      <c r="C641" s="1" t="n">
        <v>46092</v>
      </c>
      <c r="D641" t="inlineStr">
        <is>
          <t>ÖSTERGÖTLANDS LÄN</t>
        </is>
      </c>
      <c r="E641" t="inlineStr">
        <is>
          <t>LINKÖPING</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21782-2024</t>
        </is>
      </c>
      <c r="B642" s="1" t="n">
        <v>45442.63368055555</v>
      </c>
      <c r="C642" s="1" t="n">
        <v>46092</v>
      </c>
      <c r="D642" t="inlineStr">
        <is>
          <t>ÖSTERGÖTLANDS LÄN</t>
        </is>
      </c>
      <c r="E642" t="inlineStr">
        <is>
          <t>LINKÖPING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11671-2023</t>
        </is>
      </c>
      <c r="B643" s="1" t="n">
        <v>44994.48125</v>
      </c>
      <c r="C643" s="1" t="n">
        <v>46092</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3013-2023</t>
        </is>
      </c>
      <c r="B644" s="1" t="n">
        <v>44945.8092824074</v>
      </c>
      <c r="C644" s="1" t="n">
        <v>46092</v>
      </c>
      <c r="D644" t="inlineStr">
        <is>
          <t>ÖSTERGÖTLANDS LÄN</t>
        </is>
      </c>
      <c r="E644" t="inlineStr">
        <is>
          <t>LINKÖPING</t>
        </is>
      </c>
      <c r="G644" t="n">
        <v>5.2</v>
      </c>
      <c r="H644" t="n">
        <v>0</v>
      </c>
      <c r="I644" t="n">
        <v>0</v>
      </c>
      <c r="J644" t="n">
        <v>0</v>
      </c>
      <c r="K644" t="n">
        <v>0</v>
      </c>
      <c r="L644" t="n">
        <v>0</v>
      </c>
      <c r="M644" t="n">
        <v>0</v>
      </c>
      <c r="N644" t="n">
        <v>0</v>
      </c>
      <c r="O644" t="n">
        <v>0</v>
      </c>
      <c r="P644" t="n">
        <v>0</v>
      </c>
      <c r="Q644" t="n">
        <v>0</v>
      </c>
      <c r="R644" s="2" t="inlineStr"/>
    </row>
    <row r="645" ht="15" customHeight="1">
      <c r="A645" t="inlineStr">
        <is>
          <t>A 49747-2024</t>
        </is>
      </c>
      <c r="B645" s="1" t="n">
        <v>45596</v>
      </c>
      <c r="C645" s="1" t="n">
        <v>46092</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42997-2021</t>
        </is>
      </c>
      <c r="B646" s="1" t="n">
        <v>44431.45556712963</v>
      </c>
      <c r="C646" s="1" t="n">
        <v>46092</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3011-2023</t>
        </is>
      </c>
      <c r="B647" s="1" t="n">
        <v>44945</v>
      </c>
      <c r="C647" s="1" t="n">
        <v>46092</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23735-2023</t>
        </is>
      </c>
      <c r="B648" s="1" t="n">
        <v>45077</v>
      </c>
      <c r="C648" s="1" t="n">
        <v>46092</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45821-2024</t>
        </is>
      </c>
      <c r="B649" s="1" t="n">
        <v>45579.75803240741</v>
      </c>
      <c r="C649" s="1" t="n">
        <v>46092</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53647-2021</t>
        </is>
      </c>
      <c r="B650" s="1" t="n">
        <v>44469</v>
      </c>
      <c r="C650" s="1" t="n">
        <v>46092</v>
      </c>
      <c r="D650" t="inlineStr">
        <is>
          <t>ÖSTERGÖTLANDS LÄN</t>
        </is>
      </c>
      <c r="E650" t="inlineStr">
        <is>
          <t>LINKÖPING</t>
        </is>
      </c>
      <c r="G650" t="n">
        <v>2.3</v>
      </c>
      <c r="H650" t="n">
        <v>0</v>
      </c>
      <c r="I650" t="n">
        <v>0</v>
      </c>
      <c r="J650" t="n">
        <v>0</v>
      </c>
      <c r="K650" t="n">
        <v>0</v>
      </c>
      <c r="L650" t="n">
        <v>0</v>
      </c>
      <c r="M650" t="n">
        <v>0</v>
      </c>
      <c r="N650" t="n">
        <v>0</v>
      </c>
      <c r="O650" t="n">
        <v>0</v>
      </c>
      <c r="P650" t="n">
        <v>0</v>
      </c>
      <c r="Q650" t="n">
        <v>0</v>
      </c>
      <c r="R650" s="2" t="inlineStr"/>
    </row>
    <row r="651" ht="15" customHeight="1">
      <c r="A651" t="inlineStr">
        <is>
          <t>A 6599-2023</t>
        </is>
      </c>
      <c r="B651" s="1" t="n">
        <v>44966.52603009259</v>
      </c>
      <c r="C651" s="1" t="n">
        <v>46092</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35735-2023</t>
        </is>
      </c>
      <c r="B652" s="1" t="n">
        <v>45147</v>
      </c>
      <c r="C652" s="1" t="n">
        <v>46092</v>
      </c>
      <c r="D652" t="inlineStr">
        <is>
          <t>ÖSTERGÖTLANDS LÄN</t>
        </is>
      </c>
      <c r="E652" t="inlineStr">
        <is>
          <t>LINKÖPING</t>
        </is>
      </c>
      <c r="G652" t="n">
        <v>2.8</v>
      </c>
      <c r="H652" t="n">
        <v>0</v>
      </c>
      <c r="I652" t="n">
        <v>0</v>
      </c>
      <c r="J652" t="n">
        <v>0</v>
      </c>
      <c r="K652" t="n">
        <v>0</v>
      </c>
      <c r="L652" t="n">
        <v>0</v>
      </c>
      <c r="M652" t="n">
        <v>0</v>
      </c>
      <c r="N652" t="n">
        <v>0</v>
      </c>
      <c r="O652" t="n">
        <v>0</v>
      </c>
      <c r="P652" t="n">
        <v>0</v>
      </c>
      <c r="Q652" t="n">
        <v>0</v>
      </c>
      <c r="R652" s="2" t="inlineStr"/>
    </row>
    <row r="653" ht="15" customHeight="1">
      <c r="A653" t="inlineStr">
        <is>
          <t>A 45831-2024</t>
        </is>
      </c>
      <c r="B653" s="1" t="n">
        <v>45579.90508101852</v>
      </c>
      <c r="C653" s="1" t="n">
        <v>46092</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17157-2024</t>
        </is>
      </c>
      <c r="B654" s="1" t="n">
        <v>45412.70567129629</v>
      </c>
      <c r="C654" s="1" t="n">
        <v>46092</v>
      </c>
      <c r="D654" t="inlineStr">
        <is>
          <t>ÖSTERGÖTLANDS LÄN</t>
        </is>
      </c>
      <c r="E654" t="inlineStr">
        <is>
          <t>LINKÖPING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37154-2023</t>
        </is>
      </c>
      <c r="B655" s="1" t="n">
        <v>45155</v>
      </c>
      <c r="C655" s="1" t="n">
        <v>46092</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53812-2023</t>
        </is>
      </c>
      <c r="B656" s="1" t="n">
        <v>45231.39583333334</v>
      </c>
      <c r="C656" s="1" t="n">
        <v>46092</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53830-2023</t>
        </is>
      </c>
      <c r="B657" s="1" t="n">
        <v>45230</v>
      </c>
      <c r="C657" s="1" t="n">
        <v>46092</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56841-2023</t>
        </is>
      </c>
      <c r="B658" s="1" t="n">
        <v>45244</v>
      </c>
      <c r="C658" s="1" t="n">
        <v>46092</v>
      </c>
      <c r="D658" t="inlineStr">
        <is>
          <t>ÖSTERGÖTLANDS LÄN</t>
        </is>
      </c>
      <c r="E658" t="inlineStr">
        <is>
          <t>LINKÖPING</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56741-2023</t>
        </is>
      </c>
      <c r="B659" s="1" t="n">
        <v>45244</v>
      </c>
      <c r="C659" s="1" t="n">
        <v>46092</v>
      </c>
      <c r="D659" t="inlineStr">
        <is>
          <t>ÖSTERGÖTLANDS LÄN</t>
        </is>
      </c>
      <c r="E659" t="inlineStr">
        <is>
          <t>LINKÖPING</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53816-2023</t>
        </is>
      </c>
      <c r="B660" s="1" t="n">
        <v>45231.40012731482</v>
      </c>
      <c r="C660" s="1" t="n">
        <v>46092</v>
      </c>
      <c r="D660" t="inlineStr">
        <is>
          <t>ÖSTERGÖTLANDS LÄN</t>
        </is>
      </c>
      <c r="E660" t="inlineStr">
        <is>
          <t>LINKÖPING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63935-2021</t>
        </is>
      </c>
      <c r="B661" s="1" t="n">
        <v>44509</v>
      </c>
      <c r="C661" s="1" t="n">
        <v>46092</v>
      </c>
      <c r="D661" t="inlineStr">
        <is>
          <t>ÖSTERGÖTLANDS LÄN</t>
        </is>
      </c>
      <c r="E661" t="inlineStr">
        <is>
          <t>LINKÖPING</t>
        </is>
      </c>
      <c r="F661" t="inlineStr">
        <is>
          <t>Övriga statliga verk och myndigheter</t>
        </is>
      </c>
      <c r="G661" t="n">
        <v>2.8</v>
      </c>
      <c r="H661" t="n">
        <v>0</v>
      </c>
      <c r="I661" t="n">
        <v>0</v>
      </c>
      <c r="J661" t="n">
        <v>0</v>
      </c>
      <c r="K661" t="n">
        <v>0</v>
      </c>
      <c r="L661" t="n">
        <v>0</v>
      </c>
      <c r="M661" t="n">
        <v>0</v>
      </c>
      <c r="N661" t="n">
        <v>0</v>
      </c>
      <c r="O661" t="n">
        <v>0</v>
      </c>
      <c r="P661" t="n">
        <v>0</v>
      </c>
      <c r="Q661" t="n">
        <v>0</v>
      </c>
      <c r="R661" s="2" t="inlineStr"/>
    </row>
    <row r="662" ht="15" customHeight="1">
      <c r="A662" t="inlineStr">
        <is>
          <t>A 6726-2024</t>
        </is>
      </c>
      <c r="B662" s="1" t="n">
        <v>45341</v>
      </c>
      <c r="C662" s="1" t="n">
        <v>46092</v>
      </c>
      <c r="D662" t="inlineStr">
        <is>
          <t>ÖSTERGÖTLANDS LÄN</t>
        </is>
      </c>
      <c r="E662" t="inlineStr">
        <is>
          <t>LINKÖPING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3007-2023</t>
        </is>
      </c>
      <c r="B663" s="1" t="n">
        <v>44945</v>
      </c>
      <c r="C663" s="1" t="n">
        <v>46092</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18145-2021</t>
        </is>
      </c>
      <c r="B664" s="1" t="n">
        <v>44302</v>
      </c>
      <c r="C664" s="1" t="n">
        <v>46092</v>
      </c>
      <c r="D664" t="inlineStr">
        <is>
          <t>ÖSTERGÖTLANDS LÄN</t>
        </is>
      </c>
      <c r="E664" t="inlineStr">
        <is>
          <t>LINKÖPING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29309-2024</t>
        </is>
      </c>
      <c r="B665" s="1" t="n">
        <v>45483</v>
      </c>
      <c r="C665" s="1" t="n">
        <v>46092</v>
      </c>
      <c r="D665" t="inlineStr">
        <is>
          <t>ÖSTERGÖTLANDS LÄN</t>
        </is>
      </c>
      <c r="E665" t="inlineStr">
        <is>
          <t>LINKÖPING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53411-2023</t>
        </is>
      </c>
      <c r="B666" s="1" t="n">
        <v>45229.81049768518</v>
      </c>
      <c r="C666" s="1" t="n">
        <v>46092</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46092</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24462-2023</t>
        </is>
      </c>
      <c r="B668" s="1" t="n">
        <v>45082</v>
      </c>
      <c r="C668" s="1" t="n">
        <v>46092</v>
      </c>
      <c r="D668" t="inlineStr">
        <is>
          <t>ÖSTERGÖTLANDS LÄN</t>
        </is>
      </c>
      <c r="E668" t="inlineStr">
        <is>
          <t>LINKÖPING</t>
        </is>
      </c>
      <c r="G668" t="n">
        <v>3.5</v>
      </c>
      <c r="H668" t="n">
        <v>0</v>
      </c>
      <c r="I668" t="n">
        <v>0</v>
      </c>
      <c r="J668" t="n">
        <v>0</v>
      </c>
      <c r="K668" t="n">
        <v>0</v>
      </c>
      <c r="L668" t="n">
        <v>0</v>
      </c>
      <c r="M668" t="n">
        <v>0</v>
      </c>
      <c r="N668" t="n">
        <v>0</v>
      </c>
      <c r="O668" t="n">
        <v>0</v>
      </c>
      <c r="P668" t="n">
        <v>0</v>
      </c>
      <c r="Q668" t="n">
        <v>0</v>
      </c>
      <c r="R668" s="2" t="inlineStr"/>
    </row>
    <row r="669" ht="15" customHeight="1">
      <c r="A669" t="inlineStr">
        <is>
          <t>A 62015-2024</t>
        </is>
      </c>
      <c r="B669" s="1" t="n">
        <v>45655.80457175926</v>
      </c>
      <c r="C669" s="1" t="n">
        <v>46092</v>
      </c>
      <c r="D669" t="inlineStr">
        <is>
          <t>ÖSTERGÖTLANDS LÄN</t>
        </is>
      </c>
      <c r="E669" t="inlineStr">
        <is>
          <t>LINKÖPING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10741-2023</t>
        </is>
      </c>
      <c r="B670" s="1" t="n">
        <v>44988.70084490741</v>
      </c>
      <c r="C670" s="1" t="n">
        <v>46092</v>
      </c>
      <c r="D670" t="inlineStr">
        <is>
          <t>ÖSTERGÖTLANDS LÄN</t>
        </is>
      </c>
      <c r="E670" t="inlineStr">
        <is>
          <t>LINKÖPING</t>
        </is>
      </c>
      <c r="F670" t="inlineStr">
        <is>
          <t>Allmännings- och besparingsskogar</t>
        </is>
      </c>
      <c r="G670" t="n">
        <v>11.2</v>
      </c>
      <c r="H670" t="n">
        <v>0</v>
      </c>
      <c r="I670" t="n">
        <v>0</v>
      </c>
      <c r="J670" t="n">
        <v>0</v>
      </c>
      <c r="K670" t="n">
        <v>0</v>
      </c>
      <c r="L670" t="n">
        <v>0</v>
      </c>
      <c r="M670" t="n">
        <v>0</v>
      </c>
      <c r="N670" t="n">
        <v>0</v>
      </c>
      <c r="O670" t="n">
        <v>0</v>
      </c>
      <c r="P670" t="n">
        <v>0</v>
      </c>
      <c r="Q670" t="n">
        <v>0</v>
      </c>
      <c r="R670" s="2" t="inlineStr"/>
    </row>
    <row r="671" ht="15" customHeight="1">
      <c r="A671" t="inlineStr">
        <is>
          <t>A 43473-2024</t>
        </is>
      </c>
      <c r="B671" s="1" t="n">
        <v>45568</v>
      </c>
      <c r="C671" s="1" t="n">
        <v>46092</v>
      </c>
      <c r="D671" t="inlineStr">
        <is>
          <t>ÖSTERGÖTLANDS LÄN</t>
        </is>
      </c>
      <c r="E671" t="inlineStr">
        <is>
          <t>LINKÖPING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43475-2024</t>
        </is>
      </c>
      <c r="B672" s="1" t="n">
        <v>45568</v>
      </c>
      <c r="C672" s="1" t="n">
        <v>46092</v>
      </c>
      <c r="D672" t="inlineStr">
        <is>
          <t>ÖSTERGÖTLANDS LÄN</t>
        </is>
      </c>
      <c r="E672" t="inlineStr">
        <is>
          <t>LINKÖPING</t>
        </is>
      </c>
      <c r="G672" t="n">
        <v>3.2</v>
      </c>
      <c r="H672" t="n">
        <v>0</v>
      </c>
      <c r="I672" t="n">
        <v>0</v>
      </c>
      <c r="J672" t="n">
        <v>0</v>
      </c>
      <c r="K672" t="n">
        <v>0</v>
      </c>
      <c r="L672" t="n">
        <v>0</v>
      </c>
      <c r="M672" t="n">
        <v>0</v>
      </c>
      <c r="N672" t="n">
        <v>0</v>
      </c>
      <c r="O672" t="n">
        <v>0</v>
      </c>
      <c r="P672" t="n">
        <v>0</v>
      </c>
      <c r="Q672" t="n">
        <v>0</v>
      </c>
      <c r="R672" s="2" t="inlineStr"/>
    </row>
    <row r="673" ht="15" customHeight="1">
      <c r="A673" t="inlineStr">
        <is>
          <t>A 1207-2023</t>
        </is>
      </c>
      <c r="B673" s="1" t="n">
        <v>44930</v>
      </c>
      <c r="C673" s="1" t="n">
        <v>46092</v>
      </c>
      <c r="D673" t="inlineStr">
        <is>
          <t>ÖSTERGÖTLANDS LÄN</t>
        </is>
      </c>
      <c r="E673" t="inlineStr">
        <is>
          <t>LINKÖPING</t>
        </is>
      </c>
      <c r="F673" t="inlineStr">
        <is>
          <t>Övriga statliga verk och myndigheter</t>
        </is>
      </c>
      <c r="G673" t="n">
        <v>32.8</v>
      </c>
      <c r="H673" t="n">
        <v>0</v>
      </c>
      <c r="I673" t="n">
        <v>0</v>
      </c>
      <c r="J673" t="n">
        <v>0</v>
      </c>
      <c r="K673" t="n">
        <v>0</v>
      </c>
      <c r="L673" t="n">
        <v>0</v>
      </c>
      <c r="M673" t="n">
        <v>0</v>
      </c>
      <c r="N673" t="n">
        <v>0</v>
      </c>
      <c r="O673" t="n">
        <v>0</v>
      </c>
      <c r="P673" t="n">
        <v>0</v>
      </c>
      <c r="Q673" t="n">
        <v>0</v>
      </c>
      <c r="R673" s="2" t="inlineStr"/>
    </row>
    <row r="674" ht="15" customHeight="1">
      <c r="A674" t="inlineStr">
        <is>
          <t>A 29859-2024</t>
        </is>
      </c>
      <c r="B674" s="1" t="n">
        <v>45485.6846412037</v>
      </c>
      <c r="C674" s="1" t="n">
        <v>46092</v>
      </c>
      <c r="D674" t="inlineStr">
        <is>
          <t>ÖSTERGÖTLANDS LÄN</t>
        </is>
      </c>
      <c r="E674" t="inlineStr">
        <is>
          <t>LINKÖPING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45819-2024</t>
        </is>
      </c>
      <c r="B675" s="1" t="n">
        <v>45579.7454050926</v>
      </c>
      <c r="C675" s="1" t="n">
        <v>46092</v>
      </c>
      <c r="D675" t="inlineStr">
        <is>
          <t>ÖSTERGÖTLANDS LÄN</t>
        </is>
      </c>
      <c r="E675" t="inlineStr">
        <is>
          <t>LINKÖPING</t>
        </is>
      </c>
      <c r="G675" t="n">
        <v>5</v>
      </c>
      <c r="H675" t="n">
        <v>0</v>
      </c>
      <c r="I675" t="n">
        <v>0</v>
      </c>
      <c r="J675" t="n">
        <v>0</v>
      </c>
      <c r="K675" t="n">
        <v>0</v>
      </c>
      <c r="L675" t="n">
        <v>0</v>
      </c>
      <c r="M675" t="n">
        <v>0</v>
      </c>
      <c r="N675" t="n">
        <v>0</v>
      </c>
      <c r="O675" t="n">
        <v>0</v>
      </c>
      <c r="P675" t="n">
        <v>0</v>
      </c>
      <c r="Q675" t="n">
        <v>0</v>
      </c>
      <c r="R675" s="2" t="inlineStr"/>
    </row>
    <row r="676" ht="15" customHeight="1">
      <c r="A676" t="inlineStr">
        <is>
          <t>A 15748-2025</t>
        </is>
      </c>
      <c r="B676" s="1" t="n">
        <v>45748.55282407408</v>
      </c>
      <c r="C676" s="1" t="n">
        <v>46092</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15754-2025</t>
        </is>
      </c>
      <c r="B677" s="1" t="n">
        <v>45748.56105324074</v>
      </c>
      <c r="C677" s="1" t="n">
        <v>46092</v>
      </c>
      <c r="D677" t="inlineStr">
        <is>
          <t>ÖSTERGÖTLANDS LÄN</t>
        </is>
      </c>
      <c r="E677" t="inlineStr">
        <is>
          <t>LINKÖPING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30518-2024</t>
        </is>
      </c>
      <c r="B678" s="1" t="n">
        <v>45492</v>
      </c>
      <c r="C678" s="1" t="n">
        <v>46092</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53797-2023</t>
        </is>
      </c>
      <c r="B679" s="1" t="n">
        <v>45230</v>
      </c>
      <c r="C679" s="1" t="n">
        <v>46092</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55345-2021</t>
        </is>
      </c>
      <c r="B680" s="1" t="n">
        <v>44475</v>
      </c>
      <c r="C680" s="1" t="n">
        <v>46092</v>
      </c>
      <c r="D680" t="inlineStr">
        <is>
          <t>ÖSTERGÖTLANDS LÄN</t>
        </is>
      </c>
      <c r="E680" t="inlineStr">
        <is>
          <t>LINKÖPING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10198-2023</t>
        </is>
      </c>
      <c r="B681" s="1" t="n">
        <v>44986.54665509259</v>
      </c>
      <c r="C681" s="1" t="n">
        <v>46092</v>
      </c>
      <c r="D681" t="inlineStr">
        <is>
          <t>ÖSTERGÖTLANDS LÄN</t>
        </is>
      </c>
      <c r="E681" t="inlineStr">
        <is>
          <t>LINKÖPING</t>
        </is>
      </c>
      <c r="G681" t="n">
        <v>4.6</v>
      </c>
      <c r="H681" t="n">
        <v>0</v>
      </c>
      <c r="I681" t="n">
        <v>0</v>
      </c>
      <c r="J681" t="n">
        <v>0</v>
      </c>
      <c r="K681" t="n">
        <v>0</v>
      </c>
      <c r="L681" t="n">
        <v>0</v>
      </c>
      <c r="M681" t="n">
        <v>0</v>
      </c>
      <c r="N681" t="n">
        <v>0</v>
      </c>
      <c r="O681" t="n">
        <v>0</v>
      </c>
      <c r="P681" t="n">
        <v>0</v>
      </c>
      <c r="Q681" t="n">
        <v>0</v>
      </c>
      <c r="R681" s="2" t="inlineStr"/>
    </row>
    <row r="682" ht="15" customHeight="1">
      <c r="A682" t="inlineStr">
        <is>
          <t>A 4298-2023</t>
        </is>
      </c>
      <c r="B682" s="1" t="n">
        <v>44953</v>
      </c>
      <c r="C682" s="1" t="n">
        <v>46092</v>
      </c>
      <c r="D682" t="inlineStr">
        <is>
          <t>ÖSTERGÖTLANDS LÄN</t>
        </is>
      </c>
      <c r="E682" t="inlineStr">
        <is>
          <t>LINKÖPING</t>
        </is>
      </c>
      <c r="G682" t="n">
        <v>2.8</v>
      </c>
      <c r="H682" t="n">
        <v>0</v>
      </c>
      <c r="I682" t="n">
        <v>0</v>
      </c>
      <c r="J682" t="n">
        <v>0</v>
      </c>
      <c r="K682" t="n">
        <v>0</v>
      </c>
      <c r="L682" t="n">
        <v>0</v>
      </c>
      <c r="M682" t="n">
        <v>0</v>
      </c>
      <c r="N682" t="n">
        <v>0</v>
      </c>
      <c r="O682" t="n">
        <v>0</v>
      </c>
      <c r="P682" t="n">
        <v>0</v>
      </c>
      <c r="Q682" t="n">
        <v>0</v>
      </c>
      <c r="R682" s="2" t="inlineStr"/>
    </row>
    <row r="683" ht="15" customHeight="1">
      <c r="A683" t="inlineStr">
        <is>
          <t>A 12428-2024</t>
        </is>
      </c>
      <c r="B683" s="1" t="n">
        <v>45379</v>
      </c>
      <c r="C683" s="1" t="n">
        <v>46092</v>
      </c>
      <c r="D683" t="inlineStr">
        <is>
          <t>ÖSTERGÖTLANDS LÄN</t>
        </is>
      </c>
      <c r="E683" t="inlineStr">
        <is>
          <t>LINKÖPING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26618-2023</t>
        </is>
      </c>
      <c r="B684" s="1" t="n">
        <v>45092.70306712963</v>
      </c>
      <c r="C684" s="1" t="n">
        <v>46092</v>
      </c>
      <c r="D684" t="inlineStr">
        <is>
          <t>ÖSTERGÖTLANDS LÄN</t>
        </is>
      </c>
      <c r="E684" t="inlineStr">
        <is>
          <t>LINKÖPING</t>
        </is>
      </c>
      <c r="G684" t="n">
        <v>6.9</v>
      </c>
      <c r="H684" t="n">
        <v>0</v>
      </c>
      <c r="I684" t="n">
        <v>0</v>
      </c>
      <c r="J684" t="n">
        <v>0</v>
      </c>
      <c r="K684" t="n">
        <v>0</v>
      </c>
      <c r="L684" t="n">
        <v>0</v>
      </c>
      <c r="M684" t="n">
        <v>0</v>
      </c>
      <c r="N684" t="n">
        <v>0</v>
      </c>
      <c r="O684" t="n">
        <v>0</v>
      </c>
      <c r="P684" t="n">
        <v>0</v>
      </c>
      <c r="Q684" t="n">
        <v>0</v>
      </c>
      <c r="R684" s="2" t="inlineStr"/>
    </row>
    <row r="685" ht="15" customHeight="1">
      <c r="A685" t="inlineStr">
        <is>
          <t>A 34930-2023</t>
        </is>
      </c>
      <c r="B685" s="1" t="n">
        <v>45142</v>
      </c>
      <c r="C685" s="1" t="n">
        <v>46092</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670-2024</t>
        </is>
      </c>
      <c r="B686" s="1" t="n">
        <v>45300.3408912037</v>
      </c>
      <c r="C686" s="1" t="n">
        <v>46092</v>
      </c>
      <c r="D686" t="inlineStr">
        <is>
          <t>ÖSTERGÖTLANDS LÄN</t>
        </is>
      </c>
      <c r="E686" t="inlineStr">
        <is>
          <t>LINKÖPING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63845-2021</t>
        </is>
      </c>
      <c r="B687" s="1" t="n">
        <v>44509</v>
      </c>
      <c r="C687" s="1" t="n">
        <v>46092</v>
      </c>
      <c r="D687" t="inlineStr">
        <is>
          <t>ÖSTERGÖTLANDS LÄN</t>
        </is>
      </c>
      <c r="E687" t="inlineStr">
        <is>
          <t>LINKÖPING</t>
        </is>
      </c>
      <c r="G687" t="n">
        <v>5</v>
      </c>
      <c r="H687" t="n">
        <v>0</v>
      </c>
      <c r="I687" t="n">
        <v>0</v>
      </c>
      <c r="J687" t="n">
        <v>0</v>
      </c>
      <c r="K687" t="n">
        <v>0</v>
      </c>
      <c r="L687" t="n">
        <v>0</v>
      </c>
      <c r="M687" t="n">
        <v>0</v>
      </c>
      <c r="N687" t="n">
        <v>0</v>
      </c>
      <c r="O687" t="n">
        <v>0</v>
      </c>
      <c r="P687" t="n">
        <v>0</v>
      </c>
      <c r="Q687" t="n">
        <v>0</v>
      </c>
      <c r="R687" s="2" t="inlineStr"/>
    </row>
    <row r="688" ht="15" customHeight="1">
      <c r="A688" t="inlineStr">
        <is>
          <t>A 54034-2022</t>
        </is>
      </c>
      <c r="B688" s="1" t="n">
        <v>44881</v>
      </c>
      <c r="C688" s="1" t="n">
        <v>46092</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36336-2023</t>
        </is>
      </c>
      <c r="B689" s="1" t="n">
        <v>45152.45078703704</v>
      </c>
      <c r="C689" s="1" t="n">
        <v>46092</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48829-2023</t>
        </is>
      </c>
      <c r="B690" s="1" t="n">
        <v>45209.38177083333</v>
      </c>
      <c r="C690" s="1" t="n">
        <v>46092</v>
      </c>
      <c r="D690" t="inlineStr">
        <is>
          <t>ÖSTERGÖTLANDS LÄN</t>
        </is>
      </c>
      <c r="E690" t="inlineStr">
        <is>
          <t>LINKÖPING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48186-2022</t>
        </is>
      </c>
      <c r="B691" s="1" t="n">
        <v>44858</v>
      </c>
      <c r="C691" s="1" t="n">
        <v>46092</v>
      </c>
      <c r="D691" t="inlineStr">
        <is>
          <t>ÖSTERGÖTLANDS LÄN</t>
        </is>
      </c>
      <c r="E691" t="inlineStr">
        <is>
          <t>LINKÖPING</t>
        </is>
      </c>
      <c r="G691" t="n">
        <v>1</v>
      </c>
      <c r="H691" t="n">
        <v>0</v>
      </c>
      <c r="I691" t="n">
        <v>0</v>
      </c>
      <c r="J691" t="n">
        <v>0</v>
      </c>
      <c r="K691" t="n">
        <v>0</v>
      </c>
      <c r="L691" t="n">
        <v>0</v>
      </c>
      <c r="M691" t="n">
        <v>0</v>
      </c>
      <c r="N691" t="n">
        <v>0</v>
      </c>
      <c r="O691" t="n">
        <v>0</v>
      </c>
      <c r="P691" t="n">
        <v>0</v>
      </c>
      <c r="Q691" t="n">
        <v>0</v>
      </c>
      <c r="R691" s="2" t="inlineStr"/>
    </row>
    <row r="692" ht="15" customHeight="1">
      <c r="A692" t="inlineStr">
        <is>
          <t>A 63669-2023</t>
        </is>
      </c>
      <c r="B692" s="1" t="n">
        <v>45275</v>
      </c>
      <c r="C692" s="1" t="n">
        <v>46092</v>
      </c>
      <c r="D692" t="inlineStr">
        <is>
          <t>ÖSTERGÖTLANDS LÄN</t>
        </is>
      </c>
      <c r="E692" t="inlineStr">
        <is>
          <t>LINKÖPING</t>
        </is>
      </c>
      <c r="F692" t="inlineStr">
        <is>
          <t>Övriga Aktiebolag</t>
        </is>
      </c>
      <c r="G692" t="n">
        <v>3</v>
      </c>
      <c r="H692" t="n">
        <v>0</v>
      </c>
      <c r="I692" t="n">
        <v>0</v>
      </c>
      <c r="J692" t="n">
        <v>0</v>
      </c>
      <c r="K692" t="n">
        <v>0</v>
      </c>
      <c r="L692" t="n">
        <v>0</v>
      </c>
      <c r="M692" t="n">
        <v>0</v>
      </c>
      <c r="N692" t="n">
        <v>0</v>
      </c>
      <c r="O692" t="n">
        <v>0</v>
      </c>
      <c r="P692" t="n">
        <v>0</v>
      </c>
      <c r="Q692" t="n">
        <v>0</v>
      </c>
      <c r="R692" s="2" t="inlineStr"/>
    </row>
    <row r="693" ht="15" customHeight="1">
      <c r="A693" t="inlineStr">
        <is>
          <t>A 24586-2024</t>
        </is>
      </c>
      <c r="B693" s="1" t="n">
        <v>45460.46664351852</v>
      </c>
      <c r="C693" s="1" t="n">
        <v>46092</v>
      </c>
      <c r="D693" t="inlineStr">
        <is>
          <t>ÖSTERGÖTLANDS LÄN</t>
        </is>
      </c>
      <c r="E693" t="inlineStr">
        <is>
          <t>LINKÖPING</t>
        </is>
      </c>
      <c r="G693" t="n">
        <v>4</v>
      </c>
      <c r="H693" t="n">
        <v>0</v>
      </c>
      <c r="I693" t="n">
        <v>0</v>
      </c>
      <c r="J693" t="n">
        <v>0</v>
      </c>
      <c r="K693" t="n">
        <v>0</v>
      </c>
      <c r="L693" t="n">
        <v>0</v>
      </c>
      <c r="M693" t="n">
        <v>0</v>
      </c>
      <c r="N693" t="n">
        <v>0</v>
      </c>
      <c r="O693" t="n">
        <v>0</v>
      </c>
      <c r="P693" t="n">
        <v>0</v>
      </c>
      <c r="Q693" t="n">
        <v>0</v>
      </c>
      <c r="R693" s="2" t="inlineStr"/>
    </row>
    <row r="694" ht="15" customHeight="1">
      <c r="A694" t="inlineStr">
        <is>
          <t>A 59576-2024</t>
        </is>
      </c>
      <c r="B694" s="1" t="n">
        <v>45638.66378472222</v>
      </c>
      <c r="C694" s="1" t="n">
        <v>46092</v>
      </c>
      <c r="D694" t="inlineStr">
        <is>
          <t>ÖSTERGÖTLANDS LÄN</t>
        </is>
      </c>
      <c r="E694" t="inlineStr">
        <is>
          <t>LINKÖPING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59642-2024</t>
        </is>
      </c>
      <c r="B695" s="1" t="n">
        <v>45639.31511574074</v>
      </c>
      <c r="C695" s="1" t="n">
        <v>46092</v>
      </c>
      <c r="D695" t="inlineStr">
        <is>
          <t>ÖSTERGÖTLANDS LÄN</t>
        </is>
      </c>
      <c r="E695" t="inlineStr">
        <is>
          <t>LINKÖPING</t>
        </is>
      </c>
      <c r="G695" t="n">
        <v>0.9</v>
      </c>
      <c r="H695" t="n">
        <v>0</v>
      </c>
      <c r="I695" t="n">
        <v>0</v>
      </c>
      <c r="J695" t="n">
        <v>0</v>
      </c>
      <c r="K695" t="n">
        <v>0</v>
      </c>
      <c r="L695" t="n">
        <v>0</v>
      </c>
      <c r="M695" t="n">
        <v>0</v>
      </c>
      <c r="N695" t="n">
        <v>0</v>
      </c>
      <c r="O695" t="n">
        <v>0</v>
      </c>
      <c r="P695" t="n">
        <v>0</v>
      </c>
      <c r="Q695" t="n">
        <v>0</v>
      </c>
      <c r="R695" s="2" t="inlineStr"/>
    </row>
    <row r="696" ht="15" customHeight="1">
      <c r="A696" t="inlineStr">
        <is>
          <t>A 59674-2024</t>
        </is>
      </c>
      <c r="B696" s="1" t="n">
        <v>45639</v>
      </c>
      <c r="C696" s="1" t="n">
        <v>46092</v>
      </c>
      <c r="D696" t="inlineStr">
        <is>
          <t>ÖSTERGÖTLANDS LÄN</t>
        </is>
      </c>
      <c r="E696" t="inlineStr">
        <is>
          <t>LINKÖPING</t>
        </is>
      </c>
      <c r="G696" t="n">
        <v>6.3</v>
      </c>
      <c r="H696" t="n">
        <v>0</v>
      </c>
      <c r="I696" t="n">
        <v>0</v>
      </c>
      <c r="J696" t="n">
        <v>0</v>
      </c>
      <c r="K696" t="n">
        <v>0</v>
      </c>
      <c r="L696" t="n">
        <v>0</v>
      </c>
      <c r="M696" t="n">
        <v>0</v>
      </c>
      <c r="N696" t="n">
        <v>0</v>
      </c>
      <c r="O696" t="n">
        <v>0</v>
      </c>
      <c r="P696" t="n">
        <v>0</v>
      </c>
      <c r="Q696" t="n">
        <v>0</v>
      </c>
      <c r="R696" s="2" t="inlineStr"/>
    </row>
    <row r="697" ht="15" customHeight="1">
      <c r="A697" t="inlineStr">
        <is>
          <t>A 18916-2024</t>
        </is>
      </c>
      <c r="B697" s="1" t="n">
        <v>45427.39541666667</v>
      </c>
      <c r="C697" s="1" t="n">
        <v>46092</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11084-2022</t>
        </is>
      </c>
      <c r="B698" s="1" t="n">
        <v>44628</v>
      </c>
      <c r="C698" s="1" t="n">
        <v>46092</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10203-2023</t>
        </is>
      </c>
      <c r="B699" s="1" t="n">
        <v>44986.55711805556</v>
      </c>
      <c r="C699" s="1" t="n">
        <v>46092</v>
      </c>
      <c r="D699" t="inlineStr">
        <is>
          <t>ÖSTERGÖTLANDS LÄN</t>
        </is>
      </c>
      <c r="E699" t="inlineStr">
        <is>
          <t>LINKÖPING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2618-2023</t>
        </is>
      </c>
      <c r="B700" s="1" t="n">
        <v>44944.35847222222</v>
      </c>
      <c r="C700" s="1" t="n">
        <v>46092</v>
      </c>
      <c r="D700" t="inlineStr">
        <is>
          <t>ÖSTERGÖTLANDS LÄN</t>
        </is>
      </c>
      <c r="E700" t="inlineStr">
        <is>
          <t>LINKÖPING</t>
        </is>
      </c>
      <c r="G700" t="n">
        <v>4.3</v>
      </c>
      <c r="H700" t="n">
        <v>0</v>
      </c>
      <c r="I700" t="n">
        <v>0</v>
      </c>
      <c r="J700" t="n">
        <v>0</v>
      </c>
      <c r="K700" t="n">
        <v>0</v>
      </c>
      <c r="L700" t="n">
        <v>0</v>
      </c>
      <c r="M700" t="n">
        <v>0</v>
      </c>
      <c r="N700" t="n">
        <v>0</v>
      </c>
      <c r="O700" t="n">
        <v>0</v>
      </c>
      <c r="P700" t="n">
        <v>0</v>
      </c>
      <c r="Q700" t="n">
        <v>0</v>
      </c>
      <c r="R700" s="2" t="inlineStr"/>
    </row>
    <row r="701" ht="15" customHeight="1">
      <c r="A701" t="inlineStr">
        <is>
          <t>A 62020-2024</t>
        </is>
      </c>
      <c r="B701" s="1" t="n">
        <v>45655.83563657408</v>
      </c>
      <c r="C701" s="1" t="n">
        <v>46092</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62021-2024</t>
        </is>
      </c>
      <c r="B702" s="1" t="n">
        <v>45655.84232638889</v>
      </c>
      <c r="C702" s="1" t="n">
        <v>46092</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1362-2023</t>
        </is>
      </c>
      <c r="B703" s="1" t="n">
        <v>44931</v>
      </c>
      <c r="C703" s="1" t="n">
        <v>46092</v>
      </c>
      <c r="D703" t="inlineStr">
        <is>
          <t>ÖSTERGÖTLANDS LÄN</t>
        </is>
      </c>
      <c r="E703" t="inlineStr">
        <is>
          <t>LINKÖPING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49928-2024</t>
        </is>
      </c>
      <c r="B704" s="1" t="n">
        <v>45597.57811342592</v>
      </c>
      <c r="C704" s="1" t="n">
        <v>46092</v>
      </c>
      <c r="D704" t="inlineStr">
        <is>
          <t>ÖSTERGÖTLANDS LÄN</t>
        </is>
      </c>
      <c r="E704" t="inlineStr">
        <is>
          <t>LINKÖPING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3627-2023</t>
        </is>
      </c>
      <c r="B705" s="1" t="n">
        <v>44950.64782407408</v>
      </c>
      <c r="C705" s="1" t="n">
        <v>46092</v>
      </c>
      <c r="D705" t="inlineStr">
        <is>
          <t>ÖSTERGÖTLANDS LÄN</t>
        </is>
      </c>
      <c r="E705" t="inlineStr">
        <is>
          <t>LINKÖPING</t>
        </is>
      </c>
      <c r="G705" t="n">
        <v>3.1</v>
      </c>
      <c r="H705" t="n">
        <v>0</v>
      </c>
      <c r="I705" t="n">
        <v>0</v>
      </c>
      <c r="J705" t="n">
        <v>0</v>
      </c>
      <c r="K705" t="n">
        <v>0</v>
      </c>
      <c r="L705" t="n">
        <v>0</v>
      </c>
      <c r="M705" t="n">
        <v>0</v>
      </c>
      <c r="N705" t="n">
        <v>0</v>
      </c>
      <c r="O705" t="n">
        <v>0</v>
      </c>
      <c r="P705" t="n">
        <v>0</v>
      </c>
      <c r="Q705" t="n">
        <v>0</v>
      </c>
      <c r="R705" s="2" t="inlineStr"/>
    </row>
    <row r="706" ht="15" customHeight="1">
      <c r="A706" t="inlineStr">
        <is>
          <t>A 51405-2023</t>
        </is>
      </c>
      <c r="B706" s="1" t="n">
        <v>45219</v>
      </c>
      <c r="C706" s="1" t="n">
        <v>46092</v>
      </c>
      <c r="D706" t="inlineStr">
        <is>
          <t>ÖSTERGÖTLANDS LÄN</t>
        </is>
      </c>
      <c r="E706" t="inlineStr">
        <is>
          <t>LINKÖPING</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11601-2023</t>
        </is>
      </c>
      <c r="B707" s="1" t="n">
        <v>44994</v>
      </c>
      <c r="C707" s="1" t="n">
        <v>46092</v>
      </c>
      <c r="D707" t="inlineStr">
        <is>
          <t>ÖSTERGÖTLANDS LÄN</t>
        </is>
      </c>
      <c r="E707" t="inlineStr">
        <is>
          <t>LINKÖPING</t>
        </is>
      </c>
      <c r="G707" t="n">
        <v>1.7</v>
      </c>
      <c r="H707" t="n">
        <v>0</v>
      </c>
      <c r="I707" t="n">
        <v>0</v>
      </c>
      <c r="J707" t="n">
        <v>0</v>
      </c>
      <c r="K707" t="n">
        <v>0</v>
      </c>
      <c r="L707" t="n">
        <v>0</v>
      </c>
      <c r="M707" t="n">
        <v>0</v>
      </c>
      <c r="N707" t="n">
        <v>0</v>
      </c>
      <c r="O707" t="n">
        <v>0</v>
      </c>
      <c r="P707" t="n">
        <v>0</v>
      </c>
      <c r="Q707" t="n">
        <v>0</v>
      </c>
      <c r="R707" s="2" t="inlineStr"/>
    </row>
    <row r="708" ht="15" customHeight="1">
      <c r="A708" t="inlineStr">
        <is>
          <t>A 40338-2024</t>
        </is>
      </c>
      <c r="B708" s="1" t="n">
        <v>45555.32940972222</v>
      </c>
      <c r="C708" s="1" t="n">
        <v>46092</v>
      </c>
      <c r="D708" t="inlineStr">
        <is>
          <t>ÖSTERGÖTLANDS LÄN</t>
        </is>
      </c>
      <c r="E708" t="inlineStr">
        <is>
          <t>LINKÖPING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167-2024</t>
        </is>
      </c>
      <c r="B709" s="1" t="n">
        <v>45294</v>
      </c>
      <c r="C709" s="1" t="n">
        <v>46092</v>
      </c>
      <c r="D709" t="inlineStr">
        <is>
          <t>ÖSTERGÖTLANDS LÄN</t>
        </is>
      </c>
      <c r="E709" t="inlineStr">
        <is>
          <t>LINKÖPING</t>
        </is>
      </c>
      <c r="F709" t="inlineStr">
        <is>
          <t>Allmännings- och besparingsskogar</t>
        </is>
      </c>
      <c r="G709" t="n">
        <v>11.6</v>
      </c>
      <c r="H709" t="n">
        <v>0</v>
      </c>
      <c r="I709" t="n">
        <v>0</v>
      </c>
      <c r="J709" t="n">
        <v>0</v>
      </c>
      <c r="K709" t="n">
        <v>0</v>
      </c>
      <c r="L709" t="n">
        <v>0</v>
      </c>
      <c r="M709" t="n">
        <v>0</v>
      </c>
      <c r="N709" t="n">
        <v>0</v>
      </c>
      <c r="O709" t="n">
        <v>0</v>
      </c>
      <c r="P709" t="n">
        <v>0</v>
      </c>
      <c r="Q709" t="n">
        <v>0</v>
      </c>
      <c r="R709" s="2" t="inlineStr"/>
    </row>
    <row r="710" ht="15" customHeight="1">
      <c r="A710" t="inlineStr">
        <is>
          <t>A 27186-2021</t>
        </is>
      </c>
      <c r="B710" s="1" t="n">
        <v>44350.67715277777</v>
      </c>
      <c r="C710" s="1" t="n">
        <v>46092</v>
      </c>
      <c r="D710" t="inlineStr">
        <is>
          <t>ÖSTERGÖTLANDS LÄN</t>
        </is>
      </c>
      <c r="E710" t="inlineStr">
        <is>
          <t>LINKÖPING</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7343-2025</t>
        </is>
      </c>
      <c r="B711" s="1" t="n">
        <v>45703.67853009259</v>
      </c>
      <c r="C711" s="1" t="n">
        <v>46092</v>
      </c>
      <c r="D711" t="inlineStr">
        <is>
          <t>ÖSTERGÖTLANDS LÄN</t>
        </is>
      </c>
      <c r="E711" t="inlineStr">
        <is>
          <t>LINKÖPING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48271-2023</t>
        </is>
      </c>
      <c r="B712" s="1" t="n">
        <v>45205</v>
      </c>
      <c r="C712" s="1" t="n">
        <v>46092</v>
      </c>
      <c r="D712" t="inlineStr">
        <is>
          <t>ÖSTERGÖTLANDS LÄN</t>
        </is>
      </c>
      <c r="E712" t="inlineStr">
        <is>
          <t>LINKÖPING</t>
        </is>
      </c>
      <c r="G712" t="n">
        <v>3</v>
      </c>
      <c r="H712" t="n">
        <v>0</v>
      </c>
      <c r="I712" t="n">
        <v>0</v>
      </c>
      <c r="J712" t="n">
        <v>0</v>
      </c>
      <c r="K712" t="n">
        <v>0</v>
      </c>
      <c r="L712" t="n">
        <v>0</v>
      </c>
      <c r="M712" t="n">
        <v>0</v>
      </c>
      <c r="N712" t="n">
        <v>0</v>
      </c>
      <c r="O712" t="n">
        <v>0</v>
      </c>
      <c r="P712" t="n">
        <v>0</v>
      </c>
      <c r="Q712" t="n">
        <v>0</v>
      </c>
      <c r="R712" s="2" t="inlineStr"/>
    </row>
    <row r="713" ht="15" customHeight="1">
      <c r="A713" t="inlineStr">
        <is>
          <t>A 12720-2022</t>
        </is>
      </c>
      <c r="B713" s="1" t="n">
        <v>44641</v>
      </c>
      <c r="C713" s="1" t="n">
        <v>46092</v>
      </c>
      <c r="D713" t="inlineStr">
        <is>
          <t>ÖSTERGÖTLANDS LÄN</t>
        </is>
      </c>
      <c r="E713" t="inlineStr">
        <is>
          <t>LINKÖPING</t>
        </is>
      </c>
      <c r="F713" t="inlineStr">
        <is>
          <t>Övriga Aktiebolag</t>
        </is>
      </c>
      <c r="G713" t="n">
        <v>2</v>
      </c>
      <c r="H713" t="n">
        <v>0</v>
      </c>
      <c r="I713" t="n">
        <v>0</v>
      </c>
      <c r="J713" t="n">
        <v>0</v>
      </c>
      <c r="K713" t="n">
        <v>0</v>
      </c>
      <c r="L713" t="n">
        <v>0</v>
      </c>
      <c r="M713" t="n">
        <v>0</v>
      </c>
      <c r="N713" t="n">
        <v>0</v>
      </c>
      <c r="O713" t="n">
        <v>0</v>
      </c>
      <c r="P713" t="n">
        <v>0</v>
      </c>
      <c r="Q713" t="n">
        <v>0</v>
      </c>
      <c r="R713" s="2" t="inlineStr"/>
    </row>
    <row r="714" ht="15" customHeight="1">
      <c r="A714" t="inlineStr">
        <is>
          <t>A 62018-2024</t>
        </is>
      </c>
      <c r="B714" s="1" t="n">
        <v>45655.81387731482</v>
      </c>
      <c r="C714" s="1" t="n">
        <v>46092</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30551-2023</t>
        </is>
      </c>
      <c r="B715" s="1" t="n">
        <v>45111</v>
      </c>
      <c r="C715" s="1" t="n">
        <v>46092</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30860-2022</t>
        </is>
      </c>
      <c r="B716" s="1" t="n">
        <v>44767</v>
      </c>
      <c r="C716" s="1" t="n">
        <v>46092</v>
      </c>
      <c r="D716" t="inlineStr">
        <is>
          <t>ÖSTERGÖTLANDS LÄN</t>
        </is>
      </c>
      <c r="E716" t="inlineStr">
        <is>
          <t>LINKÖPING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60004-2022</t>
        </is>
      </c>
      <c r="B717" s="1" t="n">
        <v>44909.47206018519</v>
      </c>
      <c r="C717" s="1" t="n">
        <v>46092</v>
      </c>
      <c r="D717" t="inlineStr">
        <is>
          <t>ÖSTERGÖTLANDS LÄN</t>
        </is>
      </c>
      <c r="E717" t="inlineStr">
        <is>
          <t>LINKÖPING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60010-2022</t>
        </is>
      </c>
      <c r="B718" s="1" t="n">
        <v>44909.4740625</v>
      </c>
      <c r="C718" s="1" t="n">
        <v>46092</v>
      </c>
      <c r="D718" t="inlineStr">
        <is>
          <t>ÖSTERGÖTLANDS LÄN</t>
        </is>
      </c>
      <c r="E718" t="inlineStr">
        <is>
          <t>LINKÖPING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53827-2023</t>
        </is>
      </c>
      <c r="B719" s="1" t="n">
        <v>45230</v>
      </c>
      <c r="C719" s="1" t="n">
        <v>46092</v>
      </c>
      <c r="D719" t="inlineStr">
        <is>
          <t>ÖSTERGÖTLANDS LÄN</t>
        </is>
      </c>
      <c r="E719" t="inlineStr">
        <is>
          <t>LINKÖPING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4256-2022</t>
        </is>
      </c>
      <c r="B720" s="1" t="n">
        <v>44588</v>
      </c>
      <c r="C720" s="1" t="n">
        <v>46092</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61649-2023</t>
        </is>
      </c>
      <c r="B721" s="1" t="n">
        <v>45265</v>
      </c>
      <c r="C721" s="1" t="n">
        <v>46092</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223-2024</t>
        </is>
      </c>
      <c r="B722" s="1" t="n">
        <v>45294.72739583333</v>
      </c>
      <c r="C722" s="1" t="n">
        <v>46092</v>
      </c>
      <c r="D722" t="inlineStr">
        <is>
          <t>ÖSTERGÖTLANDS LÄN</t>
        </is>
      </c>
      <c r="E722" t="inlineStr">
        <is>
          <t>LINKÖPING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19464-2024</t>
        </is>
      </c>
      <c r="B723" s="1" t="n">
        <v>45429</v>
      </c>
      <c r="C723" s="1" t="n">
        <v>46092</v>
      </c>
      <c r="D723" t="inlineStr">
        <is>
          <t>ÖSTERGÖTLANDS LÄN</t>
        </is>
      </c>
      <c r="E723" t="inlineStr">
        <is>
          <t>LINKÖPING</t>
        </is>
      </c>
      <c r="G723" t="n">
        <v>2.7</v>
      </c>
      <c r="H723" t="n">
        <v>0</v>
      </c>
      <c r="I723" t="n">
        <v>0</v>
      </c>
      <c r="J723" t="n">
        <v>0</v>
      </c>
      <c r="K723" t="n">
        <v>0</v>
      </c>
      <c r="L723" t="n">
        <v>0</v>
      </c>
      <c r="M723" t="n">
        <v>0</v>
      </c>
      <c r="N723" t="n">
        <v>0</v>
      </c>
      <c r="O723" t="n">
        <v>0</v>
      </c>
      <c r="P723" t="n">
        <v>0</v>
      </c>
      <c r="Q723" t="n">
        <v>0</v>
      </c>
      <c r="R723" s="2" t="inlineStr"/>
    </row>
    <row r="724" ht="15" customHeight="1">
      <c r="A724" t="inlineStr">
        <is>
          <t>A 630-2024</t>
        </is>
      </c>
      <c r="B724" s="1" t="n">
        <v>45299.67736111111</v>
      </c>
      <c r="C724" s="1" t="n">
        <v>46092</v>
      </c>
      <c r="D724" t="inlineStr">
        <is>
          <t>ÖSTERGÖTLANDS LÄN</t>
        </is>
      </c>
      <c r="E724" t="inlineStr">
        <is>
          <t>LINKÖPING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30433-2024</t>
        </is>
      </c>
      <c r="B725" s="1" t="n">
        <v>45491.69741898148</v>
      </c>
      <c r="C725" s="1" t="n">
        <v>46092</v>
      </c>
      <c r="D725" t="inlineStr">
        <is>
          <t>ÖSTERGÖTLANDS LÄN</t>
        </is>
      </c>
      <c r="E725" t="inlineStr">
        <is>
          <t>LINKÖPING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63528-2023</t>
        </is>
      </c>
      <c r="B726" s="1" t="n">
        <v>45274.94810185185</v>
      </c>
      <c r="C726" s="1" t="n">
        <v>46092</v>
      </c>
      <c r="D726" t="inlineStr">
        <is>
          <t>ÖSTERGÖTLANDS LÄN</t>
        </is>
      </c>
      <c r="E726" t="inlineStr">
        <is>
          <t>LINKÖPING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61936-2023</t>
        </is>
      </c>
      <c r="B727" s="1" t="n">
        <v>45266.54534722222</v>
      </c>
      <c r="C727" s="1" t="n">
        <v>46092</v>
      </c>
      <c r="D727" t="inlineStr">
        <is>
          <t>ÖSTERGÖTLANDS LÄN</t>
        </is>
      </c>
      <c r="E727" t="inlineStr">
        <is>
          <t>LINKÖPING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62492-2023</t>
        </is>
      </c>
      <c r="B728" s="1" t="n">
        <v>45268.58987268519</v>
      </c>
      <c r="C728" s="1" t="n">
        <v>46092</v>
      </c>
      <c r="D728" t="inlineStr">
        <is>
          <t>ÖSTERGÖTLANDS LÄN</t>
        </is>
      </c>
      <c r="E728" t="inlineStr">
        <is>
          <t>LINKÖPING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674-2024</t>
        </is>
      </c>
      <c r="B729" s="1" t="n">
        <v>45300.34408564815</v>
      </c>
      <c r="C729" s="1" t="n">
        <v>46092</v>
      </c>
      <c r="D729" t="inlineStr">
        <is>
          <t>ÖSTERGÖTLANDS LÄN</t>
        </is>
      </c>
      <c r="E729" t="inlineStr">
        <is>
          <t>LINKÖPING</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6782-2024</t>
        </is>
      </c>
      <c r="B730" s="1" t="n">
        <v>45342</v>
      </c>
      <c r="C730" s="1" t="n">
        <v>46092</v>
      </c>
      <c r="D730" t="inlineStr">
        <is>
          <t>ÖSTERGÖTLANDS LÄN</t>
        </is>
      </c>
      <c r="E730" t="inlineStr">
        <is>
          <t>LINKÖPING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10094-2024</t>
        </is>
      </c>
      <c r="B731" s="1" t="n">
        <v>45364</v>
      </c>
      <c r="C731" s="1" t="n">
        <v>46092</v>
      </c>
      <c r="D731" t="inlineStr">
        <is>
          <t>ÖSTERGÖTLANDS LÄN</t>
        </is>
      </c>
      <c r="E731" t="inlineStr">
        <is>
          <t>LINKÖPING</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63684-2023</t>
        </is>
      </c>
      <c r="B732" s="1" t="n">
        <v>45275</v>
      </c>
      <c r="C732" s="1" t="n">
        <v>46092</v>
      </c>
      <c r="D732" t="inlineStr">
        <is>
          <t>ÖSTERGÖTLANDS LÄN</t>
        </is>
      </c>
      <c r="E732" t="inlineStr">
        <is>
          <t>LINKÖPING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63688-2023</t>
        </is>
      </c>
      <c r="B733" s="1" t="n">
        <v>45275</v>
      </c>
      <c r="C733" s="1" t="n">
        <v>46092</v>
      </c>
      <c r="D733" t="inlineStr">
        <is>
          <t>ÖSTERGÖTLANDS LÄN</t>
        </is>
      </c>
      <c r="E733" t="inlineStr">
        <is>
          <t>LINKÖPING</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63691-2023</t>
        </is>
      </c>
      <c r="B734" s="1" t="n">
        <v>45275</v>
      </c>
      <c r="C734" s="1" t="n">
        <v>46092</v>
      </c>
      <c r="D734" t="inlineStr">
        <is>
          <t>ÖSTERGÖTLANDS LÄN</t>
        </is>
      </c>
      <c r="E734" t="inlineStr">
        <is>
          <t>LINKÖPING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36657-2023</t>
        </is>
      </c>
      <c r="B735" s="1" t="n">
        <v>45153.5702662037</v>
      </c>
      <c r="C735" s="1" t="n">
        <v>46092</v>
      </c>
      <c r="D735" t="inlineStr">
        <is>
          <t>ÖSTERGÖTLANDS LÄN</t>
        </is>
      </c>
      <c r="E735" t="inlineStr">
        <is>
          <t>LINKÖPING</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14667-2024</t>
        </is>
      </c>
      <c r="B736" s="1" t="n">
        <v>45397.42005787037</v>
      </c>
      <c r="C736" s="1" t="n">
        <v>46092</v>
      </c>
      <c r="D736" t="inlineStr">
        <is>
          <t>ÖSTERGÖTLANDS LÄN</t>
        </is>
      </c>
      <c r="E736" t="inlineStr">
        <is>
          <t>LINKÖPING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15714-2024</t>
        </is>
      </c>
      <c r="B737" s="1" t="n">
        <v>45404.48288194444</v>
      </c>
      <c r="C737" s="1" t="n">
        <v>46092</v>
      </c>
      <c r="D737" t="inlineStr">
        <is>
          <t>ÖSTERGÖTLANDS LÄN</t>
        </is>
      </c>
      <c r="E737" t="inlineStr">
        <is>
          <t>LINKÖPING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37715-2022</t>
        </is>
      </c>
      <c r="B738" s="1" t="n">
        <v>44810</v>
      </c>
      <c r="C738" s="1" t="n">
        <v>46092</v>
      </c>
      <c r="D738" t="inlineStr">
        <is>
          <t>ÖSTERGÖTLANDS LÄN</t>
        </is>
      </c>
      <c r="E738" t="inlineStr">
        <is>
          <t>LINKÖPING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30429-2024</t>
        </is>
      </c>
      <c r="B739" s="1" t="n">
        <v>45491.68972222223</v>
      </c>
      <c r="C739" s="1" t="n">
        <v>46092</v>
      </c>
      <c r="D739" t="inlineStr">
        <is>
          <t>ÖSTERGÖTLANDS LÄN</t>
        </is>
      </c>
      <c r="E739" t="inlineStr">
        <is>
          <t>LINKÖPING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30435-2024</t>
        </is>
      </c>
      <c r="B740" s="1" t="n">
        <v>45491.69962962963</v>
      </c>
      <c r="C740" s="1" t="n">
        <v>46092</v>
      </c>
      <c r="D740" t="inlineStr">
        <is>
          <t>ÖSTERGÖTLANDS LÄN</t>
        </is>
      </c>
      <c r="E740" t="inlineStr">
        <is>
          <t>LINKÖPING</t>
        </is>
      </c>
      <c r="G740" t="n">
        <v>1.9</v>
      </c>
      <c r="H740" t="n">
        <v>0</v>
      </c>
      <c r="I740" t="n">
        <v>0</v>
      </c>
      <c r="J740" t="n">
        <v>0</v>
      </c>
      <c r="K740" t="n">
        <v>0</v>
      </c>
      <c r="L740" t="n">
        <v>0</v>
      </c>
      <c r="M740" t="n">
        <v>0</v>
      </c>
      <c r="N740" t="n">
        <v>0</v>
      </c>
      <c r="O740" t="n">
        <v>0</v>
      </c>
      <c r="P740" t="n">
        <v>0</v>
      </c>
      <c r="Q740" t="n">
        <v>0</v>
      </c>
      <c r="R740" s="2" t="inlineStr"/>
    </row>
    <row r="741" ht="15" customHeight="1">
      <c r="A741" t="inlineStr">
        <is>
          <t>A 38231-2022</t>
        </is>
      </c>
      <c r="B741" s="1" t="n">
        <v>44812</v>
      </c>
      <c r="C741" s="1" t="n">
        <v>46092</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34557-2022</t>
        </is>
      </c>
      <c r="B742" s="1" t="n">
        <v>44794.57074074074</v>
      </c>
      <c r="C742" s="1" t="n">
        <v>46092</v>
      </c>
      <c r="D742" t="inlineStr">
        <is>
          <t>ÖSTERGÖTLANDS LÄN</t>
        </is>
      </c>
      <c r="E742" t="inlineStr">
        <is>
          <t>LINKÖPING</t>
        </is>
      </c>
      <c r="G742" t="n">
        <v>1.8</v>
      </c>
      <c r="H742" t="n">
        <v>0</v>
      </c>
      <c r="I742" t="n">
        <v>0</v>
      </c>
      <c r="J742" t="n">
        <v>0</v>
      </c>
      <c r="K742" t="n">
        <v>0</v>
      </c>
      <c r="L742" t="n">
        <v>0</v>
      </c>
      <c r="M742" t="n">
        <v>0</v>
      </c>
      <c r="N742" t="n">
        <v>0</v>
      </c>
      <c r="O742" t="n">
        <v>0</v>
      </c>
      <c r="P742" t="n">
        <v>0</v>
      </c>
      <c r="Q742" t="n">
        <v>0</v>
      </c>
      <c r="R742" s="2" t="inlineStr"/>
    </row>
    <row r="743" ht="15" customHeight="1">
      <c r="A743" t="inlineStr">
        <is>
          <t>A 13011-2022</t>
        </is>
      </c>
      <c r="B743" s="1" t="n">
        <v>44643</v>
      </c>
      <c r="C743" s="1" t="n">
        <v>46092</v>
      </c>
      <c r="D743" t="inlineStr">
        <is>
          <t>ÖSTERGÖTLANDS LÄN</t>
        </is>
      </c>
      <c r="E743" t="inlineStr">
        <is>
          <t>LINKÖPING</t>
        </is>
      </c>
      <c r="G743" t="n">
        <v>3.7</v>
      </c>
      <c r="H743" t="n">
        <v>0</v>
      </c>
      <c r="I743" t="n">
        <v>0</v>
      </c>
      <c r="J743" t="n">
        <v>0</v>
      </c>
      <c r="K743" t="n">
        <v>0</v>
      </c>
      <c r="L743" t="n">
        <v>0</v>
      </c>
      <c r="M743" t="n">
        <v>0</v>
      </c>
      <c r="N743" t="n">
        <v>0</v>
      </c>
      <c r="O743" t="n">
        <v>0</v>
      </c>
      <c r="P743" t="n">
        <v>0</v>
      </c>
      <c r="Q743" t="n">
        <v>0</v>
      </c>
      <c r="R743" s="2" t="inlineStr"/>
    </row>
    <row r="744" ht="15" customHeight="1">
      <c r="A744" t="inlineStr">
        <is>
          <t>A 617-2024</t>
        </is>
      </c>
      <c r="B744" s="1" t="n">
        <v>45299.66028935185</v>
      </c>
      <c r="C744" s="1" t="n">
        <v>46092</v>
      </c>
      <c r="D744" t="inlineStr">
        <is>
          <t>ÖSTERGÖTLANDS LÄN</t>
        </is>
      </c>
      <c r="E744" t="inlineStr">
        <is>
          <t>LINKÖPING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19362-2023</t>
        </is>
      </c>
      <c r="B745" s="1" t="n">
        <v>45049</v>
      </c>
      <c r="C745" s="1" t="n">
        <v>46092</v>
      </c>
      <c r="D745" t="inlineStr">
        <is>
          <t>ÖSTERGÖTLANDS LÄN</t>
        </is>
      </c>
      <c r="E745" t="inlineStr">
        <is>
          <t>LINKÖPING</t>
        </is>
      </c>
      <c r="G745" t="n">
        <v>0.1</v>
      </c>
      <c r="H745" t="n">
        <v>0</v>
      </c>
      <c r="I745" t="n">
        <v>0</v>
      </c>
      <c r="J745" t="n">
        <v>0</v>
      </c>
      <c r="K745" t="n">
        <v>0</v>
      </c>
      <c r="L745" t="n">
        <v>0</v>
      </c>
      <c r="M745" t="n">
        <v>0</v>
      </c>
      <c r="N745" t="n">
        <v>0</v>
      </c>
      <c r="O745" t="n">
        <v>0</v>
      </c>
      <c r="P745" t="n">
        <v>0</v>
      </c>
      <c r="Q745" t="n">
        <v>0</v>
      </c>
      <c r="R745" s="2" t="inlineStr"/>
    </row>
    <row r="746" ht="15" customHeight="1">
      <c r="A746" t="inlineStr">
        <is>
          <t>A 19132-2023</t>
        </is>
      </c>
      <c r="B746" s="1" t="n">
        <v>45048.54754629629</v>
      </c>
      <c r="C746" s="1" t="n">
        <v>46092</v>
      </c>
      <c r="D746" t="inlineStr">
        <is>
          <t>ÖSTERGÖTLANDS LÄN</t>
        </is>
      </c>
      <c r="E746" t="inlineStr">
        <is>
          <t>LINKÖPING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31635-2023</t>
        </is>
      </c>
      <c r="B747" s="1" t="n">
        <v>45105</v>
      </c>
      <c r="C747" s="1" t="n">
        <v>46092</v>
      </c>
      <c r="D747" t="inlineStr">
        <is>
          <t>ÖSTERGÖTLANDS LÄN</t>
        </is>
      </c>
      <c r="E747" t="inlineStr">
        <is>
          <t>LINKÖPING</t>
        </is>
      </c>
      <c r="F747" t="inlineStr">
        <is>
          <t>Övriga statliga verk och myndigheter</t>
        </is>
      </c>
      <c r="G747" t="n">
        <v>4.6</v>
      </c>
      <c r="H747" t="n">
        <v>0</v>
      </c>
      <c r="I747" t="n">
        <v>0</v>
      </c>
      <c r="J747" t="n">
        <v>0</v>
      </c>
      <c r="K747" t="n">
        <v>0</v>
      </c>
      <c r="L747" t="n">
        <v>0</v>
      </c>
      <c r="M747" t="n">
        <v>0</v>
      </c>
      <c r="N747" t="n">
        <v>0</v>
      </c>
      <c r="O747" t="n">
        <v>0</v>
      </c>
      <c r="P747" t="n">
        <v>0</v>
      </c>
      <c r="Q747" t="n">
        <v>0</v>
      </c>
      <c r="R747" s="2" t="inlineStr"/>
    </row>
    <row r="748" ht="15" customHeight="1">
      <c r="A748" t="inlineStr">
        <is>
          <t>A 20296-2025</t>
        </is>
      </c>
      <c r="B748" s="1" t="n">
        <v>45774.74922453704</v>
      </c>
      <c r="C748" s="1" t="n">
        <v>46092</v>
      </c>
      <c r="D748" t="inlineStr">
        <is>
          <t>ÖSTERGÖTLANDS LÄN</t>
        </is>
      </c>
      <c r="E748" t="inlineStr">
        <is>
          <t>LINKÖPING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22770-2024</t>
        </is>
      </c>
      <c r="B749" s="1" t="n">
        <v>45448.4634375</v>
      </c>
      <c r="C749" s="1" t="n">
        <v>46092</v>
      </c>
      <c r="D749" t="inlineStr">
        <is>
          <t>ÖSTERGÖTLANDS LÄN</t>
        </is>
      </c>
      <c r="E749" t="inlineStr">
        <is>
          <t>LINKÖPING</t>
        </is>
      </c>
      <c r="F749" t="inlineStr">
        <is>
          <t>Sveaskog</t>
        </is>
      </c>
      <c r="G749" t="n">
        <v>3.4</v>
      </c>
      <c r="H749" t="n">
        <v>0</v>
      </c>
      <c r="I749" t="n">
        <v>0</v>
      </c>
      <c r="J749" t="n">
        <v>0</v>
      </c>
      <c r="K749" t="n">
        <v>0</v>
      </c>
      <c r="L749" t="n">
        <v>0</v>
      </c>
      <c r="M749" t="n">
        <v>0</v>
      </c>
      <c r="N749" t="n">
        <v>0</v>
      </c>
      <c r="O749" t="n">
        <v>0</v>
      </c>
      <c r="P749" t="n">
        <v>0</v>
      </c>
      <c r="Q749" t="n">
        <v>0</v>
      </c>
      <c r="R749" s="2" t="inlineStr"/>
    </row>
    <row r="750" ht="15" customHeight="1">
      <c r="A750" t="inlineStr">
        <is>
          <t>A 11595-2025</t>
        </is>
      </c>
      <c r="B750" s="1" t="n">
        <v>45727.41893518518</v>
      </c>
      <c r="C750" s="1" t="n">
        <v>46092</v>
      </c>
      <c r="D750" t="inlineStr">
        <is>
          <t>ÖSTERGÖTLANDS LÄN</t>
        </is>
      </c>
      <c r="E750" t="inlineStr">
        <is>
          <t>LINKÖPING</t>
        </is>
      </c>
      <c r="G750" t="n">
        <v>6.6</v>
      </c>
      <c r="H750" t="n">
        <v>0</v>
      </c>
      <c r="I750" t="n">
        <v>0</v>
      </c>
      <c r="J750" t="n">
        <v>0</v>
      </c>
      <c r="K750" t="n">
        <v>0</v>
      </c>
      <c r="L750" t="n">
        <v>0</v>
      </c>
      <c r="M750" t="n">
        <v>0</v>
      </c>
      <c r="N750" t="n">
        <v>0</v>
      </c>
      <c r="O750" t="n">
        <v>0</v>
      </c>
      <c r="P750" t="n">
        <v>0</v>
      </c>
      <c r="Q750" t="n">
        <v>0</v>
      </c>
      <c r="R750" s="2" t="inlineStr"/>
    </row>
    <row r="751" ht="15" customHeight="1">
      <c r="A751" t="inlineStr">
        <is>
          <t>A 48839-2022</t>
        </is>
      </c>
      <c r="B751" s="1" t="n">
        <v>44859</v>
      </c>
      <c r="C751" s="1" t="n">
        <v>46092</v>
      </c>
      <c r="D751" t="inlineStr">
        <is>
          <t>ÖSTERGÖTLANDS LÄN</t>
        </is>
      </c>
      <c r="E751" t="inlineStr">
        <is>
          <t>LINKÖPING</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8967-2025</t>
        </is>
      </c>
      <c r="B752" s="1" t="n">
        <v>45712</v>
      </c>
      <c r="C752" s="1" t="n">
        <v>46092</v>
      </c>
      <c r="D752" t="inlineStr">
        <is>
          <t>ÖSTERGÖTLANDS LÄN</t>
        </is>
      </c>
      <c r="E752" t="inlineStr">
        <is>
          <t>LINKÖPING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63678-2023</t>
        </is>
      </c>
      <c r="B753" s="1" t="n">
        <v>45275.64769675926</v>
      </c>
      <c r="C753" s="1" t="n">
        <v>46092</v>
      </c>
      <c r="D753" t="inlineStr">
        <is>
          <t>ÖSTERGÖTLANDS LÄN</t>
        </is>
      </c>
      <c r="E753" t="inlineStr">
        <is>
          <t>LINKÖPING</t>
        </is>
      </c>
      <c r="F753" t="inlineStr">
        <is>
          <t>Övriga Aktiebolag</t>
        </is>
      </c>
      <c r="G753" t="n">
        <v>0.4</v>
      </c>
      <c r="H753" t="n">
        <v>0</v>
      </c>
      <c r="I753" t="n">
        <v>0</v>
      </c>
      <c r="J753" t="n">
        <v>0</v>
      </c>
      <c r="K753" t="n">
        <v>0</v>
      </c>
      <c r="L753" t="n">
        <v>0</v>
      </c>
      <c r="M753" t="n">
        <v>0</v>
      </c>
      <c r="N753" t="n">
        <v>0</v>
      </c>
      <c r="O753" t="n">
        <v>0</v>
      </c>
      <c r="P753" t="n">
        <v>0</v>
      </c>
      <c r="Q753" t="n">
        <v>0</v>
      </c>
      <c r="R753" s="2" t="inlineStr"/>
    </row>
    <row r="754" ht="15" customHeight="1">
      <c r="A754" t="inlineStr">
        <is>
          <t>A 1844-2025</t>
        </is>
      </c>
      <c r="B754" s="1" t="n">
        <v>45671.57730324074</v>
      </c>
      <c r="C754" s="1" t="n">
        <v>46092</v>
      </c>
      <c r="D754" t="inlineStr">
        <is>
          <t>ÖSTERGÖTLANDS LÄN</t>
        </is>
      </c>
      <c r="E754" t="inlineStr">
        <is>
          <t>LINKÖPING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21165-2025</t>
        </is>
      </c>
      <c r="B755" s="1" t="n">
        <v>45779.39417824074</v>
      </c>
      <c r="C755" s="1" t="n">
        <v>46092</v>
      </c>
      <c r="D755" t="inlineStr">
        <is>
          <t>ÖSTERGÖTLANDS LÄN</t>
        </is>
      </c>
      <c r="E755" t="inlineStr">
        <is>
          <t>LINKÖPING</t>
        </is>
      </c>
      <c r="G755" t="n">
        <v>1.2</v>
      </c>
      <c r="H755" t="n">
        <v>0</v>
      </c>
      <c r="I755" t="n">
        <v>0</v>
      </c>
      <c r="J755" t="n">
        <v>0</v>
      </c>
      <c r="K755" t="n">
        <v>0</v>
      </c>
      <c r="L755" t="n">
        <v>0</v>
      </c>
      <c r="M755" t="n">
        <v>0</v>
      </c>
      <c r="N755" t="n">
        <v>0</v>
      </c>
      <c r="O755" t="n">
        <v>0</v>
      </c>
      <c r="P755" t="n">
        <v>0</v>
      </c>
      <c r="Q755" t="n">
        <v>0</v>
      </c>
      <c r="R755" s="2" t="inlineStr"/>
    </row>
    <row r="756">
      <c r="A756" t="inlineStr">
        <is>
          <t>A 21155-2025</t>
        </is>
      </c>
      <c r="B756" s="1" t="n">
        <v>45779.37586805555</v>
      </c>
      <c r="C756" s="1" t="n">
        <v>46092</v>
      </c>
      <c r="D756" t="inlineStr">
        <is>
          <t>ÖSTERGÖTLANDS LÄN</t>
        </is>
      </c>
      <c r="E756" t="inlineStr">
        <is>
          <t>LINKÖPING</t>
        </is>
      </c>
      <c r="G756" t="n">
        <v>0.5</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2026-03-11T11:21:26Z</dcterms:created>
  <dcterms:modified xmlns:dcterms="http://purl.org/dc/terms/" xmlns:xsi="http://www.w3.org/2001/XMLSchema-instance" xsi:type="dcterms:W3CDTF">2026-03-11T11:21:27Z</dcterms:modified>
</cp:coreProperties>
</file>