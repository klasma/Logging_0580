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46081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46081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46081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46081</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46081</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46081</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46081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46081</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55683-2025</t>
        </is>
      </c>
      <c r="B16" s="1" t="n">
        <v>45972.4255324074</v>
      </c>
      <c r="C16" s="1" t="n">
        <v>46081</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49999-2025</t>
        </is>
      </c>
      <c r="B17" s="1" t="n">
        <v>45943.30185185185</v>
      </c>
      <c r="C17" s="1" t="n">
        <v>46081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38913-2023</t>
        </is>
      </c>
      <c r="B18" s="1" t="n">
        <v>45163</v>
      </c>
      <c r="C18" s="1" t="n">
        <v>46081</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17275-2025</t>
        </is>
      </c>
      <c r="B19" s="1" t="n">
        <v>45756.55734953703</v>
      </c>
      <c r="C19" s="1" t="n">
        <v>46081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46081</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11097-2026</t>
        </is>
      </c>
      <c r="B21" s="1" t="n">
        <v>46079.64511574074</v>
      </c>
      <c r="C21" s="1" t="n">
        <v>46081</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46081</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55341-2024</t>
        </is>
      </c>
      <c r="B23" s="1" t="n">
        <v>45621.71255787037</v>
      </c>
      <c r="C23" s="1" t="n">
        <v>46081</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46081</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46081</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46081</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46081</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46081</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46081</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46081</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27981-2022</t>
        </is>
      </c>
      <c r="B31" s="1" t="n">
        <v>44745</v>
      </c>
      <c r="C31" s="1" t="n">
        <v>46081</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25985-2025</t>
        </is>
      </c>
      <c r="B32" s="1" t="n">
        <v>45804.64479166667</v>
      </c>
      <c r="C32" s="1" t="n">
        <v>46081</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58068-2021</t>
        </is>
      </c>
      <c r="B33" s="1" t="n">
        <v>44487</v>
      </c>
      <c r="C33" s="1" t="n">
        <v>46081</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50048-2025</t>
        </is>
      </c>
      <c r="B34" s="1" t="n">
        <v>45941</v>
      </c>
      <c r="C34" s="1" t="n">
        <v>46081</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42858-2023</t>
        </is>
      </c>
      <c r="B35" s="1" t="n">
        <v>45177</v>
      </c>
      <c r="C35" s="1" t="n">
        <v>46081</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46081</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46081</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3912-2026</t>
        </is>
      </c>
      <c r="B38" s="1" t="n">
        <v>46043.71958333333</v>
      </c>
      <c r="C38" s="1" t="n">
        <v>46081</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8818-2025</t>
        </is>
      </c>
      <c r="B39" s="1" t="n">
        <v>45712</v>
      </c>
      <c r="C39" s="1" t="n">
        <v>46081</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46081</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55344-2024</t>
        </is>
      </c>
      <c r="B41" s="1" t="n">
        <v>45621.7202662037</v>
      </c>
      <c r="C41" s="1" t="n">
        <v>46081</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20292-2025</t>
        </is>
      </c>
      <c r="B42" s="1" t="n">
        <v>45774.7449537037</v>
      </c>
      <c r="C42" s="1" t="n">
        <v>46081</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22040-2023</t>
        </is>
      </c>
      <c r="B43" s="1" t="n">
        <v>45068</v>
      </c>
      <c r="C43" s="1" t="n">
        <v>46081</v>
      </c>
      <c r="D43" t="inlineStr">
        <is>
          <t>ÖSTERGÖTLANDS LÄN</t>
        </is>
      </c>
      <c r="E43" t="inlineStr">
        <is>
          <t>LINKÖPING</t>
        </is>
      </c>
      <c r="F43" t="inlineStr">
        <is>
          <t>Kommuner</t>
        </is>
      </c>
      <c r="G43" t="n">
        <v>1</v>
      </c>
      <c r="H43" t="n">
        <v>1</v>
      </c>
      <c r="I43" t="n">
        <v>1</v>
      </c>
      <c r="J43" t="n">
        <v>0</v>
      </c>
      <c r="K43" t="n">
        <v>1</v>
      </c>
      <c r="L43" t="n">
        <v>0</v>
      </c>
      <c r="M43" t="n">
        <v>0</v>
      </c>
      <c r="N43" t="n">
        <v>0</v>
      </c>
      <c r="O43" t="n">
        <v>1</v>
      </c>
      <c r="P43" t="n">
        <v>1</v>
      </c>
      <c r="Q43" t="n">
        <v>2</v>
      </c>
      <c r="R43" s="2" t="inlineStr">
        <is>
          <t>Bombmurkla
Skarp dropptaggsvamp</t>
        </is>
      </c>
      <c r="S43">
        <f>HYPERLINK("https://klasma.github.io/Logging_0580/artfynd/A 22040-2023 artfynd.xlsx", "A 22040-2023")</f>
        <v/>
      </c>
      <c r="T43">
        <f>HYPERLINK("https://klasma.github.io/Logging_0580/kartor/A 22040-2023 karta.png", "A 22040-2023")</f>
        <v/>
      </c>
      <c r="V43">
        <f>HYPERLINK("https://klasma.github.io/Logging_0580/klagomål/A 22040-2023 FSC-klagomål.docx", "A 22040-2023")</f>
        <v/>
      </c>
      <c r="W43">
        <f>HYPERLINK("https://klasma.github.io/Logging_0580/klagomålsmail/A 22040-2023 FSC-klagomål mail.docx", "A 22040-2023")</f>
        <v/>
      </c>
      <c r="X43">
        <f>HYPERLINK("https://klasma.github.io/Logging_0580/tillsyn/A 22040-2023 tillsynsbegäran.docx", "A 22040-2023")</f>
        <v/>
      </c>
      <c r="Y43">
        <f>HYPERLINK("https://klasma.github.io/Logging_0580/tillsynsmail/A 22040-2023 tillsynsbegäran mail.docx", "A 22040-2023")</f>
        <v/>
      </c>
    </row>
    <row r="44" ht="15" customHeight="1">
      <c r="A44" t="inlineStr">
        <is>
          <t>A 50404-2023</t>
        </is>
      </c>
      <c r="B44" s="1" t="n">
        <v>45216</v>
      </c>
      <c r="C44" s="1" t="n">
        <v>46081</v>
      </c>
      <c r="D44" t="inlineStr">
        <is>
          <t>ÖSTERGÖTLANDS LÄN</t>
        </is>
      </c>
      <c r="E44" t="inlineStr">
        <is>
          <t>LINKÖPING</t>
        </is>
      </c>
      <c r="G44" t="n">
        <v>1.2</v>
      </c>
      <c r="H44" t="n">
        <v>1</v>
      </c>
      <c r="I44" t="n">
        <v>1</v>
      </c>
      <c r="J44" t="n">
        <v>0</v>
      </c>
      <c r="K44" t="n">
        <v>0</v>
      </c>
      <c r="L44" t="n">
        <v>0</v>
      </c>
      <c r="M44" t="n">
        <v>0</v>
      </c>
      <c r="N44" t="n">
        <v>0</v>
      </c>
      <c r="O44" t="n">
        <v>0</v>
      </c>
      <c r="P44" t="n">
        <v>0</v>
      </c>
      <c r="Q44" t="n">
        <v>2</v>
      </c>
      <c r="R44" s="2" t="inlineStr">
        <is>
          <t>Hasselticka
Gullviva</t>
        </is>
      </c>
      <c r="S44">
        <f>HYPERLINK("https://klasma.github.io/Logging_0580/artfynd/A 50404-2023 artfynd.xlsx", "A 50404-2023")</f>
        <v/>
      </c>
      <c r="T44">
        <f>HYPERLINK("https://klasma.github.io/Logging_0580/kartor/A 50404-2023 karta.png", "A 50404-2023")</f>
        <v/>
      </c>
      <c r="V44">
        <f>HYPERLINK("https://klasma.github.io/Logging_0580/klagomål/A 50404-2023 FSC-klagomål.docx", "A 50404-2023")</f>
        <v/>
      </c>
      <c r="W44">
        <f>HYPERLINK("https://klasma.github.io/Logging_0580/klagomålsmail/A 50404-2023 FSC-klagomål mail.docx", "A 50404-2023")</f>
        <v/>
      </c>
      <c r="X44">
        <f>HYPERLINK("https://klasma.github.io/Logging_0580/tillsyn/A 50404-2023 tillsynsbegäran.docx", "A 50404-2023")</f>
        <v/>
      </c>
      <c r="Y44">
        <f>HYPERLINK("https://klasma.github.io/Logging_0580/tillsynsmail/A 50404-2023 tillsynsbegäran mail.docx", "A 50404-2023")</f>
        <v/>
      </c>
    </row>
    <row r="45" ht="15" customHeight="1">
      <c r="A45" t="inlineStr">
        <is>
          <t>A 21326-2025</t>
        </is>
      </c>
      <c r="B45" s="1" t="n">
        <v>45782.35407407407</v>
      </c>
      <c r="C45" s="1" t="n">
        <v>46081</v>
      </c>
      <c r="D45" t="inlineStr">
        <is>
          <t>ÖSTERGÖTLANDS LÄN</t>
        </is>
      </c>
      <c r="E45" t="inlineStr">
        <is>
          <t>LINKÖPING</t>
        </is>
      </c>
      <c r="G45" t="n">
        <v>4.9</v>
      </c>
      <c r="H45" t="n">
        <v>2</v>
      </c>
      <c r="I45" t="n">
        <v>0</v>
      </c>
      <c r="J45" t="n">
        <v>0</v>
      </c>
      <c r="K45" t="n">
        <v>0</v>
      </c>
      <c r="L45" t="n">
        <v>0</v>
      </c>
      <c r="M45" t="n">
        <v>0</v>
      </c>
      <c r="N45" t="n">
        <v>0</v>
      </c>
      <c r="O45" t="n">
        <v>0</v>
      </c>
      <c r="P45" t="n">
        <v>0</v>
      </c>
      <c r="Q45" t="n">
        <v>2</v>
      </c>
      <c r="R45" s="2" t="inlineStr">
        <is>
          <t>Blåsippa
Revlummer</t>
        </is>
      </c>
      <c r="S45">
        <f>HYPERLINK("https://klasma.github.io/Logging_0580/artfynd/A 21326-2025 artfynd.xlsx", "A 21326-2025")</f>
        <v/>
      </c>
      <c r="T45">
        <f>HYPERLINK("https://klasma.github.io/Logging_0580/kartor/A 21326-2025 karta.png", "A 21326-2025")</f>
        <v/>
      </c>
      <c r="V45">
        <f>HYPERLINK("https://klasma.github.io/Logging_0580/klagomål/A 21326-2025 FSC-klagomål.docx", "A 21326-2025")</f>
        <v/>
      </c>
      <c r="W45">
        <f>HYPERLINK("https://klasma.github.io/Logging_0580/klagomålsmail/A 21326-2025 FSC-klagomål mail.docx", "A 21326-2025")</f>
        <v/>
      </c>
      <c r="X45">
        <f>HYPERLINK("https://klasma.github.io/Logging_0580/tillsyn/A 21326-2025 tillsynsbegäran.docx", "A 21326-2025")</f>
        <v/>
      </c>
      <c r="Y45">
        <f>HYPERLINK("https://klasma.github.io/Logging_0580/tillsynsmail/A 21326-2025 tillsynsbegäran mail.docx", "A 21326-2025")</f>
        <v/>
      </c>
    </row>
    <row r="46" ht="15" customHeight="1">
      <c r="A46" t="inlineStr">
        <is>
          <t>A 38129-2021</t>
        </is>
      </c>
      <c r="B46" s="1" t="n">
        <v>44405.37199074074</v>
      </c>
      <c r="C46" s="1" t="n">
        <v>46081</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14096-2021</t>
        </is>
      </c>
      <c r="B47" s="1" t="n">
        <v>44278</v>
      </c>
      <c r="C47" s="1" t="n">
        <v>46081</v>
      </c>
      <c r="D47" t="inlineStr">
        <is>
          <t>ÖSTERGÖTLANDS LÄN</t>
        </is>
      </c>
      <c r="E47" t="inlineStr">
        <is>
          <t>LINKÖPING</t>
        </is>
      </c>
      <c r="G47" t="n">
        <v>1.7</v>
      </c>
      <c r="H47" t="n">
        <v>0</v>
      </c>
      <c r="I47" t="n">
        <v>0</v>
      </c>
      <c r="J47" t="n">
        <v>1</v>
      </c>
      <c r="K47" t="n">
        <v>0</v>
      </c>
      <c r="L47" t="n">
        <v>0</v>
      </c>
      <c r="M47" t="n">
        <v>0</v>
      </c>
      <c r="N47" t="n">
        <v>0</v>
      </c>
      <c r="O47" t="n">
        <v>1</v>
      </c>
      <c r="P47" t="n">
        <v>0</v>
      </c>
      <c r="Q47" t="n">
        <v>1</v>
      </c>
      <c r="R47" s="2" t="inlineStr">
        <is>
          <t>Vedtrappmossa</t>
        </is>
      </c>
      <c r="S47">
        <f>HYPERLINK("https://klasma.github.io/Logging_0580/artfynd/A 14096-2021 artfynd.xlsx", "A 14096-2021")</f>
        <v/>
      </c>
      <c r="T47">
        <f>HYPERLINK("https://klasma.github.io/Logging_0580/kartor/A 14096-2021 karta.png", "A 14096-2021")</f>
        <v/>
      </c>
      <c r="V47">
        <f>HYPERLINK("https://klasma.github.io/Logging_0580/klagomål/A 14096-2021 FSC-klagomål.docx", "A 14096-2021")</f>
        <v/>
      </c>
      <c r="W47">
        <f>HYPERLINK("https://klasma.github.io/Logging_0580/klagomålsmail/A 14096-2021 FSC-klagomål mail.docx", "A 14096-2021")</f>
        <v/>
      </c>
      <c r="X47">
        <f>HYPERLINK("https://klasma.github.io/Logging_0580/tillsyn/A 14096-2021 tillsynsbegäran.docx", "A 14096-2021")</f>
        <v/>
      </c>
      <c r="Y47">
        <f>HYPERLINK("https://klasma.github.io/Logging_0580/tillsynsmail/A 14096-2021 tillsynsbegäran mail.docx", "A 14096-2021")</f>
        <v/>
      </c>
    </row>
    <row r="48" ht="15" customHeight="1">
      <c r="A48" t="inlineStr">
        <is>
          <t>A 17513-2022</t>
        </is>
      </c>
      <c r="B48" s="1" t="n">
        <v>44679</v>
      </c>
      <c r="C48" s="1" t="n">
        <v>46081</v>
      </c>
      <c r="D48" t="inlineStr">
        <is>
          <t>ÖSTERGÖTLANDS LÄN</t>
        </is>
      </c>
      <c r="E48" t="inlineStr">
        <is>
          <t>LINKÖPING</t>
        </is>
      </c>
      <c r="F48" t="inlineStr">
        <is>
          <t>Kommuner</t>
        </is>
      </c>
      <c r="G48" t="n">
        <v>1.6</v>
      </c>
      <c r="H48" t="n">
        <v>0</v>
      </c>
      <c r="I48" t="n">
        <v>0</v>
      </c>
      <c r="J48" t="n">
        <v>1</v>
      </c>
      <c r="K48" t="n">
        <v>0</v>
      </c>
      <c r="L48" t="n">
        <v>0</v>
      </c>
      <c r="M48" t="n">
        <v>0</v>
      </c>
      <c r="N48" t="n">
        <v>0</v>
      </c>
      <c r="O48" t="n">
        <v>1</v>
      </c>
      <c r="P48" t="n">
        <v>0</v>
      </c>
      <c r="Q48" t="n">
        <v>1</v>
      </c>
      <c r="R48" s="2" t="inlineStr">
        <is>
          <t>Sexfläckig bastardsvärmare</t>
        </is>
      </c>
      <c r="S48">
        <f>HYPERLINK("https://klasma.github.io/Logging_0580/artfynd/A 17513-2022 artfynd.xlsx", "A 17513-2022")</f>
        <v/>
      </c>
      <c r="T48">
        <f>HYPERLINK("https://klasma.github.io/Logging_0580/kartor/A 17513-2022 karta.png", "A 17513-2022")</f>
        <v/>
      </c>
      <c r="V48">
        <f>HYPERLINK("https://klasma.github.io/Logging_0580/klagomål/A 17513-2022 FSC-klagomål.docx", "A 17513-2022")</f>
        <v/>
      </c>
      <c r="W48">
        <f>HYPERLINK("https://klasma.github.io/Logging_0580/klagomålsmail/A 17513-2022 FSC-klagomål mail.docx", "A 17513-2022")</f>
        <v/>
      </c>
      <c r="X48">
        <f>HYPERLINK("https://klasma.github.io/Logging_0580/tillsyn/A 17513-2022 tillsynsbegäran.docx", "A 17513-2022")</f>
        <v/>
      </c>
      <c r="Y48">
        <f>HYPERLINK("https://klasma.github.io/Logging_0580/tillsynsmail/A 17513-2022 tillsynsbegäran mail.docx", "A 17513-2022")</f>
        <v/>
      </c>
    </row>
    <row r="49" ht="15" customHeight="1">
      <c r="A49" t="inlineStr">
        <is>
          <t>A 43017-2021</t>
        </is>
      </c>
      <c r="B49" s="1" t="n">
        <v>44431</v>
      </c>
      <c r="C49" s="1" t="n">
        <v>46081</v>
      </c>
      <c r="D49" t="inlineStr">
        <is>
          <t>ÖSTERGÖTLANDS LÄN</t>
        </is>
      </c>
      <c r="E49" t="inlineStr">
        <is>
          <t>LINKÖPING</t>
        </is>
      </c>
      <c r="G49" t="n">
        <v>0.9</v>
      </c>
      <c r="H49" t="n">
        <v>0</v>
      </c>
      <c r="I49" t="n">
        <v>0</v>
      </c>
      <c r="J49" t="n">
        <v>1</v>
      </c>
      <c r="K49" t="n">
        <v>0</v>
      </c>
      <c r="L49" t="n">
        <v>0</v>
      </c>
      <c r="M49" t="n">
        <v>0</v>
      </c>
      <c r="N49" t="n">
        <v>0</v>
      </c>
      <c r="O49" t="n">
        <v>1</v>
      </c>
      <c r="P49" t="n">
        <v>0</v>
      </c>
      <c r="Q49" t="n">
        <v>1</v>
      </c>
      <c r="R49" s="2" t="inlineStr">
        <is>
          <t>Hapalopilus aurantiacus</t>
        </is>
      </c>
      <c r="S49">
        <f>HYPERLINK("https://klasma.github.io/Logging_0580/artfynd/A 43017-2021 artfynd.xlsx", "A 43017-2021")</f>
        <v/>
      </c>
      <c r="T49">
        <f>HYPERLINK("https://klasma.github.io/Logging_0580/kartor/A 43017-2021 karta.png", "A 43017-2021")</f>
        <v/>
      </c>
      <c r="V49">
        <f>HYPERLINK("https://klasma.github.io/Logging_0580/klagomål/A 43017-2021 FSC-klagomål.docx", "A 43017-2021")</f>
        <v/>
      </c>
      <c r="W49">
        <f>HYPERLINK("https://klasma.github.io/Logging_0580/klagomålsmail/A 43017-2021 FSC-klagomål mail.docx", "A 43017-2021")</f>
        <v/>
      </c>
      <c r="X49">
        <f>HYPERLINK("https://klasma.github.io/Logging_0580/tillsyn/A 43017-2021 tillsynsbegäran.docx", "A 43017-2021")</f>
        <v/>
      </c>
      <c r="Y49">
        <f>HYPERLINK("https://klasma.github.io/Logging_0580/tillsynsmail/A 43017-2021 tillsynsbegäran mail.docx", "A 43017-2021")</f>
        <v/>
      </c>
    </row>
    <row r="50" ht="15" customHeight="1">
      <c r="A50" t="inlineStr">
        <is>
          <t>A 46496-2022</t>
        </is>
      </c>
      <c r="B50" s="1" t="n">
        <v>44848</v>
      </c>
      <c r="C50" s="1" t="n">
        <v>46081</v>
      </c>
      <c r="D50" t="inlineStr">
        <is>
          <t>ÖSTERGÖTLANDS LÄN</t>
        </is>
      </c>
      <c r="E50" t="inlineStr">
        <is>
          <t>LINKÖPING</t>
        </is>
      </c>
      <c r="G50" t="n">
        <v>1.1</v>
      </c>
      <c r="H50" t="n">
        <v>0</v>
      </c>
      <c r="I50" t="n">
        <v>0</v>
      </c>
      <c r="J50" t="n">
        <v>1</v>
      </c>
      <c r="K50" t="n">
        <v>0</v>
      </c>
      <c r="L50" t="n">
        <v>0</v>
      </c>
      <c r="M50" t="n">
        <v>0</v>
      </c>
      <c r="N50" t="n">
        <v>0</v>
      </c>
      <c r="O50" t="n">
        <v>1</v>
      </c>
      <c r="P50" t="n">
        <v>0</v>
      </c>
      <c r="Q50" t="n">
        <v>1</v>
      </c>
      <c r="R50" s="2" t="inlineStr">
        <is>
          <t>Bredbrämad bastardsvärmare</t>
        </is>
      </c>
      <c r="S50">
        <f>HYPERLINK("https://klasma.github.io/Logging_0580/artfynd/A 46496-2022 artfynd.xlsx", "A 46496-2022")</f>
        <v/>
      </c>
      <c r="T50">
        <f>HYPERLINK("https://klasma.github.io/Logging_0580/kartor/A 46496-2022 karta.png", "A 46496-2022")</f>
        <v/>
      </c>
      <c r="V50">
        <f>HYPERLINK("https://klasma.github.io/Logging_0580/klagomål/A 46496-2022 FSC-klagomål.docx", "A 46496-2022")</f>
        <v/>
      </c>
      <c r="W50">
        <f>HYPERLINK("https://klasma.github.io/Logging_0580/klagomålsmail/A 46496-2022 FSC-klagomål mail.docx", "A 46496-2022")</f>
        <v/>
      </c>
      <c r="X50">
        <f>HYPERLINK("https://klasma.github.io/Logging_0580/tillsyn/A 46496-2022 tillsynsbegäran.docx", "A 46496-2022")</f>
        <v/>
      </c>
      <c r="Y50">
        <f>HYPERLINK("https://klasma.github.io/Logging_0580/tillsynsmail/A 46496-2022 tillsynsbegäran mail.docx", "A 46496-2022")</f>
        <v/>
      </c>
    </row>
    <row r="51" ht="15" customHeight="1">
      <c r="A51" t="inlineStr">
        <is>
          <t>A 56250-2021</t>
        </is>
      </c>
      <c r="B51" s="1" t="n">
        <v>44479</v>
      </c>
      <c r="C51" s="1" t="n">
        <v>46081</v>
      </c>
      <c r="D51" t="inlineStr">
        <is>
          <t>ÖSTERGÖTLANDS LÄN</t>
        </is>
      </c>
      <c r="E51" t="inlineStr">
        <is>
          <t>LINKÖPING</t>
        </is>
      </c>
      <c r="F51" t="inlineStr">
        <is>
          <t>Övriga Aktiebolag</t>
        </is>
      </c>
      <c r="G51" t="n">
        <v>3.2</v>
      </c>
      <c r="H51" t="n">
        <v>0</v>
      </c>
      <c r="I51" t="n">
        <v>1</v>
      </c>
      <c r="J51" t="n">
        <v>0</v>
      </c>
      <c r="K51" t="n">
        <v>0</v>
      </c>
      <c r="L51" t="n">
        <v>0</v>
      </c>
      <c r="M51" t="n">
        <v>0</v>
      </c>
      <c r="N51" t="n">
        <v>0</v>
      </c>
      <c r="O51" t="n">
        <v>0</v>
      </c>
      <c r="P51" t="n">
        <v>0</v>
      </c>
      <c r="Q51" t="n">
        <v>1</v>
      </c>
      <c r="R51" s="2" t="inlineStr">
        <is>
          <t>Strutbräken</t>
        </is>
      </c>
      <c r="S51">
        <f>HYPERLINK("https://klasma.github.io/Logging_0580/artfynd/A 56250-2021 artfynd.xlsx", "A 56250-2021")</f>
        <v/>
      </c>
      <c r="T51">
        <f>HYPERLINK("https://klasma.github.io/Logging_0580/kartor/A 56250-2021 karta.png", "A 56250-2021")</f>
        <v/>
      </c>
      <c r="V51">
        <f>HYPERLINK("https://klasma.github.io/Logging_0580/klagomål/A 56250-2021 FSC-klagomål.docx", "A 56250-2021")</f>
        <v/>
      </c>
      <c r="W51">
        <f>HYPERLINK("https://klasma.github.io/Logging_0580/klagomålsmail/A 56250-2021 FSC-klagomål mail.docx", "A 56250-2021")</f>
        <v/>
      </c>
      <c r="X51">
        <f>HYPERLINK("https://klasma.github.io/Logging_0580/tillsyn/A 56250-2021 tillsynsbegäran.docx", "A 56250-2021")</f>
        <v/>
      </c>
      <c r="Y51">
        <f>HYPERLINK("https://klasma.github.io/Logging_0580/tillsynsmail/A 56250-2021 tillsynsbegäran mail.docx", "A 56250-2021")</f>
        <v/>
      </c>
    </row>
    <row r="52" ht="15" customHeight="1">
      <c r="A52" t="inlineStr">
        <is>
          <t>A 71127-2021</t>
        </is>
      </c>
      <c r="B52" s="1" t="n">
        <v>44537</v>
      </c>
      <c r="C52" s="1" t="n">
        <v>46081</v>
      </c>
      <c r="D52" t="inlineStr">
        <is>
          <t>ÖSTERGÖTLANDS LÄN</t>
        </is>
      </c>
      <c r="E52" t="inlineStr">
        <is>
          <t>LINKÖPING</t>
        </is>
      </c>
      <c r="F52" t="inlineStr">
        <is>
          <t>Kommuner</t>
        </is>
      </c>
      <c r="G52" t="n">
        <v>7.2</v>
      </c>
      <c r="H52" t="n">
        <v>0</v>
      </c>
      <c r="I52" t="n">
        <v>0</v>
      </c>
      <c r="J52" t="n">
        <v>1</v>
      </c>
      <c r="K52" t="n">
        <v>0</v>
      </c>
      <c r="L52" t="n">
        <v>0</v>
      </c>
      <c r="M52" t="n">
        <v>0</v>
      </c>
      <c r="N52" t="n">
        <v>0</v>
      </c>
      <c r="O52" t="n">
        <v>1</v>
      </c>
      <c r="P52" t="n">
        <v>0</v>
      </c>
      <c r="Q52" t="n">
        <v>1</v>
      </c>
      <c r="R52" s="2" t="inlineStr">
        <is>
          <t>Svinrot</t>
        </is>
      </c>
      <c r="S52">
        <f>HYPERLINK("https://klasma.github.io/Logging_0580/artfynd/A 71127-2021 artfynd.xlsx", "A 71127-2021")</f>
        <v/>
      </c>
      <c r="T52">
        <f>HYPERLINK("https://klasma.github.io/Logging_0580/kartor/A 71127-2021 karta.png", "A 71127-2021")</f>
        <v/>
      </c>
      <c r="V52">
        <f>HYPERLINK("https://klasma.github.io/Logging_0580/klagomål/A 71127-2021 FSC-klagomål.docx", "A 71127-2021")</f>
        <v/>
      </c>
      <c r="W52">
        <f>HYPERLINK("https://klasma.github.io/Logging_0580/klagomålsmail/A 71127-2021 FSC-klagomål mail.docx", "A 71127-2021")</f>
        <v/>
      </c>
      <c r="X52">
        <f>HYPERLINK("https://klasma.github.io/Logging_0580/tillsyn/A 71127-2021 tillsynsbegäran.docx", "A 71127-2021")</f>
        <v/>
      </c>
      <c r="Y52">
        <f>HYPERLINK("https://klasma.github.io/Logging_0580/tillsynsmail/A 71127-2021 tillsynsbegäran mail.docx", "A 71127-2021")</f>
        <v/>
      </c>
    </row>
    <row r="53" ht="15" customHeight="1">
      <c r="A53" t="inlineStr">
        <is>
          <t>A 17389-2021</t>
        </is>
      </c>
      <c r="B53" s="1" t="n">
        <v>44298.96792824074</v>
      </c>
      <c r="C53" s="1" t="n">
        <v>46081</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40315-2024</t>
        </is>
      </c>
      <c r="B54" s="1" t="n">
        <v>45554.7571875</v>
      </c>
      <c r="C54" s="1" t="n">
        <v>46081</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1213-2023</t>
        </is>
      </c>
      <c r="B55" s="1" t="n">
        <v>44930</v>
      </c>
      <c r="C55" s="1" t="n">
        <v>46081</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22526-2025</t>
        </is>
      </c>
      <c r="B56" s="1" t="n">
        <v>45786.78096064815</v>
      </c>
      <c r="C56" s="1" t="n">
        <v>46081</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27403-2025</t>
        </is>
      </c>
      <c r="B57" s="1" t="n">
        <v>45812.72518518518</v>
      </c>
      <c r="C57" s="1" t="n">
        <v>46081</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50471-2024</t>
        </is>
      </c>
      <c r="B58" s="1" t="n">
        <v>45601.47166666666</v>
      </c>
      <c r="C58" s="1" t="n">
        <v>46081</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50806-2023</t>
        </is>
      </c>
      <c r="B59" s="1" t="n">
        <v>45217</v>
      </c>
      <c r="C59" s="1" t="n">
        <v>46081</v>
      </c>
      <c r="D59" t="inlineStr">
        <is>
          <t>ÖSTERGÖTLANDS LÄN</t>
        </is>
      </c>
      <c r="E59" t="inlineStr">
        <is>
          <t>LINKÖPING</t>
        </is>
      </c>
      <c r="F59" t="inlineStr">
        <is>
          <t>Övriga Aktiebolag</t>
        </is>
      </c>
      <c r="G59" t="n">
        <v>0.7</v>
      </c>
      <c r="H59" t="n">
        <v>1</v>
      </c>
      <c r="I59" t="n">
        <v>0</v>
      </c>
      <c r="J59" t="n">
        <v>0</v>
      </c>
      <c r="K59" t="n">
        <v>0</v>
      </c>
      <c r="L59" t="n">
        <v>0</v>
      </c>
      <c r="M59" t="n">
        <v>0</v>
      </c>
      <c r="N59" t="n">
        <v>0</v>
      </c>
      <c r="O59" t="n">
        <v>0</v>
      </c>
      <c r="P59" t="n">
        <v>0</v>
      </c>
      <c r="Q59" t="n">
        <v>1</v>
      </c>
      <c r="R59" s="2" t="inlineStr">
        <is>
          <t>Gullviva</t>
        </is>
      </c>
      <c r="S59">
        <f>HYPERLINK("https://klasma.github.io/Logging_0580/artfynd/A 50806-2023 artfynd.xlsx", "A 50806-2023")</f>
        <v/>
      </c>
      <c r="T59">
        <f>HYPERLINK("https://klasma.github.io/Logging_0580/kartor/A 50806-2023 karta.png", "A 50806-2023")</f>
        <v/>
      </c>
      <c r="V59">
        <f>HYPERLINK("https://klasma.github.io/Logging_0580/klagomål/A 50806-2023 FSC-klagomål.docx", "A 50806-2023")</f>
        <v/>
      </c>
      <c r="W59">
        <f>HYPERLINK("https://klasma.github.io/Logging_0580/klagomålsmail/A 50806-2023 FSC-klagomål mail.docx", "A 50806-2023")</f>
        <v/>
      </c>
      <c r="X59">
        <f>HYPERLINK("https://klasma.github.io/Logging_0580/tillsyn/A 50806-2023 tillsynsbegäran.docx", "A 50806-2023")</f>
        <v/>
      </c>
      <c r="Y59">
        <f>HYPERLINK("https://klasma.github.io/Logging_0580/tillsynsmail/A 50806-2023 tillsynsbegäran mail.docx", "A 50806-2023")</f>
        <v/>
      </c>
    </row>
    <row r="60" ht="15" customHeight="1">
      <c r="A60" t="inlineStr">
        <is>
          <t>A 60573-2021</t>
        </is>
      </c>
      <c r="B60" s="1" t="n">
        <v>44496</v>
      </c>
      <c r="C60" s="1" t="n">
        <v>46081</v>
      </c>
      <c r="D60" t="inlineStr">
        <is>
          <t>ÖSTERGÖTLANDS LÄN</t>
        </is>
      </c>
      <c r="E60" t="inlineStr">
        <is>
          <t>LINKÖPING</t>
        </is>
      </c>
      <c r="F60" t="inlineStr">
        <is>
          <t>Övriga Aktiebolag</t>
        </is>
      </c>
      <c r="G60" t="n">
        <v>5.6</v>
      </c>
      <c r="H60" t="n">
        <v>0</v>
      </c>
      <c r="I60" t="n">
        <v>0</v>
      </c>
      <c r="J60" t="n">
        <v>1</v>
      </c>
      <c r="K60" t="n">
        <v>0</v>
      </c>
      <c r="L60" t="n">
        <v>0</v>
      </c>
      <c r="M60" t="n">
        <v>0</v>
      </c>
      <c r="N60" t="n">
        <v>0</v>
      </c>
      <c r="O60" t="n">
        <v>1</v>
      </c>
      <c r="P60" t="n">
        <v>0</v>
      </c>
      <c r="Q60" t="n">
        <v>1</v>
      </c>
      <c r="R60" s="2" t="inlineStr">
        <is>
          <t>Sommarfibbla</t>
        </is>
      </c>
      <c r="S60">
        <f>HYPERLINK("https://klasma.github.io/Logging_0580/artfynd/A 60573-2021 artfynd.xlsx", "A 60573-2021")</f>
        <v/>
      </c>
      <c r="T60">
        <f>HYPERLINK("https://klasma.github.io/Logging_0580/kartor/A 60573-2021 karta.png", "A 60573-2021")</f>
        <v/>
      </c>
      <c r="V60">
        <f>HYPERLINK("https://klasma.github.io/Logging_0580/klagomål/A 60573-2021 FSC-klagomål.docx", "A 60573-2021")</f>
        <v/>
      </c>
      <c r="W60">
        <f>HYPERLINK("https://klasma.github.io/Logging_0580/klagomålsmail/A 60573-2021 FSC-klagomål mail.docx", "A 60573-2021")</f>
        <v/>
      </c>
      <c r="X60">
        <f>HYPERLINK("https://klasma.github.io/Logging_0580/tillsyn/A 60573-2021 tillsynsbegäran.docx", "A 60573-2021")</f>
        <v/>
      </c>
      <c r="Y60">
        <f>HYPERLINK("https://klasma.github.io/Logging_0580/tillsynsmail/A 60573-2021 tillsynsbegäran mail.docx", "A 60573-2021")</f>
        <v/>
      </c>
    </row>
    <row r="61" ht="15" customHeight="1">
      <c r="A61" t="inlineStr">
        <is>
          <t>A 36723-2023</t>
        </is>
      </c>
      <c r="B61" s="1" t="n">
        <v>45153</v>
      </c>
      <c r="C61" s="1" t="n">
        <v>46081</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43989-2025</t>
        </is>
      </c>
      <c r="B62" s="1" t="n">
        <v>45915.44128472222</v>
      </c>
      <c r="C62" s="1" t="n">
        <v>46081</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46081</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48273-2025</t>
        </is>
      </c>
      <c r="B64" s="1" t="n">
        <v>45932</v>
      </c>
      <c r="C64" s="1" t="n">
        <v>46081</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46081</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46081</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46081</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5911-2022</t>
        </is>
      </c>
      <c r="B68" s="1" t="n">
        <v>44597</v>
      </c>
      <c r="C68" s="1" t="n">
        <v>46081</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50034-2025</t>
        </is>
      </c>
      <c r="B69" s="1" t="n">
        <v>45941</v>
      </c>
      <c r="C69" s="1" t="n">
        <v>46081</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56128-2022</t>
        </is>
      </c>
      <c r="B70" s="1" t="n">
        <v>44889</v>
      </c>
      <c r="C70" s="1" t="n">
        <v>46081</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56112-2025</t>
        </is>
      </c>
      <c r="B71" s="1" t="n">
        <v>45973.73625</v>
      </c>
      <c r="C71" s="1" t="n">
        <v>46081</v>
      </c>
      <c r="D71" t="inlineStr">
        <is>
          <t>ÖSTERGÖTLANDS LÄN</t>
        </is>
      </c>
      <c r="E71" t="inlineStr">
        <is>
          <t>LINKÖPING</t>
        </is>
      </c>
      <c r="G71" t="n">
        <v>0.6</v>
      </c>
      <c r="H71" t="n">
        <v>0</v>
      </c>
      <c r="I71" t="n">
        <v>0</v>
      </c>
      <c r="J71" t="n">
        <v>1</v>
      </c>
      <c r="K71" t="n">
        <v>0</v>
      </c>
      <c r="L71" t="n">
        <v>0</v>
      </c>
      <c r="M71" t="n">
        <v>0</v>
      </c>
      <c r="N71" t="n">
        <v>0</v>
      </c>
      <c r="O71" t="n">
        <v>1</v>
      </c>
      <c r="P71" t="n">
        <v>0</v>
      </c>
      <c r="Q71" t="n">
        <v>1</v>
      </c>
      <c r="R71" s="2" t="inlineStr">
        <is>
          <t>Solvända</t>
        </is>
      </c>
      <c r="S71">
        <f>HYPERLINK("https://klasma.github.io/Logging_0580/artfynd/A 56112-2025 artfynd.xlsx", "A 56112-2025")</f>
        <v/>
      </c>
      <c r="T71">
        <f>HYPERLINK("https://klasma.github.io/Logging_0580/kartor/A 56112-2025 karta.png", "A 56112-2025")</f>
        <v/>
      </c>
      <c r="V71">
        <f>HYPERLINK("https://klasma.github.io/Logging_0580/klagomål/A 56112-2025 FSC-klagomål.docx", "A 56112-2025")</f>
        <v/>
      </c>
      <c r="W71">
        <f>HYPERLINK("https://klasma.github.io/Logging_0580/klagomålsmail/A 56112-2025 FSC-klagomål mail.docx", "A 56112-2025")</f>
        <v/>
      </c>
      <c r="X71">
        <f>HYPERLINK("https://klasma.github.io/Logging_0580/tillsyn/A 56112-2025 tillsynsbegäran.docx", "A 56112-2025")</f>
        <v/>
      </c>
      <c r="Y71">
        <f>HYPERLINK("https://klasma.github.io/Logging_0580/tillsynsmail/A 56112-2025 tillsynsbegäran mail.docx", "A 56112-2025")</f>
        <v/>
      </c>
    </row>
    <row r="72" ht="15" customHeight="1">
      <c r="A72" t="inlineStr">
        <is>
          <t>A 54835-2023</t>
        </is>
      </c>
      <c r="B72" s="1" t="n">
        <v>45236</v>
      </c>
      <c r="C72" s="1" t="n">
        <v>46081</v>
      </c>
      <c r="D72" t="inlineStr">
        <is>
          <t>ÖSTERGÖTLANDS LÄN</t>
        </is>
      </c>
      <c r="E72" t="inlineStr">
        <is>
          <t>LINKÖPING</t>
        </is>
      </c>
      <c r="G72" t="n">
        <v>2</v>
      </c>
      <c r="H72" t="n">
        <v>1</v>
      </c>
      <c r="I72" t="n">
        <v>0</v>
      </c>
      <c r="J72" t="n">
        <v>0</v>
      </c>
      <c r="K72" t="n">
        <v>0</v>
      </c>
      <c r="L72" t="n">
        <v>0</v>
      </c>
      <c r="M72" t="n">
        <v>0</v>
      </c>
      <c r="N72" t="n">
        <v>0</v>
      </c>
      <c r="O72" t="n">
        <v>0</v>
      </c>
      <c r="P72" t="n">
        <v>0</v>
      </c>
      <c r="Q72" t="n">
        <v>1</v>
      </c>
      <c r="R72" s="2" t="inlineStr">
        <is>
          <t>Sparvuggla</t>
        </is>
      </c>
      <c r="S72">
        <f>HYPERLINK("https://klasma.github.io/Logging_0580/artfynd/A 54835-2023 artfynd.xlsx", "A 54835-2023")</f>
        <v/>
      </c>
      <c r="T72">
        <f>HYPERLINK("https://klasma.github.io/Logging_0580/kartor/A 54835-2023 karta.png", "A 54835-2023")</f>
        <v/>
      </c>
      <c r="V72">
        <f>HYPERLINK("https://klasma.github.io/Logging_0580/klagomål/A 54835-2023 FSC-klagomål.docx", "A 54835-2023")</f>
        <v/>
      </c>
      <c r="W72">
        <f>HYPERLINK("https://klasma.github.io/Logging_0580/klagomålsmail/A 54835-2023 FSC-klagomål mail.docx", "A 54835-2023")</f>
        <v/>
      </c>
      <c r="X72">
        <f>HYPERLINK("https://klasma.github.io/Logging_0580/tillsyn/A 54835-2023 tillsynsbegäran.docx", "A 54835-2023")</f>
        <v/>
      </c>
      <c r="Y72">
        <f>HYPERLINK("https://klasma.github.io/Logging_0580/tillsynsmail/A 54835-2023 tillsynsbegäran mail.docx", "A 54835-2023")</f>
        <v/>
      </c>
      <c r="Z72">
        <f>HYPERLINK("https://klasma.github.io/Logging_0580/fåglar/A 54835-2023 prioriterade fågelarter.docx", "A 54835-2023")</f>
        <v/>
      </c>
    </row>
    <row r="73" ht="15" customHeight="1">
      <c r="A73" t="inlineStr">
        <is>
          <t>A 34881-2023</t>
        </is>
      </c>
      <c r="B73" s="1" t="n">
        <v>45140</v>
      </c>
      <c r="C73" s="1" t="n">
        <v>46081</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19103-2021</t>
        </is>
      </c>
      <c r="B74" s="1" t="n">
        <v>44308</v>
      </c>
      <c r="C74" s="1" t="n">
        <v>46081</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45317-2023</t>
        </is>
      </c>
      <c r="B75" s="1" t="n">
        <v>45191.74868055555</v>
      </c>
      <c r="C75" s="1" t="n">
        <v>46081</v>
      </c>
      <c r="D75" t="inlineStr">
        <is>
          <t>ÖSTERGÖTLANDS LÄN</t>
        </is>
      </c>
      <c r="E75" t="inlineStr">
        <is>
          <t>LINKÖPING</t>
        </is>
      </c>
      <c r="F75" t="inlineStr">
        <is>
          <t>Allmännings- och besparingsskogar</t>
        </is>
      </c>
      <c r="G75" t="n">
        <v>29.3</v>
      </c>
      <c r="H75" t="n">
        <v>0</v>
      </c>
      <c r="I75" t="n">
        <v>0</v>
      </c>
      <c r="J75" t="n">
        <v>1</v>
      </c>
      <c r="K75" t="n">
        <v>0</v>
      </c>
      <c r="L75" t="n">
        <v>0</v>
      </c>
      <c r="M75" t="n">
        <v>0</v>
      </c>
      <c r="N75" t="n">
        <v>0</v>
      </c>
      <c r="O75" t="n">
        <v>1</v>
      </c>
      <c r="P75" t="n">
        <v>0</v>
      </c>
      <c r="Q75" t="n">
        <v>1</v>
      </c>
      <c r="R75" s="2" t="inlineStr">
        <is>
          <t>Svinrot</t>
        </is>
      </c>
      <c r="S75">
        <f>HYPERLINK("https://klasma.github.io/Logging_0580/artfynd/A 45317-2023 artfynd.xlsx", "A 45317-2023")</f>
        <v/>
      </c>
      <c r="T75">
        <f>HYPERLINK("https://klasma.github.io/Logging_0580/kartor/A 45317-2023 karta.png", "A 45317-2023")</f>
        <v/>
      </c>
      <c r="V75">
        <f>HYPERLINK("https://klasma.github.io/Logging_0580/klagomål/A 45317-2023 FSC-klagomål.docx", "A 45317-2023")</f>
        <v/>
      </c>
      <c r="W75">
        <f>HYPERLINK("https://klasma.github.io/Logging_0580/klagomålsmail/A 45317-2023 FSC-klagomål mail.docx", "A 45317-2023")</f>
        <v/>
      </c>
      <c r="X75">
        <f>HYPERLINK("https://klasma.github.io/Logging_0580/tillsyn/A 45317-2023 tillsynsbegäran.docx", "A 45317-2023")</f>
        <v/>
      </c>
      <c r="Y75">
        <f>HYPERLINK("https://klasma.github.io/Logging_0580/tillsynsmail/A 45317-2023 tillsynsbegäran mail.docx", "A 45317-2023")</f>
        <v/>
      </c>
    </row>
    <row r="76" ht="15" customHeight="1">
      <c r="A76" t="inlineStr">
        <is>
          <t>A 20295-2025</t>
        </is>
      </c>
      <c r="B76" s="1" t="n">
        <v>45774.74846064814</v>
      </c>
      <c r="C76" s="1" t="n">
        <v>46081</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59474-2025</t>
        </is>
      </c>
      <c r="B77" s="1" t="n">
        <v>45989.58512731481</v>
      </c>
      <c r="C77" s="1" t="n">
        <v>46081</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37683-2024</t>
        </is>
      </c>
      <c r="B78" s="1" t="n">
        <v>45541.59120370371</v>
      </c>
      <c r="C78" s="1" t="n">
        <v>46081</v>
      </c>
      <c r="D78" t="inlineStr">
        <is>
          <t>ÖSTERGÖTLANDS LÄN</t>
        </is>
      </c>
      <c r="E78" t="inlineStr">
        <is>
          <t>LINKÖPING</t>
        </is>
      </c>
      <c r="G78" t="n">
        <v>0.6</v>
      </c>
      <c r="H78" t="n">
        <v>0</v>
      </c>
      <c r="I78" t="n">
        <v>1</v>
      </c>
      <c r="J78" t="n">
        <v>0</v>
      </c>
      <c r="K78" t="n">
        <v>0</v>
      </c>
      <c r="L78" t="n">
        <v>0</v>
      </c>
      <c r="M78" t="n">
        <v>0</v>
      </c>
      <c r="N78" t="n">
        <v>0</v>
      </c>
      <c r="O78" t="n">
        <v>0</v>
      </c>
      <c r="P78" t="n">
        <v>0</v>
      </c>
      <c r="Q78" t="n">
        <v>1</v>
      </c>
      <c r="R78" s="2" t="inlineStr">
        <is>
          <t>Tibast</t>
        </is>
      </c>
      <c r="S78">
        <f>HYPERLINK("https://klasma.github.io/Logging_0580/artfynd/A 37683-2024 artfynd.xlsx", "A 37683-2024")</f>
        <v/>
      </c>
      <c r="T78">
        <f>HYPERLINK("https://klasma.github.io/Logging_0580/kartor/A 37683-2024 karta.png", "A 37683-2024")</f>
        <v/>
      </c>
      <c r="V78">
        <f>HYPERLINK("https://klasma.github.io/Logging_0580/klagomål/A 37683-2024 FSC-klagomål.docx", "A 37683-2024")</f>
        <v/>
      </c>
      <c r="W78">
        <f>HYPERLINK("https://klasma.github.io/Logging_0580/klagomålsmail/A 37683-2024 FSC-klagomål mail.docx", "A 37683-2024")</f>
        <v/>
      </c>
      <c r="X78">
        <f>HYPERLINK("https://klasma.github.io/Logging_0580/tillsyn/A 37683-2024 tillsynsbegäran.docx", "A 37683-2024")</f>
        <v/>
      </c>
      <c r="Y78">
        <f>HYPERLINK("https://klasma.github.io/Logging_0580/tillsynsmail/A 37683-2024 tillsynsbegäran mail.docx", "A 37683-2024")</f>
        <v/>
      </c>
    </row>
    <row r="79" ht="15" customHeight="1">
      <c r="A79" t="inlineStr">
        <is>
          <t>A 60311-2025</t>
        </is>
      </c>
      <c r="B79" s="1" t="n">
        <v>45994</v>
      </c>
      <c r="C79" s="1" t="n">
        <v>46081</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Gammelekslav</t>
        </is>
      </c>
      <c r="S79">
        <f>HYPERLINK("https://klasma.github.io/Logging_0580/artfynd/A 60311-2025 artfynd.xlsx", "A 60311-2025")</f>
        <v/>
      </c>
      <c r="T79">
        <f>HYPERLINK("https://klasma.github.io/Logging_0580/kartor/A 60311-2025 karta.png", "A 60311-2025")</f>
        <v/>
      </c>
      <c r="V79">
        <f>HYPERLINK("https://klasma.github.io/Logging_0580/klagomål/A 60311-2025 FSC-klagomål.docx", "A 60311-2025")</f>
        <v/>
      </c>
      <c r="W79">
        <f>HYPERLINK("https://klasma.github.io/Logging_0580/klagomålsmail/A 60311-2025 FSC-klagomål mail.docx", "A 60311-2025")</f>
        <v/>
      </c>
      <c r="X79">
        <f>HYPERLINK("https://klasma.github.io/Logging_0580/tillsyn/A 60311-2025 tillsynsbegäran.docx", "A 60311-2025")</f>
        <v/>
      </c>
      <c r="Y79">
        <f>HYPERLINK("https://klasma.github.io/Logging_0580/tillsynsmail/A 60311-2025 tillsynsbegäran mail.docx", "A 60311-2025")</f>
        <v/>
      </c>
    </row>
    <row r="80" ht="15" customHeight="1">
      <c r="A80" t="inlineStr">
        <is>
          <t>A 35948-2023</t>
        </is>
      </c>
      <c r="B80" s="1" t="n">
        <v>45148</v>
      </c>
      <c r="C80" s="1" t="n">
        <v>46081</v>
      </c>
      <c r="D80" t="inlineStr">
        <is>
          <t>ÖSTERGÖTLANDS LÄN</t>
        </is>
      </c>
      <c r="E80" t="inlineStr">
        <is>
          <t>LINKÖPING</t>
        </is>
      </c>
      <c r="G80" t="n">
        <v>1.9</v>
      </c>
      <c r="H80" t="n">
        <v>0</v>
      </c>
      <c r="I80" t="n">
        <v>1</v>
      </c>
      <c r="J80" t="n">
        <v>0</v>
      </c>
      <c r="K80" t="n">
        <v>0</v>
      </c>
      <c r="L80" t="n">
        <v>0</v>
      </c>
      <c r="M80" t="n">
        <v>0</v>
      </c>
      <c r="N80" t="n">
        <v>0</v>
      </c>
      <c r="O80" t="n">
        <v>0</v>
      </c>
      <c r="P80" t="n">
        <v>0</v>
      </c>
      <c r="Q80" t="n">
        <v>1</v>
      </c>
      <c r="R80" s="2" t="inlineStr">
        <is>
          <t>Brun nållav</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56651-2023</t>
        </is>
      </c>
      <c r="B81" s="1" t="n">
        <v>45243</v>
      </c>
      <c r="C81" s="1" t="n">
        <v>46081</v>
      </c>
      <c r="D81" t="inlineStr">
        <is>
          <t>ÖSTERGÖTLANDS LÄN</t>
        </is>
      </c>
      <c r="E81" t="inlineStr">
        <is>
          <t>LINKÖPING</t>
        </is>
      </c>
      <c r="F81" t="inlineStr">
        <is>
          <t>Övriga Aktiebolag</t>
        </is>
      </c>
      <c r="G81" t="n">
        <v>2.3</v>
      </c>
      <c r="H81" t="n">
        <v>0</v>
      </c>
      <c r="I81" t="n">
        <v>0</v>
      </c>
      <c r="J81" t="n">
        <v>1</v>
      </c>
      <c r="K81" t="n">
        <v>0</v>
      </c>
      <c r="L81" t="n">
        <v>0</v>
      </c>
      <c r="M81" t="n">
        <v>0</v>
      </c>
      <c r="N81" t="n">
        <v>0</v>
      </c>
      <c r="O81" t="n">
        <v>1</v>
      </c>
      <c r="P81" t="n">
        <v>0</v>
      </c>
      <c r="Q81" t="n">
        <v>1</v>
      </c>
      <c r="R81" s="2" t="inlineStr">
        <is>
          <t>Gul dropplav</t>
        </is>
      </c>
      <c r="S81">
        <f>HYPERLINK("https://klasma.github.io/Logging_0580/artfynd/A 56651-2023 artfynd.xlsx", "A 56651-2023")</f>
        <v/>
      </c>
      <c r="T81">
        <f>HYPERLINK("https://klasma.github.io/Logging_0580/kartor/A 56651-2023 karta.png", "A 56651-2023")</f>
        <v/>
      </c>
      <c r="V81">
        <f>HYPERLINK("https://klasma.github.io/Logging_0580/klagomål/A 56651-2023 FSC-klagomål.docx", "A 56651-2023")</f>
        <v/>
      </c>
      <c r="W81">
        <f>HYPERLINK("https://klasma.github.io/Logging_0580/klagomålsmail/A 56651-2023 FSC-klagomål mail.docx", "A 56651-2023")</f>
        <v/>
      </c>
      <c r="X81">
        <f>HYPERLINK("https://klasma.github.io/Logging_0580/tillsyn/A 56651-2023 tillsynsbegäran.docx", "A 56651-2023")</f>
        <v/>
      </c>
      <c r="Y81">
        <f>HYPERLINK("https://klasma.github.io/Logging_0580/tillsynsmail/A 56651-2023 tillsynsbegäran mail.docx", "A 56651-2023")</f>
        <v/>
      </c>
    </row>
    <row r="82" ht="15" customHeight="1">
      <c r="A82" t="inlineStr">
        <is>
          <t>A 59948-2022</t>
        </is>
      </c>
      <c r="B82" s="1" t="n">
        <v>44909</v>
      </c>
      <c r="C82" s="1" t="n">
        <v>46081</v>
      </c>
      <c r="D82" t="inlineStr">
        <is>
          <t>ÖSTERGÖTLANDS LÄN</t>
        </is>
      </c>
      <c r="E82" t="inlineStr">
        <is>
          <t>LINKÖPING</t>
        </is>
      </c>
      <c r="G82" t="n">
        <v>6.7</v>
      </c>
      <c r="H82" t="n">
        <v>0</v>
      </c>
      <c r="I82" t="n">
        <v>0</v>
      </c>
      <c r="J82" t="n">
        <v>0</v>
      </c>
      <c r="K82" t="n">
        <v>0</v>
      </c>
      <c r="L82" t="n">
        <v>0</v>
      </c>
      <c r="M82" t="n">
        <v>1</v>
      </c>
      <c r="N82" t="n">
        <v>0</v>
      </c>
      <c r="O82" t="n">
        <v>1</v>
      </c>
      <c r="P82" t="n">
        <v>1</v>
      </c>
      <c r="Q82" t="n">
        <v>1</v>
      </c>
      <c r="R82" s="2" t="inlineStr">
        <is>
          <t>Skogsalm</t>
        </is>
      </c>
      <c r="S82">
        <f>HYPERLINK("https://klasma.github.io/Logging_0580/artfynd/A 59948-2022 artfynd.xlsx", "A 59948-2022")</f>
        <v/>
      </c>
      <c r="T82">
        <f>HYPERLINK("https://klasma.github.io/Logging_0580/kartor/A 59948-2022 karta.png", "A 59948-2022")</f>
        <v/>
      </c>
      <c r="V82">
        <f>HYPERLINK("https://klasma.github.io/Logging_0580/klagomål/A 59948-2022 FSC-klagomål.docx", "A 59948-2022")</f>
        <v/>
      </c>
      <c r="W82">
        <f>HYPERLINK("https://klasma.github.io/Logging_0580/klagomålsmail/A 59948-2022 FSC-klagomål mail.docx", "A 59948-2022")</f>
        <v/>
      </c>
      <c r="X82">
        <f>HYPERLINK("https://klasma.github.io/Logging_0580/tillsyn/A 59948-2022 tillsynsbegäran.docx", "A 59948-2022")</f>
        <v/>
      </c>
      <c r="Y82">
        <f>HYPERLINK("https://klasma.github.io/Logging_0580/tillsynsmail/A 59948-2022 tillsynsbegäran mail.docx", "A 59948-2022")</f>
        <v/>
      </c>
    </row>
    <row r="83" ht="15" customHeight="1">
      <c r="A83" t="inlineStr">
        <is>
          <t>A 7186-2026</t>
        </is>
      </c>
      <c r="B83" s="1" t="n">
        <v>46058.49090277778</v>
      </c>
      <c r="C83" s="1" t="n">
        <v>46081</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39457-2023</t>
        </is>
      </c>
      <c r="B84" s="1" t="n">
        <v>45166</v>
      </c>
      <c r="C84" s="1" t="n">
        <v>46081</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62071-2023</t>
        </is>
      </c>
      <c r="B85" s="1" t="n">
        <v>45266.73542824074</v>
      </c>
      <c r="C85" s="1" t="n">
        <v>46081</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46081</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17444-2025</t>
        </is>
      </c>
      <c r="B87" s="1" t="n">
        <v>45757.43452546297</v>
      </c>
      <c r="C87" s="1" t="n">
        <v>46081</v>
      </c>
      <c r="D87" t="inlineStr">
        <is>
          <t>ÖSTERGÖTLANDS LÄN</t>
        </is>
      </c>
      <c r="E87" t="inlineStr">
        <is>
          <t>LINKÖPING</t>
        </is>
      </c>
      <c r="G87" t="n">
        <v>1.3</v>
      </c>
      <c r="H87" t="n">
        <v>1</v>
      </c>
      <c r="I87" t="n">
        <v>0</v>
      </c>
      <c r="J87" t="n">
        <v>1</v>
      </c>
      <c r="K87" t="n">
        <v>0</v>
      </c>
      <c r="L87" t="n">
        <v>0</v>
      </c>
      <c r="M87" t="n">
        <v>0</v>
      </c>
      <c r="N87" t="n">
        <v>0</v>
      </c>
      <c r="O87" t="n">
        <v>1</v>
      </c>
      <c r="P87" t="n">
        <v>0</v>
      </c>
      <c r="Q87" t="n">
        <v>1</v>
      </c>
      <c r="R87" s="2" t="inlineStr">
        <is>
          <t>Dårgräsfjäril</t>
        </is>
      </c>
      <c r="S87">
        <f>HYPERLINK("https://klasma.github.io/Logging_0580/artfynd/A 17444-2025 artfynd.xlsx", "A 17444-2025")</f>
        <v/>
      </c>
      <c r="T87">
        <f>HYPERLINK("https://klasma.github.io/Logging_0580/kartor/A 17444-2025 karta.png", "A 17444-2025")</f>
        <v/>
      </c>
      <c r="V87">
        <f>HYPERLINK("https://klasma.github.io/Logging_0580/klagomål/A 17444-2025 FSC-klagomål.docx", "A 17444-2025")</f>
        <v/>
      </c>
      <c r="W87">
        <f>HYPERLINK("https://klasma.github.io/Logging_0580/klagomålsmail/A 17444-2025 FSC-klagomål mail.docx", "A 17444-2025")</f>
        <v/>
      </c>
      <c r="X87">
        <f>HYPERLINK("https://klasma.github.io/Logging_0580/tillsyn/A 17444-2025 tillsynsbegäran.docx", "A 17444-2025")</f>
        <v/>
      </c>
      <c r="Y87">
        <f>HYPERLINK("https://klasma.github.io/Logging_0580/tillsynsmail/A 17444-2025 tillsynsbegäran mail.docx", "A 17444-2025")</f>
        <v/>
      </c>
    </row>
    <row r="88" ht="15" customHeight="1">
      <c r="A88" t="inlineStr">
        <is>
          <t>A 40309-2024</t>
        </is>
      </c>
      <c r="B88" s="1" t="n">
        <v>45554.724375</v>
      </c>
      <c r="C88" s="1" t="n">
        <v>46081</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15290-2025</t>
        </is>
      </c>
      <c r="B89" s="1" t="n">
        <v>45745.45288194445</v>
      </c>
      <c r="C89" s="1" t="n">
        <v>46081</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1716-2023</t>
        </is>
      </c>
      <c r="B90" s="1" t="n">
        <v>44938</v>
      </c>
      <c r="C90" s="1" t="n">
        <v>46081</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1716-2023 artfynd.xlsx", "A 1716-2023")</f>
        <v/>
      </c>
      <c r="T90">
        <f>HYPERLINK("https://klasma.github.io/Logging_0580/kartor/A 1716-2023 karta.png", "A 1716-2023")</f>
        <v/>
      </c>
      <c r="V90">
        <f>HYPERLINK("https://klasma.github.io/Logging_0580/klagomål/A 1716-2023 FSC-klagomål.docx", "A 1716-2023")</f>
        <v/>
      </c>
      <c r="W90">
        <f>HYPERLINK("https://klasma.github.io/Logging_0580/klagomålsmail/A 1716-2023 FSC-klagomål mail.docx", "A 1716-2023")</f>
        <v/>
      </c>
      <c r="X90">
        <f>HYPERLINK("https://klasma.github.io/Logging_0580/tillsyn/A 1716-2023 tillsynsbegäran.docx", "A 1716-2023")</f>
        <v/>
      </c>
      <c r="Y90">
        <f>HYPERLINK("https://klasma.github.io/Logging_0580/tillsynsmail/A 1716-2023 tillsynsbegäran mail.docx", "A 1716-2023")</f>
        <v/>
      </c>
    </row>
    <row r="91" ht="15" customHeight="1">
      <c r="A91" t="inlineStr">
        <is>
          <t>A 931-2025</t>
        </is>
      </c>
      <c r="B91" s="1" t="n">
        <v>45665.88498842593</v>
      </c>
      <c r="C91" s="1" t="n">
        <v>46081</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126-2024</t>
        </is>
      </c>
      <c r="B92" s="1" t="n">
        <v>45294</v>
      </c>
      <c r="C92" s="1" t="n">
        <v>46081</v>
      </c>
      <c r="D92" t="inlineStr">
        <is>
          <t>ÖSTERGÖTLANDS LÄN</t>
        </is>
      </c>
      <c r="E92" t="inlineStr">
        <is>
          <t>LINKÖPING</t>
        </is>
      </c>
      <c r="G92" t="n">
        <v>1</v>
      </c>
      <c r="H92" t="n">
        <v>0</v>
      </c>
      <c r="I92" t="n">
        <v>1</v>
      </c>
      <c r="J92" t="n">
        <v>0</v>
      </c>
      <c r="K92" t="n">
        <v>0</v>
      </c>
      <c r="L92" t="n">
        <v>0</v>
      </c>
      <c r="M92" t="n">
        <v>0</v>
      </c>
      <c r="N92" t="n">
        <v>0</v>
      </c>
      <c r="O92" t="n">
        <v>0</v>
      </c>
      <c r="P92" t="n">
        <v>0</v>
      </c>
      <c r="Q92" t="n">
        <v>1</v>
      </c>
      <c r="R92" s="2" t="inlineStr">
        <is>
          <t>Blåmossa</t>
        </is>
      </c>
      <c r="S92">
        <f>HYPERLINK("https://klasma.github.io/Logging_0580/artfynd/A 126-2024 artfynd.xlsx", "A 126-2024")</f>
        <v/>
      </c>
      <c r="T92">
        <f>HYPERLINK("https://klasma.github.io/Logging_0580/kartor/A 126-2024 karta.png", "A 126-2024")</f>
        <v/>
      </c>
      <c r="V92">
        <f>HYPERLINK("https://klasma.github.io/Logging_0580/klagomål/A 126-2024 FSC-klagomål.docx", "A 126-2024")</f>
        <v/>
      </c>
      <c r="W92">
        <f>HYPERLINK("https://klasma.github.io/Logging_0580/klagomålsmail/A 126-2024 FSC-klagomål mail.docx", "A 126-2024")</f>
        <v/>
      </c>
      <c r="X92">
        <f>HYPERLINK("https://klasma.github.io/Logging_0580/tillsyn/A 126-2024 tillsynsbegäran.docx", "A 126-2024")</f>
        <v/>
      </c>
      <c r="Y92">
        <f>HYPERLINK("https://klasma.github.io/Logging_0580/tillsynsmail/A 126-2024 tillsynsbegäran mail.docx", "A 126-2024")</f>
        <v/>
      </c>
    </row>
    <row r="93" ht="15" customHeight="1">
      <c r="A93" t="inlineStr">
        <is>
          <t>A 3395-2023</t>
        </is>
      </c>
      <c r="B93" s="1" t="n">
        <v>44949</v>
      </c>
      <c r="C93" s="1" t="n">
        <v>46081</v>
      </c>
      <c r="D93" t="inlineStr">
        <is>
          <t>ÖSTERGÖTLANDS LÄN</t>
        </is>
      </c>
      <c r="E93" t="inlineStr">
        <is>
          <t>LINKÖPING</t>
        </is>
      </c>
      <c r="G93" t="n">
        <v>2</v>
      </c>
      <c r="H93" t="n">
        <v>0</v>
      </c>
      <c r="I93" t="n">
        <v>0</v>
      </c>
      <c r="J93" t="n">
        <v>1</v>
      </c>
      <c r="K93" t="n">
        <v>0</v>
      </c>
      <c r="L93" t="n">
        <v>0</v>
      </c>
      <c r="M93" t="n">
        <v>0</v>
      </c>
      <c r="N93" t="n">
        <v>0</v>
      </c>
      <c r="O93" t="n">
        <v>1</v>
      </c>
      <c r="P93" t="n">
        <v>0</v>
      </c>
      <c r="Q93" t="n">
        <v>1</v>
      </c>
      <c r="R93" s="2" t="inlineStr">
        <is>
          <t>Sommarfibbla</t>
        </is>
      </c>
      <c r="S93">
        <f>HYPERLINK("https://klasma.github.io/Logging_0580/artfynd/A 3395-2023 artfynd.xlsx", "A 3395-2023")</f>
        <v/>
      </c>
      <c r="T93">
        <f>HYPERLINK("https://klasma.github.io/Logging_0580/kartor/A 3395-2023 karta.png", "A 3395-2023")</f>
        <v/>
      </c>
      <c r="V93">
        <f>HYPERLINK("https://klasma.github.io/Logging_0580/klagomål/A 3395-2023 FSC-klagomål.docx", "A 3395-2023")</f>
        <v/>
      </c>
      <c r="W93">
        <f>HYPERLINK("https://klasma.github.io/Logging_0580/klagomålsmail/A 3395-2023 FSC-klagomål mail.docx", "A 3395-2023")</f>
        <v/>
      </c>
      <c r="X93">
        <f>HYPERLINK("https://klasma.github.io/Logging_0580/tillsyn/A 3395-2023 tillsynsbegäran.docx", "A 3395-2023")</f>
        <v/>
      </c>
      <c r="Y93">
        <f>HYPERLINK("https://klasma.github.io/Logging_0580/tillsynsmail/A 3395-2023 tillsynsbegäran mail.docx", "A 3395-2023")</f>
        <v/>
      </c>
    </row>
    <row r="94" ht="15" customHeight="1">
      <c r="A94" t="inlineStr">
        <is>
          <t>A 3397-2023</t>
        </is>
      </c>
      <c r="B94" s="1" t="n">
        <v>44949</v>
      </c>
      <c r="C94" s="1" t="n">
        <v>46081</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41749-2023</t>
        </is>
      </c>
      <c r="B95" s="1" t="n">
        <v>45176</v>
      </c>
      <c r="C95" s="1" t="n">
        <v>46081</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38881-2021</t>
        </is>
      </c>
      <c r="B96" s="1" t="n">
        <v>44411.46893518518</v>
      </c>
      <c r="C96" s="1" t="n">
        <v>46081</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46081</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46081</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46081</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46081</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46081</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46081</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46081</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46081</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46081</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46081</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46081</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46081</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46081</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46081</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46081</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46081</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46081</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46081</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46081</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46081</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46081</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46081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46081</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46081</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46081</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46081</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46081</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46081</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46081</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46081</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46081</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46081</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46081</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46081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46081</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46081</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46081</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46081</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46081</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46081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46081</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46081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46081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46081</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46081</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46081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46081</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46081</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46081</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46081</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46081</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46081</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46081</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46081</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46081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46081</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46081</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46081</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46081</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46081</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46081</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46081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46081</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46081</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46081</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46081</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46081</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46081</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46081</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46081</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46081</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46081</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46081</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46081</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46081</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46081</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46081</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46081</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46081</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46081</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46081</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46081</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46081</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46081</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46081</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46081</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46081</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46081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46081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46081</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46081</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46081</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46081</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46081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46081</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46081</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46081</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46081</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46081</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46081</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46081</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12035-2025</t>
        </is>
      </c>
      <c r="B199" s="1" t="n">
        <v>45728.64946759259</v>
      </c>
      <c r="C199" s="1" t="n">
        <v>46081</v>
      </c>
      <c r="D199" t="inlineStr">
        <is>
          <t>ÖSTERGÖTLANDS LÄN</t>
        </is>
      </c>
      <c r="E199" t="inlineStr">
        <is>
          <t>LINKÖPING</t>
        </is>
      </c>
      <c r="G199" t="n">
        <v>3.7</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46081</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46081</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46081</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46081</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46081</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46081</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46081</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46081</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17157-2024</t>
        </is>
      </c>
      <c r="B208" s="1" t="n">
        <v>45412.70567129629</v>
      </c>
      <c r="C208" s="1" t="n">
        <v>46081</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46081</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46081</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46225-2021</t>
        </is>
      </c>
      <c r="B211" s="1" t="n">
        <v>44442</v>
      </c>
      <c r="C211" s="1" t="n">
        <v>46081</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54428-2022</t>
        </is>
      </c>
      <c r="B212" s="1" t="n">
        <v>44882.57643518518</v>
      </c>
      <c r="C212" s="1" t="n">
        <v>46081</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48962-2022</t>
        </is>
      </c>
      <c r="B213" s="1" t="n">
        <v>44860.31635416667</v>
      </c>
      <c r="C213" s="1" t="n">
        <v>46081</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46081</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46081</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46081</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18916-2024</t>
        </is>
      </c>
      <c r="B217" s="1" t="n">
        <v>45427.39541666667</v>
      </c>
      <c r="C217" s="1" t="n">
        <v>46081</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24586-2024</t>
        </is>
      </c>
      <c r="B218" s="1" t="n">
        <v>45460.46664351852</v>
      </c>
      <c r="C218" s="1" t="n">
        <v>46081</v>
      </c>
      <c r="D218" t="inlineStr">
        <is>
          <t>ÖSTERGÖTLANDS LÄN</t>
        </is>
      </c>
      <c r="E218" t="inlineStr">
        <is>
          <t>LINKÖPING</t>
        </is>
      </c>
      <c r="G218" t="n">
        <v>4</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46081</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46081</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46081</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10407-2025</t>
        </is>
      </c>
      <c r="B222" s="1" t="n">
        <v>45720.62863425926</v>
      </c>
      <c r="C222" s="1" t="n">
        <v>46081</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39017-2021</t>
        </is>
      </c>
      <c r="B223" s="1" t="n">
        <v>44412</v>
      </c>
      <c r="C223" s="1" t="n">
        <v>46081</v>
      </c>
      <c r="D223" t="inlineStr">
        <is>
          <t>ÖSTERGÖTLANDS LÄN</t>
        </is>
      </c>
      <c r="E223" t="inlineStr">
        <is>
          <t>LINKÖPING</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16820-2024</t>
        </is>
      </c>
      <c r="B224" s="1" t="n">
        <v>45411.46809027778</v>
      </c>
      <c r="C224" s="1" t="n">
        <v>46081</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30980-2022</t>
        </is>
      </c>
      <c r="B225" s="1" t="n">
        <v>44768</v>
      </c>
      <c r="C225" s="1" t="n">
        <v>46081</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46081</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49979-2022</t>
        </is>
      </c>
      <c r="B227" s="1" t="n">
        <v>44865</v>
      </c>
      <c r="C227" s="1" t="n">
        <v>46081</v>
      </c>
      <c r="D227" t="inlineStr">
        <is>
          <t>ÖSTERGÖTLANDS LÄN</t>
        </is>
      </c>
      <c r="E227" t="inlineStr">
        <is>
          <t>LINKÖPING</t>
        </is>
      </c>
      <c r="F227" t="inlineStr">
        <is>
          <t>Övriga Aktiebolag</t>
        </is>
      </c>
      <c r="G227" t="n">
        <v>11.4</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46081</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46081</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53827-2023</t>
        </is>
      </c>
      <c r="B230" s="1" t="n">
        <v>45230</v>
      </c>
      <c r="C230" s="1" t="n">
        <v>46081</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46081</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46081</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3530-2024</t>
        </is>
      </c>
      <c r="B233" s="1" t="n">
        <v>45320.54717592592</v>
      </c>
      <c r="C233" s="1" t="n">
        <v>46081</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46081</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46081</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6782-2024</t>
        </is>
      </c>
      <c r="B236" s="1" t="n">
        <v>45342</v>
      </c>
      <c r="C236" s="1" t="n">
        <v>46081</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63489-2023</t>
        </is>
      </c>
      <c r="B237" s="1" t="n">
        <v>45274.66761574074</v>
      </c>
      <c r="C237" s="1" t="n">
        <v>46081</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46081</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670-2024</t>
        </is>
      </c>
      <c r="B239" s="1" t="n">
        <v>45300.3408912037</v>
      </c>
      <c r="C239" s="1" t="n">
        <v>46081</v>
      </c>
      <c r="D239" t="inlineStr">
        <is>
          <t>ÖSTERGÖTLANDS LÄN</t>
        </is>
      </c>
      <c r="E239" t="inlineStr">
        <is>
          <t>LINKÖPING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52125-2022</t>
        </is>
      </c>
      <c r="B240" s="1" t="n">
        <v>44873</v>
      </c>
      <c r="C240" s="1" t="n">
        <v>46081</v>
      </c>
      <c r="D240" t="inlineStr">
        <is>
          <t>ÖSTERGÖTLANDS LÄN</t>
        </is>
      </c>
      <c r="E240" t="inlineStr">
        <is>
          <t>LINKÖPING</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940-2023</t>
        </is>
      </c>
      <c r="B241" s="1" t="n">
        <v>44933</v>
      </c>
      <c r="C241" s="1" t="n">
        <v>46081</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70-2024</t>
        </is>
      </c>
      <c r="B242" s="1" t="n">
        <v>45293</v>
      </c>
      <c r="C242" s="1" t="n">
        <v>46081</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1084-2023</t>
        </is>
      </c>
      <c r="B243" s="1" t="n">
        <v>44929</v>
      </c>
      <c r="C243" s="1" t="n">
        <v>46081</v>
      </c>
      <c r="D243" t="inlineStr">
        <is>
          <t>ÖSTERGÖTLANDS LÄN</t>
        </is>
      </c>
      <c r="E243" t="inlineStr">
        <is>
          <t>LINKÖPING</t>
        </is>
      </c>
      <c r="G243" t="n">
        <v>10.4</v>
      </c>
      <c r="H243" t="n">
        <v>0</v>
      </c>
      <c r="I243" t="n">
        <v>0</v>
      </c>
      <c r="J243" t="n">
        <v>0</v>
      </c>
      <c r="K243" t="n">
        <v>0</v>
      </c>
      <c r="L243" t="n">
        <v>0</v>
      </c>
      <c r="M243" t="n">
        <v>0</v>
      </c>
      <c r="N243" t="n">
        <v>0</v>
      </c>
      <c r="O243" t="n">
        <v>0</v>
      </c>
      <c r="P243" t="n">
        <v>0</v>
      </c>
      <c r="Q243" t="n">
        <v>0</v>
      </c>
      <c r="R243" s="2" t="inlineStr"/>
    </row>
    <row r="244" ht="15" customHeight="1">
      <c r="A244" t="inlineStr">
        <is>
          <t>A 56917-2022</t>
        </is>
      </c>
      <c r="B244" s="1" t="n">
        <v>44894</v>
      </c>
      <c r="C244" s="1" t="n">
        <v>46081</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29859-2024</t>
        </is>
      </c>
      <c r="B245" s="1" t="n">
        <v>45485.6846412037</v>
      </c>
      <c r="C245" s="1" t="n">
        <v>46081</v>
      </c>
      <c r="D245" t="inlineStr">
        <is>
          <t>ÖSTERGÖTLANDS LÄN</t>
        </is>
      </c>
      <c r="E245" t="inlineStr">
        <is>
          <t>LINKÖPING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51571-2024</t>
        </is>
      </c>
      <c r="B246" s="1" t="n">
        <v>45604</v>
      </c>
      <c r="C246" s="1" t="n">
        <v>46081</v>
      </c>
      <c r="D246" t="inlineStr">
        <is>
          <t>ÖSTERGÖTLANDS LÄN</t>
        </is>
      </c>
      <c r="E246" t="inlineStr">
        <is>
          <t>LINKÖPING</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223-2024</t>
        </is>
      </c>
      <c r="B247" s="1" t="n">
        <v>45294.72739583333</v>
      </c>
      <c r="C247" s="1" t="n">
        <v>46081</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227-2024</t>
        </is>
      </c>
      <c r="B248" s="1" t="n">
        <v>45294.73603009259</v>
      </c>
      <c r="C248" s="1" t="n">
        <v>46081</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1265-2023</t>
        </is>
      </c>
      <c r="B249" s="1" t="n">
        <v>44936</v>
      </c>
      <c r="C249" s="1" t="n">
        <v>46081</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1362-2023</t>
        </is>
      </c>
      <c r="B250" s="1" t="n">
        <v>44931</v>
      </c>
      <c r="C250" s="1" t="n">
        <v>46081</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54034-2022</t>
        </is>
      </c>
      <c r="B251" s="1" t="n">
        <v>44881</v>
      </c>
      <c r="C251" s="1" t="n">
        <v>46081</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6054-2022</t>
        </is>
      </c>
      <c r="B252" s="1" t="n">
        <v>44599.53623842593</v>
      </c>
      <c r="C252" s="1" t="n">
        <v>46081</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55493-2021</t>
        </is>
      </c>
      <c r="B253" s="1" t="n">
        <v>44475.61988425926</v>
      </c>
      <c r="C253" s="1" t="n">
        <v>46081</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58114-2021</t>
        </is>
      </c>
      <c r="B254" s="1" t="n">
        <v>44487</v>
      </c>
      <c r="C254" s="1" t="n">
        <v>46081</v>
      </c>
      <c r="D254" t="inlineStr">
        <is>
          <t>ÖSTERGÖTLANDS LÄN</t>
        </is>
      </c>
      <c r="E254" t="inlineStr">
        <is>
          <t>LINKÖPING</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25119-2023</t>
        </is>
      </c>
      <c r="B255" s="1" t="n">
        <v>45086.42326388889</v>
      </c>
      <c r="C255" s="1" t="n">
        <v>46081</v>
      </c>
      <c r="D255" t="inlineStr">
        <is>
          <t>ÖSTERGÖTLANDS LÄN</t>
        </is>
      </c>
      <c r="E255" t="inlineStr">
        <is>
          <t>LINKÖPING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7992-2023</t>
        </is>
      </c>
      <c r="B256" s="1" t="n">
        <v>44970</v>
      </c>
      <c r="C256" s="1" t="n">
        <v>46081</v>
      </c>
      <c r="D256" t="inlineStr">
        <is>
          <t>ÖSTERGÖTLANDS LÄN</t>
        </is>
      </c>
      <c r="E256" t="inlineStr">
        <is>
          <t>LINKÖPING</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46081</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46081</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4456-2024</t>
        </is>
      </c>
      <c r="B259" s="1" t="n">
        <v>45327.52847222222</v>
      </c>
      <c r="C259" s="1" t="n">
        <v>46081</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46081</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26002-2025</t>
        </is>
      </c>
      <c r="B261" s="1" t="n">
        <v>45804.66534722222</v>
      </c>
      <c r="C261" s="1" t="n">
        <v>46081</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46081</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46081</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61281-2021</t>
        </is>
      </c>
      <c r="B264" s="1" t="n">
        <v>44498.60736111111</v>
      </c>
      <c r="C264" s="1" t="n">
        <v>46081</v>
      </c>
      <c r="D264" t="inlineStr">
        <is>
          <t>ÖSTERGÖTLANDS LÄN</t>
        </is>
      </c>
      <c r="E264" t="inlineStr">
        <is>
          <t>LINKÖPING</t>
        </is>
      </c>
      <c r="G264" t="n">
        <v>4.5</v>
      </c>
      <c r="H264" t="n">
        <v>0</v>
      </c>
      <c r="I264" t="n">
        <v>0</v>
      </c>
      <c r="J264" t="n">
        <v>0</v>
      </c>
      <c r="K264" t="n">
        <v>0</v>
      </c>
      <c r="L264" t="n">
        <v>0</v>
      </c>
      <c r="M264" t="n">
        <v>0</v>
      </c>
      <c r="N264" t="n">
        <v>0</v>
      </c>
      <c r="O264" t="n">
        <v>0</v>
      </c>
      <c r="P264" t="n">
        <v>0</v>
      </c>
      <c r="Q264" t="n">
        <v>0</v>
      </c>
      <c r="R264" s="2" t="inlineStr"/>
    </row>
    <row r="265" ht="15" customHeight="1">
      <c r="A265" t="inlineStr">
        <is>
          <t>A 63935-2021</t>
        </is>
      </c>
      <c r="B265" s="1" t="n">
        <v>44509</v>
      </c>
      <c r="C265" s="1" t="n">
        <v>46081</v>
      </c>
      <c r="D265" t="inlineStr">
        <is>
          <t>ÖSTERGÖTLANDS LÄN</t>
        </is>
      </c>
      <c r="E265" t="inlineStr">
        <is>
          <t>LINKÖPING</t>
        </is>
      </c>
      <c r="F265" t="inlineStr">
        <is>
          <t>Övriga statliga verk och myndigheter</t>
        </is>
      </c>
      <c r="G265" t="n">
        <v>2.8</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46081</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11084-2022</t>
        </is>
      </c>
      <c r="B267" s="1" t="n">
        <v>44628</v>
      </c>
      <c r="C267" s="1" t="n">
        <v>46081</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39074-2025</t>
        </is>
      </c>
      <c r="B268" s="1" t="n">
        <v>45888</v>
      </c>
      <c r="C268" s="1" t="n">
        <v>46081</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57745-2022</t>
        </is>
      </c>
      <c r="B269" s="1" t="n">
        <v>44897.58119212963</v>
      </c>
      <c r="C269" s="1" t="n">
        <v>46081</v>
      </c>
      <c r="D269" t="inlineStr">
        <is>
          <t>ÖSTERGÖTLANDS LÄN</t>
        </is>
      </c>
      <c r="E269" t="inlineStr">
        <is>
          <t>LINKÖPING</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14520-2025</t>
        </is>
      </c>
      <c r="B270" s="1" t="n">
        <v>45741</v>
      </c>
      <c r="C270" s="1" t="n">
        <v>46081</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46081</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46081</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56064-2022</t>
        </is>
      </c>
      <c r="B273" s="1" t="n">
        <v>44889.59107638889</v>
      </c>
      <c r="C273" s="1" t="n">
        <v>46081</v>
      </c>
      <c r="D273" t="inlineStr">
        <is>
          <t>ÖSTERGÖTLANDS LÄN</t>
        </is>
      </c>
      <c r="E273" t="inlineStr">
        <is>
          <t>LINKÖPING</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40502-2024</t>
        </is>
      </c>
      <c r="B274" s="1" t="n">
        <v>45555.57263888889</v>
      </c>
      <c r="C274" s="1" t="n">
        <v>46081</v>
      </c>
      <c r="D274" t="inlineStr">
        <is>
          <t>ÖSTERGÖTLANDS LÄN</t>
        </is>
      </c>
      <c r="E274" t="inlineStr">
        <is>
          <t>LINKÖPING</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27264-2025</t>
        </is>
      </c>
      <c r="B275" s="1" t="n">
        <v>45812.4794212963</v>
      </c>
      <c r="C275" s="1" t="n">
        <v>46081</v>
      </c>
      <c r="D275" t="inlineStr">
        <is>
          <t>ÖSTERGÖTLANDS LÄN</t>
        </is>
      </c>
      <c r="E275" t="inlineStr">
        <is>
          <t>LINKÖPING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44155-2024</t>
        </is>
      </c>
      <c r="B276" s="1" t="n">
        <v>45572.68226851852</v>
      </c>
      <c r="C276" s="1" t="n">
        <v>46081</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39438-2025</t>
        </is>
      </c>
      <c r="B277" s="1" t="n">
        <v>45889.68641203704</v>
      </c>
      <c r="C277" s="1" t="n">
        <v>46081</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42997-2021</t>
        </is>
      </c>
      <c r="B278" s="1" t="n">
        <v>44431.45556712963</v>
      </c>
      <c r="C278" s="1" t="n">
        <v>46081</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28200-2025</t>
        </is>
      </c>
      <c r="B279" s="1" t="n">
        <v>45818.4428125</v>
      </c>
      <c r="C279" s="1" t="n">
        <v>46081</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27950-2025</t>
        </is>
      </c>
      <c r="B280" s="1" t="n">
        <v>45817.52960648148</v>
      </c>
      <c r="C280" s="1" t="n">
        <v>46081</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27797-2025</t>
        </is>
      </c>
      <c r="B281" s="1" t="n">
        <v>45816.80521990741</v>
      </c>
      <c r="C281" s="1" t="n">
        <v>46081</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27798-2025</t>
        </is>
      </c>
      <c r="B282" s="1" t="n">
        <v>45816.81532407407</v>
      </c>
      <c r="C282" s="1" t="n">
        <v>46081</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28209-2025</t>
        </is>
      </c>
      <c r="B283" s="1" t="n">
        <v>45818.45112268518</v>
      </c>
      <c r="C283" s="1" t="n">
        <v>46081</v>
      </c>
      <c r="D283" t="inlineStr">
        <is>
          <t>ÖSTERGÖTLANDS LÄN</t>
        </is>
      </c>
      <c r="E283" t="inlineStr">
        <is>
          <t>LINKÖPING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28204-2025</t>
        </is>
      </c>
      <c r="B284" s="1" t="n">
        <v>45818.4477662037</v>
      </c>
      <c r="C284" s="1" t="n">
        <v>46081</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40169-2025</t>
        </is>
      </c>
      <c r="B285" s="1" t="n">
        <v>45894.62824074074</v>
      </c>
      <c r="C285" s="1" t="n">
        <v>46081</v>
      </c>
      <c r="D285" t="inlineStr">
        <is>
          <t>ÖSTERGÖTLANDS LÄN</t>
        </is>
      </c>
      <c r="E285" t="inlineStr">
        <is>
          <t>LINKÖPING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28398-2025</t>
        </is>
      </c>
      <c r="B286" s="1" t="n">
        <v>45819.34208333334</v>
      </c>
      <c r="C286" s="1" t="n">
        <v>46081</v>
      </c>
      <c r="D286" t="inlineStr">
        <is>
          <t>ÖSTERGÖTLANDS LÄN</t>
        </is>
      </c>
      <c r="E286" t="inlineStr">
        <is>
          <t>LINKÖPING</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28416-2025</t>
        </is>
      </c>
      <c r="B287" s="1" t="n">
        <v>45819.35346064815</v>
      </c>
      <c r="C287" s="1" t="n">
        <v>46081</v>
      </c>
      <c r="D287" t="inlineStr">
        <is>
          <t>ÖSTERGÖTLANDS LÄN</t>
        </is>
      </c>
      <c r="E287" t="inlineStr">
        <is>
          <t>LINKÖPING</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14028-2024</t>
        </is>
      </c>
      <c r="B288" s="1" t="n">
        <v>45392</v>
      </c>
      <c r="C288" s="1" t="n">
        <v>46081</v>
      </c>
      <c r="D288" t="inlineStr">
        <is>
          <t>ÖSTERGÖTLANDS LÄN</t>
        </is>
      </c>
      <c r="E288" t="inlineStr">
        <is>
          <t>LINKÖPING</t>
        </is>
      </c>
      <c r="G288" t="n">
        <v>1.7</v>
      </c>
      <c r="H288" t="n">
        <v>0</v>
      </c>
      <c r="I288" t="n">
        <v>0</v>
      </c>
      <c r="J288" t="n">
        <v>0</v>
      </c>
      <c r="K288" t="n">
        <v>0</v>
      </c>
      <c r="L288" t="n">
        <v>0</v>
      </c>
      <c r="M288" t="n">
        <v>0</v>
      </c>
      <c r="N288" t="n">
        <v>0</v>
      </c>
      <c r="O288" t="n">
        <v>0</v>
      </c>
      <c r="P288" t="n">
        <v>0</v>
      </c>
      <c r="Q288" t="n">
        <v>0</v>
      </c>
      <c r="R288" s="2" t="inlineStr"/>
    </row>
    <row r="289" ht="15" customHeight="1">
      <c r="A289" t="inlineStr">
        <is>
          <t>A 29027-2025</t>
        </is>
      </c>
      <c r="B289" s="1" t="n">
        <v>45821.4375462963</v>
      </c>
      <c r="C289" s="1" t="n">
        <v>46081</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29393-2025</t>
        </is>
      </c>
      <c r="B290" s="1" t="n">
        <v>45824.6057175926</v>
      </c>
      <c r="C290" s="1" t="n">
        <v>46081</v>
      </c>
      <c r="D290" t="inlineStr">
        <is>
          <t>ÖSTERGÖTLANDS LÄN</t>
        </is>
      </c>
      <c r="E290" t="inlineStr">
        <is>
          <t>LINKÖPING</t>
        </is>
      </c>
      <c r="F290" t="inlineStr">
        <is>
          <t>Sveaskog</t>
        </is>
      </c>
      <c r="G290" t="n">
        <v>24.6</v>
      </c>
      <c r="H290" t="n">
        <v>0</v>
      </c>
      <c r="I290" t="n">
        <v>0</v>
      </c>
      <c r="J290" t="n">
        <v>0</v>
      </c>
      <c r="K290" t="n">
        <v>0</v>
      </c>
      <c r="L290" t="n">
        <v>0</v>
      </c>
      <c r="M290" t="n">
        <v>0</v>
      </c>
      <c r="N290" t="n">
        <v>0</v>
      </c>
      <c r="O290" t="n">
        <v>0</v>
      </c>
      <c r="P290" t="n">
        <v>0</v>
      </c>
      <c r="Q290" t="n">
        <v>0</v>
      </c>
      <c r="R290" s="2" t="inlineStr"/>
    </row>
    <row r="291" ht="15" customHeight="1">
      <c r="A291" t="inlineStr">
        <is>
          <t>A 29411-2025</t>
        </is>
      </c>
      <c r="B291" s="1" t="n">
        <v>45824.6219212963</v>
      </c>
      <c r="C291" s="1" t="n">
        <v>46081</v>
      </c>
      <c r="D291" t="inlineStr">
        <is>
          <t>ÖSTERGÖTLANDS LÄN</t>
        </is>
      </c>
      <c r="E291" t="inlineStr">
        <is>
          <t>LINKÖPING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14667-2024</t>
        </is>
      </c>
      <c r="B292" s="1" t="n">
        <v>45397.42005787037</v>
      </c>
      <c r="C292" s="1" t="n">
        <v>46081</v>
      </c>
      <c r="D292" t="inlineStr">
        <is>
          <t>ÖSTERGÖTLANDS LÄN</t>
        </is>
      </c>
      <c r="E292" t="inlineStr">
        <is>
          <t>LINKÖPING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2697-2023</t>
        </is>
      </c>
      <c r="B293" s="1" t="n">
        <v>44944</v>
      </c>
      <c r="C293" s="1" t="n">
        <v>46081</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29599-2025</t>
        </is>
      </c>
      <c r="B294" s="1" t="n">
        <v>45825.41101851852</v>
      </c>
      <c r="C294" s="1" t="n">
        <v>46081</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53641-2023</t>
        </is>
      </c>
      <c r="B295" s="1" t="n">
        <v>45230</v>
      </c>
      <c r="C295" s="1" t="n">
        <v>46081</v>
      </c>
      <c r="D295" t="inlineStr">
        <is>
          <t>ÖSTERGÖTLANDS LÄN</t>
        </is>
      </c>
      <c r="E295" t="inlineStr">
        <is>
          <t>LINKÖPING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48707-2023</t>
        </is>
      </c>
      <c r="B296" s="1" t="n">
        <v>45202</v>
      </c>
      <c r="C296" s="1" t="n">
        <v>46081</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53411-2023</t>
        </is>
      </c>
      <c r="B297" s="1" t="n">
        <v>45229.81049768518</v>
      </c>
      <c r="C297" s="1" t="n">
        <v>46081</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56741-2023</t>
        </is>
      </c>
      <c r="B298" s="1" t="n">
        <v>45244</v>
      </c>
      <c r="C298" s="1" t="n">
        <v>46081</v>
      </c>
      <c r="D298" t="inlineStr">
        <is>
          <t>ÖSTERGÖTLANDS LÄN</t>
        </is>
      </c>
      <c r="E298" t="inlineStr">
        <is>
          <t>LINKÖPING</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56792-2023</t>
        </is>
      </c>
      <c r="B299" s="1" t="n">
        <v>45244</v>
      </c>
      <c r="C299" s="1" t="n">
        <v>46081</v>
      </c>
      <c r="D299" t="inlineStr">
        <is>
          <t>ÖSTERGÖTLANDS LÄN</t>
        </is>
      </c>
      <c r="E299" t="inlineStr">
        <is>
          <t>LINKÖPING</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3007-2023</t>
        </is>
      </c>
      <c r="B300" s="1" t="n">
        <v>44945</v>
      </c>
      <c r="C300" s="1" t="n">
        <v>46081</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40338-2024</t>
        </is>
      </c>
      <c r="B301" s="1" t="n">
        <v>45555.32940972222</v>
      </c>
      <c r="C301" s="1" t="n">
        <v>46081</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3013-2023</t>
        </is>
      </c>
      <c r="B302" s="1" t="n">
        <v>44945.8092824074</v>
      </c>
      <c r="C302" s="1" t="n">
        <v>46081</v>
      </c>
      <c r="D302" t="inlineStr">
        <is>
          <t>ÖSTERGÖTLANDS LÄN</t>
        </is>
      </c>
      <c r="E302" t="inlineStr">
        <is>
          <t>LINKÖPING</t>
        </is>
      </c>
      <c r="G302" t="n">
        <v>5.2</v>
      </c>
      <c r="H302" t="n">
        <v>0</v>
      </c>
      <c r="I302" t="n">
        <v>0</v>
      </c>
      <c r="J302" t="n">
        <v>0</v>
      </c>
      <c r="K302" t="n">
        <v>0</v>
      </c>
      <c r="L302" t="n">
        <v>0</v>
      </c>
      <c r="M302" t="n">
        <v>0</v>
      </c>
      <c r="N302" t="n">
        <v>0</v>
      </c>
      <c r="O302" t="n">
        <v>0</v>
      </c>
      <c r="P302" t="n">
        <v>0</v>
      </c>
      <c r="Q302" t="n">
        <v>0</v>
      </c>
      <c r="R302" s="2" t="inlineStr"/>
    </row>
    <row r="303" ht="15" customHeight="1">
      <c r="A303" t="inlineStr">
        <is>
          <t>A 55945-2024</t>
        </is>
      </c>
      <c r="B303" s="1" t="n">
        <v>45623.61754629629</v>
      </c>
      <c r="C303" s="1" t="n">
        <v>46081</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41706-2025</t>
        </is>
      </c>
      <c r="B304" s="1" t="n">
        <v>45902.42209490741</v>
      </c>
      <c r="C304" s="1" t="n">
        <v>46081</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30355-2025</t>
        </is>
      </c>
      <c r="B305" s="1" t="n">
        <v>45827</v>
      </c>
      <c r="C305" s="1" t="n">
        <v>46081</v>
      </c>
      <c r="D305" t="inlineStr">
        <is>
          <t>ÖSTERGÖTLANDS LÄN</t>
        </is>
      </c>
      <c r="E305" t="inlineStr">
        <is>
          <t>LINKÖPING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30353-2025</t>
        </is>
      </c>
      <c r="B306" s="1" t="n">
        <v>45827</v>
      </c>
      <c r="C306" s="1" t="n">
        <v>46081</v>
      </c>
      <c r="D306" t="inlineStr">
        <is>
          <t>ÖSTERGÖTLANDS LÄN</t>
        </is>
      </c>
      <c r="E306" t="inlineStr">
        <is>
          <t>LINKÖPING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1993-2023</t>
        </is>
      </c>
      <c r="B307" s="1" t="n">
        <v>44939</v>
      </c>
      <c r="C307" s="1" t="n">
        <v>46081</v>
      </c>
      <c r="D307" t="inlineStr">
        <is>
          <t>ÖSTERGÖTLANDS LÄN</t>
        </is>
      </c>
      <c r="E307" t="inlineStr">
        <is>
          <t>LINKÖPING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2618-2023</t>
        </is>
      </c>
      <c r="B308" s="1" t="n">
        <v>44944.35847222222</v>
      </c>
      <c r="C308" s="1" t="n">
        <v>46081</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10203-2023</t>
        </is>
      </c>
      <c r="B309" s="1" t="n">
        <v>44986.55711805556</v>
      </c>
      <c r="C309" s="1" t="n">
        <v>46081</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41511-2025</t>
        </is>
      </c>
      <c r="B310" s="1" t="n">
        <v>45901.53839120371</v>
      </c>
      <c r="C310" s="1" t="n">
        <v>46081</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34889-2023</t>
        </is>
      </c>
      <c r="B311" s="1" t="n">
        <v>45140</v>
      </c>
      <c r="C311" s="1" t="n">
        <v>46081</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34928-2023</t>
        </is>
      </c>
      <c r="B312" s="1" t="n">
        <v>45142</v>
      </c>
      <c r="C312" s="1" t="n">
        <v>46081</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46081</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29293-2025</t>
        </is>
      </c>
      <c r="B314" s="1" t="n">
        <v>45824</v>
      </c>
      <c r="C314" s="1" t="n">
        <v>46081</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1268-2023</t>
        </is>
      </c>
      <c r="B315" s="1" t="n">
        <v>44936</v>
      </c>
      <c r="C315" s="1" t="n">
        <v>46081</v>
      </c>
      <c r="D315" t="inlineStr">
        <is>
          <t>ÖSTERGÖTLANDS LÄN</t>
        </is>
      </c>
      <c r="E315" t="inlineStr">
        <is>
          <t>LINKÖPING</t>
        </is>
      </c>
      <c r="G315" t="n">
        <v>4.6</v>
      </c>
      <c r="H315" t="n">
        <v>0</v>
      </c>
      <c r="I315" t="n">
        <v>0</v>
      </c>
      <c r="J315" t="n">
        <v>0</v>
      </c>
      <c r="K315" t="n">
        <v>0</v>
      </c>
      <c r="L315" t="n">
        <v>0</v>
      </c>
      <c r="M315" t="n">
        <v>0</v>
      </c>
      <c r="N315" t="n">
        <v>0</v>
      </c>
      <c r="O315" t="n">
        <v>0</v>
      </c>
      <c r="P315" t="n">
        <v>0</v>
      </c>
      <c r="Q315" t="n">
        <v>0</v>
      </c>
      <c r="R315" s="2" t="inlineStr"/>
    </row>
    <row r="316" ht="15" customHeight="1">
      <c r="A316" t="inlineStr">
        <is>
          <t>A 42623-2025</t>
        </is>
      </c>
      <c r="B316" s="1" t="n">
        <v>45905</v>
      </c>
      <c r="C316" s="1" t="n">
        <v>46081</v>
      </c>
      <c r="D316" t="inlineStr">
        <is>
          <t>ÖSTERGÖTLANDS LÄN</t>
        </is>
      </c>
      <c r="E316" t="inlineStr">
        <is>
          <t>LINKÖPING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31581-2025</t>
        </is>
      </c>
      <c r="B317" s="1" t="n">
        <v>45833.6840162037</v>
      </c>
      <c r="C317" s="1" t="n">
        <v>46081</v>
      </c>
      <c r="D317" t="inlineStr">
        <is>
          <t>ÖSTERGÖTLANDS LÄN</t>
        </is>
      </c>
      <c r="E317" t="inlineStr">
        <is>
          <t>LINKÖPING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31585-2025</t>
        </is>
      </c>
      <c r="B318" s="1" t="n">
        <v>45833.68815972222</v>
      </c>
      <c r="C318" s="1" t="n">
        <v>46081</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49747-2024</t>
        </is>
      </c>
      <c r="B319" s="1" t="n">
        <v>45596</v>
      </c>
      <c r="C319" s="1" t="n">
        <v>46081</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31725-2022</t>
        </is>
      </c>
      <c r="B320" s="1" t="n">
        <v>44776.48541666667</v>
      </c>
      <c r="C320" s="1" t="n">
        <v>46081</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42624-2025</t>
        </is>
      </c>
      <c r="B321" s="1" t="n">
        <v>45905</v>
      </c>
      <c r="C321" s="1" t="n">
        <v>46081</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42626-2025</t>
        </is>
      </c>
      <c r="B322" s="1" t="n">
        <v>45905</v>
      </c>
      <c r="C322" s="1" t="n">
        <v>46081</v>
      </c>
      <c r="D322" t="inlineStr">
        <is>
          <t>ÖSTERGÖTLANDS LÄN</t>
        </is>
      </c>
      <c r="E322" t="inlineStr">
        <is>
          <t>LINKÖPING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32723-2025</t>
        </is>
      </c>
      <c r="B323" s="1" t="n">
        <v>45838</v>
      </c>
      <c r="C323" s="1" t="n">
        <v>46081</v>
      </c>
      <c r="D323" t="inlineStr">
        <is>
          <t>ÖSTERGÖTLANDS LÄN</t>
        </is>
      </c>
      <c r="E323" t="inlineStr">
        <is>
          <t>LINKÖPING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46081</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3627-2023</t>
        </is>
      </c>
      <c r="B325" s="1" t="n">
        <v>44950.64782407408</v>
      </c>
      <c r="C325" s="1" t="n">
        <v>46081</v>
      </c>
      <c r="D325" t="inlineStr">
        <is>
          <t>ÖSTERGÖTLANDS LÄN</t>
        </is>
      </c>
      <c r="E325" t="inlineStr">
        <is>
          <t>LINKÖPING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62687-2023</t>
        </is>
      </c>
      <c r="B326" s="1" t="n">
        <v>45271</v>
      </c>
      <c r="C326" s="1" t="n">
        <v>46081</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18891-2022</t>
        </is>
      </c>
      <c r="B327" s="1" t="n">
        <v>44690</v>
      </c>
      <c r="C327" s="1" t="n">
        <v>46081</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26620-2023</t>
        </is>
      </c>
      <c r="B328" s="1" t="n">
        <v>45092.70390046296</v>
      </c>
      <c r="C328" s="1" t="n">
        <v>46081</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33947-2025</t>
        </is>
      </c>
      <c r="B329" s="1" t="n">
        <v>45842.65444444444</v>
      </c>
      <c r="C329" s="1" t="n">
        <v>46081</v>
      </c>
      <c r="D329" t="inlineStr">
        <is>
          <t>ÖSTERGÖTLANDS LÄN</t>
        </is>
      </c>
      <c r="E329" t="inlineStr">
        <is>
          <t>LINKÖPING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56180-2024</t>
        </is>
      </c>
      <c r="B330" s="1" t="n">
        <v>45624.56611111111</v>
      </c>
      <c r="C330" s="1" t="n">
        <v>46081</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938-2023</t>
        </is>
      </c>
      <c r="B331" s="1" t="n">
        <v>44933</v>
      </c>
      <c r="C331" s="1" t="n">
        <v>46081</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25418-2023</t>
        </is>
      </c>
      <c r="B332" s="1" t="n">
        <v>45089</v>
      </c>
      <c r="C332" s="1" t="n">
        <v>46081</v>
      </c>
      <c r="D332" t="inlineStr">
        <is>
          <t>ÖSTERGÖTLANDS LÄN</t>
        </is>
      </c>
      <c r="E332" t="inlineStr">
        <is>
          <t>LINKÖPING</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60007-2022</t>
        </is>
      </c>
      <c r="B333" s="1" t="n">
        <v>44909.47282407407</v>
      </c>
      <c r="C333" s="1" t="n">
        <v>46081</v>
      </c>
      <c r="D333" t="inlineStr">
        <is>
          <t>ÖSTERGÖTLANDS LÄN</t>
        </is>
      </c>
      <c r="E333" t="inlineStr">
        <is>
          <t>LINKÖPING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62012-2024</t>
        </is>
      </c>
      <c r="B334" s="1" t="n">
        <v>45655.79679398148</v>
      </c>
      <c r="C334" s="1" t="n">
        <v>46081</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11601-2023</t>
        </is>
      </c>
      <c r="B335" s="1" t="n">
        <v>44994</v>
      </c>
      <c r="C335" s="1" t="n">
        <v>46081</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53529-2024</t>
        </is>
      </c>
      <c r="B336" s="1" t="n">
        <v>45614</v>
      </c>
      <c r="C336" s="1" t="n">
        <v>46081</v>
      </c>
      <c r="D336" t="inlineStr">
        <is>
          <t>ÖSTERGÖTLANDS LÄN</t>
        </is>
      </c>
      <c r="E336" t="inlineStr">
        <is>
          <t>LINKÖPING</t>
        </is>
      </c>
      <c r="G336" t="n">
        <v>6.7</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46081</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20469-2025</t>
        </is>
      </c>
      <c r="B338" s="1" t="n">
        <v>45775</v>
      </c>
      <c r="C338" s="1" t="n">
        <v>46081</v>
      </c>
      <c r="D338" t="inlineStr">
        <is>
          <t>ÖSTERGÖTLANDS LÄN</t>
        </is>
      </c>
      <c r="E338" t="inlineStr">
        <is>
          <t>LINKÖPING</t>
        </is>
      </c>
      <c r="F338" t="inlineStr">
        <is>
          <t>Kyrkan</t>
        </is>
      </c>
      <c r="G338" t="n">
        <v>6.1</v>
      </c>
      <c r="H338" t="n">
        <v>0</v>
      </c>
      <c r="I338" t="n">
        <v>0</v>
      </c>
      <c r="J338" t="n">
        <v>0</v>
      </c>
      <c r="K338" t="n">
        <v>0</v>
      </c>
      <c r="L338" t="n">
        <v>0</v>
      </c>
      <c r="M338" t="n">
        <v>0</v>
      </c>
      <c r="N338" t="n">
        <v>0</v>
      </c>
      <c r="O338" t="n">
        <v>0</v>
      </c>
      <c r="P338" t="n">
        <v>0</v>
      </c>
      <c r="Q338" t="n">
        <v>0</v>
      </c>
      <c r="R338" s="2" t="inlineStr"/>
    </row>
    <row r="339" ht="15" customHeight="1">
      <c r="A339" t="inlineStr">
        <is>
          <t>A 1260-2023</t>
        </is>
      </c>
      <c r="B339" s="1" t="n">
        <v>44936</v>
      </c>
      <c r="C339" s="1" t="n">
        <v>46081</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7702-2023</t>
        </is>
      </c>
      <c r="B340" s="1" t="n">
        <v>44967</v>
      </c>
      <c r="C340" s="1" t="n">
        <v>46081</v>
      </c>
      <c r="D340" t="inlineStr">
        <is>
          <t>ÖSTERGÖTLANDS LÄN</t>
        </is>
      </c>
      <c r="E340" t="inlineStr">
        <is>
          <t>LINKÖPING</t>
        </is>
      </c>
      <c r="F340" t="inlineStr">
        <is>
          <t>Övriga statliga verk och myndigheter</t>
        </is>
      </c>
      <c r="G340" t="n">
        <v>8</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46081</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46081</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46081</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43753-2025</t>
        </is>
      </c>
      <c r="B344" s="1" t="n">
        <v>45912.4715625</v>
      </c>
      <c r="C344" s="1" t="n">
        <v>46081</v>
      </c>
      <c r="D344" t="inlineStr">
        <is>
          <t>ÖSTERGÖTLANDS LÄN</t>
        </is>
      </c>
      <c r="E344" t="inlineStr">
        <is>
          <t>LINKÖPING</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43758-2025</t>
        </is>
      </c>
      <c r="B345" s="1" t="n">
        <v>45912.47711805555</v>
      </c>
      <c r="C345" s="1" t="n">
        <v>46081</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46081</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44170-2025</t>
        </is>
      </c>
      <c r="B347" s="1" t="n">
        <v>45915.59864583334</v>
      </c>
      <c r="C347" s="1" t="n">
        <v>46081</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33800-2023</t>
        </is>
      </c>
      <c r="B348" s="1" t="n">
        <v>45121</v>
      </c>
      <c r="C348" s="1" t="n">
        <v>46081</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47991-2023</t>
        </is>
      </c>
      <c r="B349" s="1" t="n">
        <v>45204.62655092592</v>
      </c>
      <c r="C349" s="1" t="n">
        <v>46081</v>
      </c>
      <c r="D349" t="inlineStr">
        <is>
          <t>ÖSTERGÖTLANDS LÄN</t>
        </is>
      </c>
      <c r="E349" t="inlineStr">
        <is>
          <t>LINKÖPING</t>
        </is>
      </c>
      <c r="F349" t="inlineStr">
        <is>
          <t>Allmännings- och besparingsskogar</t>
        </is>
      </c>
      <c r="G349" t="n">
        <v>7.3</v>
      </c>
      <c r="H349" t="n">
        <v>0</v>
      </c>
      <c r="I349" t="n">
        <v>0</v>
      </c>
      <c r="J349" t="n">
        <v>0</v>
      </c>
      <c r="K349" t="n">
        <v>0</v>
      </c>
      <c r="L349" t="n">
        <v>0</v>
      </c>
      <c r="M349" t="n">
        <v>0</v>
      </c>
      <c r="N349" t="n">
        <v>0</v>
      </c>
      <c r="O349" t="n">
        <v>0</v>
      </c>
      <c r="P349" t="n">
        <v>0</v>
      </c>
      <c r="Q349" t="n">
        <v>0</v>
      </c>
      <c r="R349" s="2" t="inlineStr"/>
    </row>
    <row r="350" ht="15" customHeight="1">
      <c r="A350" t="inlineStr">
        <is>
          <t>A 27343-2023</t>
        </is>
      </c>
      <c r="B350" s="1" t="n">
        <v>45096</v>
      </c>
      <c r="C350" s="1" t="n">
        <v>46081</v>
      </c>
      <c r="D350" t="inlineStr">
        <is>
          <t>ÖSTERGÖTLANDS LÄN</t>
        </is>
      </c>
      <c r="E350" t="inlineStr">
        <is>
          <t>LINKÖPING</t>
        </is>
      </c>
      <c r="F350" t="inlineStr">
        <is>
          <t>Allmännings- och besparingsskogar</t>
        </is>
      </c>
      <c r="G350" t="n">
        <v>6.9</v>
      </c>
      <c r="H350" t="n">
        <v>0</v>
      </c>
      <c r="I350" t="n">
        <v>0</v>
      </c>
      <c r="J350" t="n">
        <v>0</v>
      </c>
      <c r="K350" t="n">
        <v>0</v>
      </c>
      <c r="L350" t="n">
        <v>0</v>
      </c>
      <c r="M350" t="n">
        <v>0</v>
      </c>
      <c r="N350" t="n">
        <v>0</v>
      </c>
      <c r="O350" t="n">
        <v>0</v>
      </c>
      <c r="P350" t="n">
        <v>0</v>
      </c>
      <c r="Q350" t="n">
        <v>0</v>
      </c>
      <c r="R350" s="2" t="inlineStr"/>
    </row>
    <row r="351" ht="15" customHeight="1">
      <c r="A351" t="inlineStr">
        <is>
          <t>A 35178-2025</t>
        </is>
      </c>
      <c r="B351" s="1" t="n">
        <v>45852.91939814815</v>
      </c>
      <c r="C351" s="1" t="n">
        <v>46081</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35174-2025</t>
        </is>
      </c>
      <c r="B352" s="1" t="n">
        <v>45852.90648148148</v>
      </c>
      <c r="C352" s="1" t="n">
        <v>46081</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22774-2024</t>
        </is>
      </c>
      <c r="B353" s="1" t="n">
        <v>45448.46924768519</v>
      </c>
      <c r="C353" s="1" t="n">
        <v>46081</v>
      </c>
      <c r="D353" t="inlineStr">
        <is>
          <t>ÖSTERGÖTLANDS LÄN</t>
        </is>
      </c>
      <c r="E353" t="inlineStr">
        <is>
          <t>LINKÖPING</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22778-2024</t>
        </is>
      </c>
      <c r="B354" s="1" t="n">
        <v>45448.47233796296</v>
      </c>
      <c r="C354" s="1" t="n">
        <v>46081</v>
      </c>
      <c r="D354" t="inlineStr">
        <is>
          <t>ÖSTERGÖTLANDS LÄN</t>
        </is>
      </c>
      <c r="E354" t="inlineStr">
        <is>
          <t>LINKÖPING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46081</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35179-2025</t>
        </is>
      </c>
      <c r="B356" s="1" t="n">
        <v>45852.93737268518</v>
      </c>
      <c r="C356" s="1" t="n">
        <v>46081</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35180-2025</t>
        </is>
      </c>
      <c r="B357" s="1" t="n">
        <v>45852.9413425926</v>
      </c>
      <c r="C357" s="1" t="n">
        <v>46081</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34864-2023</t>
        </is>
      </c>
      <c r="B358" s="1" t="n">
        <v>45141</v>
      </c>
      <c r="C358" s="1" t="n">
        <v>46081</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52531-2023</t>
        </is>
      </c>
      <c r="B359" s="1" t="n">
        <v>45225</v>
      </c>
      <c r="C359" s="1" t="n">
        <v>46081</v>
      </c>
      <c r="D359" t="inlineStr">
        <is>
          <t>ÖSTERGÖTLANDS LÄN</t>
        </is>
      </c>
      <c r="E359" t="inlineStr">
        <is>
          <t>LINKÖPING</t>
        </is>
      </c>
      <c r="F359" t="inlineStr">
        <is>
          <t>Övriga Aktiebolag</t>
        </is>
      </c>
      <c r="G359" t="n">
        <v>1</v>
      </c>
      <c r="H359" t="n">
        <v>0</v>
      </c>
      <c r="I359" t="n">
        <v>0</v>
      </c>
      <c r="J359" t="n">
        <v>0</v>
      </c>
      <c r="K359" t="n">
        <v>0</v>
      </c>
      <c r="L359" t="n">
        <v>0</v>
      </c>
      <c r="M359" t="n">
        <v>0</v>
      </c>
      <c r="N359" t="n">
        <v>0</v>
      </c>
      <c r="O359" t="n">
        <v>0</v>
      </c>
      <c r="P359" t="n">
        <v>0</v>
      </c>
      <c r="Q359" t="n">
        <v>0</v>
      </c>
      <c r="R359" s="2" t="inlineStr"/>
    </row>
    <row r="360" ht="15" customHeight="1">
      <c r="A360" t="inlineStr">
        <is>
          <t>A 34930-2023</t>
        </is>
      </c>
      <c r="B360" s="1" t="n">
        <v>45142</v>
      </c>
      <c r="C360" s="1" t="n">
        <v>46081</v>
      </c>
      <c r="D360" t="inlineStr">
        <is>
          <t>ÖSTERGÖTLANDS LÄN</t>
        </is>
      </c>
      <c r="E360" t="inlineStr">
        <is>
          <t>LINKÖPING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35747-2025</t>
        </is>
      </c>
      <c r="B361" s="1" t="n">
        <v>45860.56385416666</v>
      </c>
      <c r="C361" s="1" t="n">
        <v>46081</v>
      </c>
      <c r="D361" t="inlineStr">
        <is>
          <t>ÖSTERGÖTLANDS LÄN</t>
        </is>
      </c>
      <c r="E361" t="inlineStr">
        <is>
          <t>LINKÖPING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30985-2022</t>
        </is>
      </c>
      <c r="B362" s="1" t="n">
        <v>44768</v>
      </c>
      <c r="C362" s="1" t="n">
        <v>46081</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35745-2025</t>
        </is>
      </c>
      <c r="B363" s="1" t="n">
        <v>45860.54739583333</v>
      </c>
      <c r="C363" s="1" t="n">
        <v>46081</v>
      </c>
      <c r="D363" t="inlineStr">
        <is>
          <t>ÖSTERGÖTLANDS LÄN</t>
        </is>
      </c>
      <c r="E363" t="inlineStr">
        <is>
          <t>LINKÖPING</t>
        </is>
      </c>
      <c r="G363" t="n">
        <v>4.4</v>
      </c>
      <c r="H363" t="n">
        <v>0</v>
      </c>
      <c r="I363" t="n">
        <v>0</v>
      </c>
      <c r="J363" t="n">
        <v>0</v>
      </c>
      <c r="K363" t="n">
        <v>0</v>
      </c>
      <c r="L363" t="n">
        <v>0</v>
      </c>
      <c r="M363" t="n">
        <v>0</v>
      </c>
      <c r="N363" t="n">
        <v>0</v>
      </c>
      <c r="O363" t="n">
        <v>0</v>
      </c>
      <c r="P363" t="n">
        <v>0</v>
      </c>
      <c r="Q363" t="n">
        <v>0</v>
      </c>
      <c r="R363" s="2" t="inlineStr"/>
    </row>
    <row r="364" ht="15" customHeight="1">
      <c r="A364" t="inlineStr">
        <is>
          <t>A 35757-2025</t>
        </is>
      </c>
      <c r="B364" s="1" t="n">
        <v>45860.59876157407</v>
      </c>
      <c r="C364" s="1" t="n">
        <v>46081</v>
      </c>
      <c r="D364" t="inlineStr">
        <is>
          <t>ÖSTERGÖTLANDS LÄN</t>
        </is>
      </c>
      <c r="E364" t="inlineStr">
        <is>
          <t>LINKÖPING</t>
        </is>
      </c>
      <c r="G364" t="n">
        <v>5.7</v>
      </c>
      <c r="H364" t="n">
        <v>0</v>
      </c>
      <c r="I364" t="n">
        <v>0</v>
      </c>
      <c r="J364" t="n">
        <v>0</v>
      </c>
      <c r="K364" t="n">
        <v>0</v>
      </c>
      <c r="L364" t="n">
        <v>0</v>
      </c>
      <c r="M364" t="n">
        <v>0</v>
      </c>
      <c r="N364" t="n">
        <v>0</v>
      </c>
      <c r="O364" t="n">
        <v>0</v>
      </c>
      <c r="P364" t="n">
        <v>0</v>
      </c>
      <c r="Q364" t="n">
        <v>0</v>
      </c>
      <c r="R364" s="2" t="inlineStr"/>
    </row>
    <row r="365" ht="15" customHeight="1">
      <c r="A365" t="inlineStr">
        <is>
          <t>A 35759-2025</t>
        </is>
      </c>
      <c r="B365" s="1" t="n">
        <v>45860</v>
      </c>
      <c r="C365" s="1" t="n">
        <v>46081</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44759-2025</t>
        </is>
      </c>
      <c r="B366" s="1" t="n">
        <v>45917.7152662037</v>
      </c>
      <c r="C366" s="1" t="n">
        <v>46081</v>
      </c>
      <c r="D366" t="inlineStr">
        <is>
          <t>ÖSTERGÖTLANDS LÄN</t>
        </is>
      </c>
      <c r="E366" t="inlineStr">
        <is>
          <t>LINKÖPING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44764-2025</t>
        </is>
      </c>
      <c r="B367" s="1" t="n">
        <v>45917.72821759259</v>
      </c>
      <c r="C367" s="1" t="n">
        <v>46081</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45112-2025</t>
        </is>
      </c>
      <c r="B368" s="1" t="n">
        <v>45919</v>
      </c>
      <c r="C368" s="1" t="n">
        <v>46081</v>
      </c>
      <c r="D368" t="inlineStr">
        <is>
          <t>ÖSTERGÖTLANDS LÄN</t>
        </is>
      </c>
      <c r="E368" t="inlineStr">
        <is>
          <t>LINKÖPING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59642-2024</t>
        </is>
      </c>
      <c r="B369" s="1" t="n">
        <v>45639.31511574074</v>
      </c>
      <c r="C369" s="1" t="n">
        <v>46081</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15748-2025</t>
        </is>
      </c>
      <c r="B370" s="1" t="n">
        <v>45748.55282407408</v>
      </c>
      <c r="C370" s="1" t="n">
        <v>46081</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31792-2021</t>
        </is>
      </c>
      <c r="B371" s="1" t="n">
        <v>44369</v>
      </c>
      <c r="C371" s="1" t="n">
        <v>46081</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25097-2023</t>
        </is>
      </c>
      <c r="B372" s="1" t="n">
        <v>45086</v>
      </c>
      <c r="C372" s="1" t="n">
        <v>46081</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46081</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45792-2025</t>
        </is>
      </c>
      <c r="B374" s="1" t="n">
        <v>45923.56998842592</v>
      </c>
      <c r="C374" s="1" t="n">
        <v>46081</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46081</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35735-2023</t>
        </is>
      </c>
      <c r="B376" s="1" t="n">
        <v>45147</v>
      </c>
      <c r="C376" s="1" t="n">
        <v>46081</v>
      </c>
      <c r="D376" t="inlineStr">
        <is>
          <t>ÖSTERGÖTLANDS LÄN</t>
        </is>
      </c>
      <c r="E376" t="inlineStr">
        <is>
          <t>LINKÖPING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16462-2021</t>
        </is>
      </c>
      <c r="B377" s="1" t="n">
        <v>44293</v>
      </c>
      <c r="C377" s="1" t="n">
        <v>46081</v>
      </c>
      <c r="D377" t="inlineStr">
        <is>
          <t>ÖSTERGÖTLANDS LÄN</t>
        </is>
      </c>
      <c r="E377" t="inlineStr">
        <is>
          <t>LINKÖPING</t>
        </is>
      </c>
      <c r="F377" t="inlineStr">
        <is>
          <t>Allmännings- och besparingsskogar</t>
        </is>
      </c>
      <c r="G377" t="n">
        <v>24.7</v>
      </c>
      <c r="H377" t="n">
        <v>0</v>
      </c>
      <c r="I377" t="n">
        <v>0</v>
      </c>
      <c r="J377" t="n">
        <v>0</v>
      </c>
      <c r="K377" t="n">
        <v>0</v>
      </c>
      <c r="L377" t="n">
        <v>0</v>
      </c>
      <c r="M377" t="n">
        <v>0</v>
      </c>
      <c r="N377" t="n">
        <v>0</v>
      </c>
      <c r="O377" t="n">
        <v>0</v>
      </c>
      <c r="P377" t="n">
        <v>0</v>
      </c>
      <c r="Q377" t="n">
        <v>0</v>
      </c>
      <c r="R377" s="2" t="inlineStr"/>
    </row>
    <row r="378" ht="15" customHeight="1">
      <c r="A378" t="inlineStr">
        <is>
          <t>A 25776-2021</t>
        </is>
      </c>
      <c r="B378" s="1" t="n">
        <v>44343</v>
      </c>
      <c r="C378" s="1" t="n">
        <v>46081</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46428-2025</t>
        </is>
      </c>
      <c r="B379" s="1" t="n">
        <v>45925.60758101852</v>
      </c>
      <c r="C379" s="1" t="n">
        <v>46081</v>
      </c>
      <c r="D379" t="inlineStr">
        <is>
          <t>ÖSTERGÖTLANDS LÄN</t>
        </is>
      </c>
      <c r="E379" t="inlineStr">
        <is>
          <t>LINKÖPING</t>
        </is>
      </c>
      <c r="G379" t="n">
        <v>3</v>
      </c>
      <c r="H379" t="n">
        <v>0</v>
      </c>
      <c r="I379" t="n">
        <v>0</v>
      </c>
      <c r="J379" t="n">
        <v>0</v>
      </c>
      <c r="K379" t="n">
        <v>0</v>
      </c>
      <c r="L379" t="n">
        <v>0</v>
      </c>
      <c r="M379" t="n">
        <v>0</v>
      </c>
      <c r="N379" t="n">
        <v>0</v>
      </c>
      <c r="O379" t="n">
        <v>0</v>
      </c>
      <c r="P379" t="n">
        <v>0</v>
      </c>
      <c r="Q379" t="n">
        <v>0</v>
      </c>
      <c r="R379" s="2" t="inlineStr"/>
    </row>
    <row r="380" ht="15" customHeight="1">
      <c r="A380" t="inlineStr">
        <is>
          <t>A 30856-2022</t>
        </is>
      </c>
      <c r="B380" s="1" t="n">
        <v>44767</v>
      </c>
      <c r="C380" s="1" t="n">
        <v>46081</v>
      </c>
      <c r="D380" t="inlineStr">
        <is>
          <t>ÖSTERGÖTLANDS LÄN</t>
        </is>
      </c>
      <c r="E380" t="inlineStr">
        <is>
          <t>LINKÖPING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46426-2025</t>
        </is>
      </c>
      <c r="B381" s="1" t="n">
        <v>45925.6012962963</v>
      </c>
      <c r="C381" s="1" t="n">
        <v>46081</v>
      </c>
      <c r="D381" t="inlineStr">
        <is>
          <t>ÖSTERGÖTLANDS LÄN</t>
        </is>
      </c>
      <c r="E381" t="inlineStr">
        <is>
          <t>LINKÖPING</t>
        </is>
      </c>
      <c r="G381" t="n">
        <v>4.4</v>
      </c>
      <c r="H381" t="n">
        <v>0</v>
      </c>
      <c r="I381" t="n">
        <v>0</v>
      </c>
      <c r="J381" t="n">
        <v>0</v>
      </c>
      <c r="K381" t="n">
        <v>0</v>
      </c>
      <c r="L381" t="n">
        <v>0</v>
      </c>
      <c r="M381" t="n">
        <v>0</v>
      </c>
      <c r="N381" t="n">
        <v>0</v>
      </c>
      <c r="O381" t="n">
        <v>0</v>
      </c>
      <c r="P381" t="n">
        <v>0</v>
      </c>
      <c r="Q381" t="n">
        <v>0</v>
      </c>
      <c r="R381" s="2" t="inlineStr"/>
    </row>
    <row r="382" ht="15" customHeight="1">
      <c r="A382" t="inlineStr">
        <is>
          <t>A 46377-2025</t>
        </is>
      </c>
      <c r="B382" s="1" t="n">
        <v>45925.51773148148</v>
      </c>
      <c r="C382" s="1" t="n">
        <v>46081</v>
      </c>
      <c r="D382" t="inlineStr">
        <is>
          <t>ÖSTERGÖTLANDS LÄN</t>
        </is>
      </c>
      <c r="E382" t="inlineStr">
        <is>
          <t>LINKÖPING</t>
        </is>
      </c>
      <c r="G382" t="n">
        <v>3.1</v>
      </c>
      <c r="H382" t="n">
        <v>0</v>
      </c>
      <c r="I382" t="n">
        <v>0</v>
      </c>
      <c r="J382" t="n">
        <v>0</v>
      </c>
      <c r="K382" t="n">
        <v>0</v>
      </c>
      <c r="L382" t="n">
        <v>0</v>
      </c>
      <c r="M382" t="n">
        <v>0</v>
      </c>
      <c r="N382" t="n">
        <v>0</v>
      </c>
      <c r="O382" t="n">
        <v>0</v>
      </c>
      <c r="P382" t="n">
        <v>0</v>
      </c>
      <c r="Q382" t="n">
        <v>0</v>
      </c>
      <c r="R382" s="2" t="inlineStr"/>
    </row>
    <row r="383" ht="15" customHeight="1">
      <c r="A383" t="inlineStr">
        <is>
          <t>A 19187-2021</t>
        </is>
      </c>
      <c r="B383" s="1" t="n">
        <v>44308</v>
      </c>
      <c r="C383" s="1" t="n">
        <v>46081</v>
      </c>
      <c r="D383" t="inlineStr">
        <is>
          <t>ÖSTERGÖTLANDS LÄN</t>
        </is>
      </c>
      <c r="E383" t="inlineStr">
        <is>
          <t>LINKÖPING</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47304-2025</t>
        </is>
      </c>
      <c r="B384" s="1" t="n">
        <v>45930.52037037037</v>
      </c>
      <c r="C384" s="1" t="n">
        <v>46081</v>
      </c>
      <c r="D384" t="inlineStr">
        <is>
          <t>ÖSTERGÖTLANDS LÄN</t>
        </is>
      </c>
      <c r="E384" t="inlineStr">
        <is>
          <t>LINKÖPING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47233-2025</t>
        </is>
      </c>
      <c r="B385" s="1" t="n">
        <v>45930.40612268518</v>
      </c>
      <c r="C385" s="1" t="n">
        <v>46081</v>
      </c>
      <c r="D385" t="inlineStr">
        <is>
          <t>ÖSTERGÖTLANDS LÄN</t>
        </is>
      </c>
      <c r="E385" t="inlineStr">
        <is>
          <t>LINKÖPING</t>
        </is>
      </c>
      <c r="G385" t="n">
        <v>4.3</v>
      </c>
      <c r="H385" t="n">
        <v>0</v>
      </c>
      <c r="I385" t="n">
        <v>0</v>
      </c>
      <c r="J385" t="n">
        <v>0</v>
      </c>
      <c r="K385" t="n">
        <v>0</v>
      </c>
      <c r="L385" t="n">
        <v>0</v>
      </c>
      <c r="M385" t="n">
        <v>0</v>
      </c>
      <c r="N385" t="n">
        <v>0</v>
      </c>
      <c r="O385" t="n">
        <v>0</v>
      </c>
      <c r="P385" t="n">
        <v>0</v>
      </c>
      <c r="Q385" t="n">
        <v>0</v>
      </c>
      <c r="R385" s="2" t="inlineStr"/>
    </row>
    <row r="386" ht="15" customHeight="1">
      <c r="A386" t="inlineStr">
        <is>
          <t>A 39219-2021</t>
        </is>
      </c>
      <c r="B386" s="1" t="n">
        <v>44413</v>
      </c>
      <c r="C386" s="1" t="n">
        <v>46081</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39224-2021</t>
        </is>
      </c>
      <c r="B387" s="1" t="n">
        <v>44413</v>
      </c>
      <c r="C387" s="1" t="n">
        <v>46081</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46847-2025</t>
        </is>
      </c>
      <c r="B388" s="1" t="n">
        <v>45928.69971064815</v>
      </c>
      <c r="C388" s="1" t="n">
        <v>46081</v>
      </c>
      <c r="D388" t="inlineStr">
        <is>
          <t>ÖSTERGÖTLANDS LÄN</t>
        </is>
      </c>
      <c r="E388" t="inlineStr">
        <is>
          <t>LINKÖPING</t>
        </is>
      </c>
      <c r="G388" t="n">
        <v>4.6</v>
      </c>
      <c r="H388" t="n">
        <v>0</v>
      </c>
      <c r="I388" t="n">
        <v>0</v>
      </c>
      <c r="J388" t="n">
        <v>0</v>
      </c>
      <c r="K388" t="n">
        <v>0</v>
      </c>
      <c r="L388" t="n">
        <v>0</v>
      </c>
      <c r="M388" t="n">
        <v>0</v>
      </c>
      <c r="N388" t="n">
        <v>0</v>
      </c>
      <c r="O388" t="n">
        <v>0</v>
      </c>
      <c r="P388" t="n">
        <v>0</v>
      </c>
      <c r="Q388" t="n">
        <v>0</v>
      </c>
      <c r="R388" s="2" t="inlineStr"/>
    </row>
    <row r="389" ht="15" customHeight="1">
      <c r="A389" t="inlineStr">
        <is>
          <t>A 48343-2025</t>
        </is>
      </c>
      <c r="B389" s="1" t="n">
        <v>45932</v>
      </c>
      <c r="C389" s="1" t="n">
        <v>46081</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47606-2025</t>
        </is>
      </c>
      <c r="B390" s="1" t="n">
        <v>45931.46402777778</v>
      </c>
      <c r="C390" s="1" t="n">
        <v>46081</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43934-2023</t>
        </is>
      </c>
      <c r="B391" s="1" t="n">
        <v>45187</v>
      </c>
      <c r="C391" s="1" t="n">
        <v>46081</v>
      </c>
      <c r="D391" t="inlineStr">
        <is>
          <t>ÖSTERGÖTLANDS LÄN</t>
        </is>
      </c>
      <c r="E391" t="inlineStr">
        <is>
          <t>LINKÖPING</t>
        </is>
      </c>
      <c r="F391" t="inlineStr">
        <is>
          <t>Övriga Aktiebolag</t>
        </is>
      </c>
      <c r="G391" t="n">
        <v>3.8</v>
      </c>
      <c r="H391" t="n">
        <v>0</v>
      </c>
      <c r="I391" t="n">
        <v>0</v>
      </c>
      <c r="J391" t="n">
        <v>0</v>
      </c>
      <c r="K391" t="n">
        <v>0</v>
      </c>
      <c r="L391" t="n">
        <v>0</v>
      </c>
      <c r="M391" t="n">
        <v>0</v>
      </c>
      <c r="N391" t="n">
        <v>0</v>
      </c>
      <c r="O391" t="n">
        <v>0</v>
      </c>
      <c r="P391" t="n">
        <v>0</v>
      </c>
      <c r="Q391" t="n">
        <v>0</v>
      </c>
      <c r="R391" s="2" t="inlineStr"/>
    </row>
    <row r="392" ht="15" customHeight="1">
      <c r="A392" t="inlineStr">
        <is>
          <t>A 37057-2025</t>
        </is>
      </c>
      <c r="B392" s="1" t="n">
        <v>45875.37489583333</v>
      </c>
      <c r="C392" s="1" t="n">
        <v>46081</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7354-2025</t>
        </is>
      </c>
      <c r="B393" s="1" t="n">
        <v>45704.41174768518</v>
      </c>
      <c r="C393" s="1" t="n">
        <v>46081</v>
      </c>
      <c r="D393" t="inlineStr">
        <is>
          <t>ÖSTERGÖTLANDS LÄN</t>
        </is>
      </c>
      <c r="E393" t="inlineStr">
        <is>
          <t>LINKÖPING</t>
        </is>
      </c>
      <c r="G393" t="n">
        <v>4.8</v>
      </c>
      <c r="H393" t="n">
        <v>0</v>
      </c>
      <c r="I393" t="n">
        <v>0</v>
      </c>
      <c r="J393" t="n">
        <v>0</v>
      </c>
      <c r="K393" t="n">
        <v>0</v>
      </c>
      <c r="L393" t="n">
        <v>0</v>
      </c>
      <c r="M393" t="n">
        <v>0</v>
      </c>
      <c r="N393" t="n">
        <v>0</v>
      </c>
      <c r="O393" t="n">
        <v>0</v>
      </c>
      <c r="P393" t="n">
        <v>0</v>
      </c>
      <c r="Q393" t="n">
        <v>0</v>
      </c>
      <c r="R393" s="2" t="inlineStr"/>
    </row>
    <row r="394" ht="15" customHeight="1">
      <c r="A394" t="inlineStr">
        <is>
          <t>A 25829-2025</t>
        </is>
      </c>
      <c r="B394" s="1" t="n">
        <v>45804.44505787037</v>
      </c>
      <c r="C394" s="1" t="n">
        <v>46081</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48254-2025</t>
        </is>
      </c>
      <c r="B395" s="1" t="n">
        <v>45932</v>
      </c>
      <c r="C395" s="1" t="n">
        <v>46081</v>
      </c>
      <c r="D395" t="inlineStr">
        <is>
          <t>ÖSTERGÖTLANDS LÄN</t>
        </is>
      </c>
      <c r="E395" t="inlineStr">
        <is>
          <t>LINKÖPING</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48266-2025</t>
        </is>
      </c>
      <c r="B396" s="1" t="n">
        <v>45932</v>
      </c>
      <c r="C396" s="1" t="n">
        <v>46081</v>
      </c>
      <c r="D396" t="inlineStr">
        <is>
          <t>ÖSTERGÖTLANDS LÄN</t>
        </is>
      </c>
      <c r="E396" t="inlineStr">
        <is>
          <t>LINKÖPING</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63935-2021</t>
        </is>
      </c>
      <c r="B397" s="1" t="n">
        <v>44509</v>
      </c>
      <c r="C397" s="1" t="n">
        <v>46081</v>
      </c>
      <c r="D397" t="inlineStr">
        <is>
          <t>ÖSTERGÖTLANDS LÄN</t>
        </is>
      </c>
      <c r="E397" t="inlineStr">
        <is>
          <t>LINKÖPING</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40810-2022</t>
        </is>
      </c>
      <c r="B398" s="1" t="n">
        <v>44824</v>
      </c>
      <c r="C398" s="1" t="n">
        <v>46081</v>
      </c>
      <c r="D398" t="inlineStr">
        <is>
          <t>ÖSTERGÖTLANDS LÄN</t>
        </is>
      </c>
      <c r="E398" t="inlineStr">
        <is>
          <t>LINKÖPING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20298-2025</t>
        </is>
      </c>
      <c r="B399" s="1" t="n">
        <v>45774.75024305555</v>
      </c>
      <c r="C399" s="1" t="n">
        <v>46081</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14576-2023</t>
        </is>
      </c>
      <c r="B400" s="1" t="n">
        <v>45013</v>
      </c>
      <c r="C400" s="1" t="n">
        <v>46081</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12089-2025</t>
        </is>
      </c>
      <c r="B401" s="1" t="n">
        <v>45729</v>
      </c>
      <c r="C401" s="1" t="n">
        <v>46081</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49605-2025</t>
        </is>
      </c>
      <c r="B402" s="1" t="n">
        <v>45938</v>
      </c>
      <c r="C402" s="1" t="n">
        <v>46081</v>
      </c>
      <c r="D402" t="inlineStr">
        <is>
          <t>ÖSTERGÖTLANDS LÄN</t>
        </is>
      </c>
      <c r="E402" t="inlineStr">
        <is>
          <t>LINKÖPING</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46081</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46081</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46081</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46081</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46081</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46081</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49619-2025</t>
        </is>
      </c>
      <c r="B409" s="1" t="n">
        <v>45938</v>
      </c>
      <c r="C409" s="1" t="n">
        <v>46081</v>
      </c>
      <c r="D409" t="inlineStr">
        <is>
          <t>ÖSTERGÖTLANDS LÄN</t>
        </is>
      </c>
      <c r="E409" t="inlineStr">
        <is>
          <t>LINKÖPING</t>
        </is>
      </c>
      <c r="F409" t="inlineStr">
        <is>
          <t>Övriga Aktiebolag</t>
        </is>
      </c>
      <c r="G409" t="n">
        <v>2.3</v>
      </c>
      <c r="H409" t="n">
        <v>0</v>
      </c>
      <c r="I409" t="n">
        <v>0</v>
      </c>
      <c r="J409" t="n">
        <v>0</v>
      </c>
      <c r="K409" t="n">
        <v>0</v>
      </c>
      <c r="L409" t="n">
        <v>0</v>
      </c>
      <c r="M409" t="n">
        <v>0</v>
      </c>
      <c r="N409" t="n">
        <v>0</v>
      </c>
      <c r="O409" t="n">
        <v>0</v>
      </c>
      <c r="P409" t="n">
        <v>0</v>
      </c>
      <c r="Q409" t="n">
        <v>0</v>
      </c>
      <c r="R409" s="2" t="inlineStr"/>
    </row>
    <row r="410" ht="15" customHeight="1">
      <c r="A410" t="inlineStr">
        <is>
          <t>A 49629-2025</t>
        </is>
      </c>
      <c r="B410" s="1" t="n">
        <v>45938</v>
      </c>
      <c r="C410" s="1" t="n">
        <v>46081</v>
      </c>
      <c r="D410" t="inlineStr">
        <is>
          <t>ÖSTERGÖTLANDS LÄN</t>
        </is>
      </c>
      <c r="E410" t="inlineStr">
        <is>
          <t>LINKÖPING</t>
        </is>
      </c>
      <c r="F410" t="inlineStr">
        <is>
          <t>Övriga Aktiebolag</t>
        </is>
      </c>
      <c r="G410" t="n">
        <v>4.5</v>
      </c>
      <c r="H410" t="n">
        <v>0</v>
      </c>
      <c r="I410" t="n">
        <v>0</v>
      </c>
      <c r="J410" t="n">
        <v>0</v>
      </c>
      <c r="K410" t="n">
        <v>0</v>
      </c>
      <c r="L410" t="n">
        <v>0</v>
      </c>
      <c r="M410" t="n">
        <v>0</v>
      </c>
      <c r="N410" t="n">
        <v>0</v>
      </c>
      <c r="O410" t="n">
        <v>0</v>
      </c>
      <c r="P410" t="n">
        <v>0</v>
      </c>
      <c r="Q410" t="n">
        <v>0</v>
      </c>
      <c r="R410" s="2" t="inlineStr"/>
    </row>
    <row r="411" ht="15" customHeight="1">
      <c r="A411" t="inlineStr">
        <is>
          <t>A 49650-2025</t>
        </is>
      </c>
      <c r="B411" s="1" t="n">
        <v>45938</v>
      </c>
      <c r="C411" s="1" t="n">
        <v>46081</v>
      </c>
      <c r="D411" t="inlineStr">
        <is>
          <t>ÖSTERGÖTLANDS LÄN</t>
        </is>
      </c>
      <c r="E411" t="inlineStr">
        <is>
          <t>LINKÖPING</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46081</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49615-2025</t>
        </is>
      </c>
      <c r="B413" s="1" t="n">
        <v>45938</v>
      </c>
      <c r="C413" s="1" t="n">
        <v>46081</v>
      </c>
      <c r="D413" t="inlineStr">
        <is>
          <t>ÖSTERGÖTLANDS LÄN</t>
        </is>
      </c>
      <c r="E413" t="inlineStr">
        <is>
          <t>LINKÖPING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62321-2022</t>
        </is>
      </c>
      <c r="B414" s="1" t="n">
        <v>44916</v>
      </c>
      <c r="C414" s="1" t="n">
        <v>46081</v>
      </c>
      <c r="D414" t="inlineStr">
        <is>
          <t>ÖSTERGÖTLANDS LÄN</t>
        </is>
      </c>
      <c r="E414" t="inlineStr">
        <is>
          <t>LINKÖPING</t>
        </is>
      </c>
      <c r="F414" t="inlineStr">
        <is>
          <t>Kommuner</t>
        </is>
      </c>
      <c r="G414" t="n">
        <v>5.3</v>
      </c>
      <c r="H414" t="n">
        <v>0</v>
      </c>
      <c r="I414" t="n">
        <v>0</v>
      </c>
      <c r="J414" t="n">
        <v>0</v>
      </c>
      <c r="K414" t="n">
        <v>0</v>
      </c>
      <c r="L414" t="n">
        <v>0</v>
      </c>
      <c r="M414" t="n">
        <v>0</v>
      </c>
      <c r="N414" t="n">
        <v>0</v>
      </c>
      <c r="O414" t="n">
        <v>0</v>
      </c>
      <c r="P414" t="n">
        <v>0</v>
      </c>
      <c r="Q414" t="n">
        <v>0</v>
      </c>
      <c r="R414" s="2" t="inlineStr"/>
    </row>
    <row r="415" ht="15" customHeight="1">
      <c r="A415" t="inlineStr">
        <is>
          <t>A 38046-2025</t>
        </is>
      </c>
      <c r="B415" s="1" t="n">
        <v>45882.39939814815</v>
      </c>
      <c r="C415" s="1" t="n">
        <v>46081</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43475-2024</t>
        </is>
      </c>
      <c r="B416" s="1" t="n">
        <v>45568</v>
      </c>
      <c r="C416" s="1" t="n">
        <v>46081</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17103-2025</t>
        </is>
      </c>
      <c r="B417" s="1" t="n">
        <v>45755.66143518518</v>
      </c>
      <c r="C417" s="1" t="n">
        <v>46081</v>
      </c>
      <c r="D417" t="inlineStr">
        <is>
          <t>ÖSTERGÖTLANDS LÄN</t>
        </is>
      </c>
      <c r="E417" t="inlineStr">
        <is>
          <t>LINKÖPING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30551-2023</t>
        </is>
      </c>
      <c r="B418" s="1" t="n">
        <v>45111</v>
      </c>
      <c r="C418" s="1" t="n">
        <v>46081</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50784-2022</t>
        </is>
      </c>
      <c r="B419" s="1" t="n">
        <v>44862</v>
      </c>
      <c r="C419" s="1" t="n">
        <v>46081</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22043-2023</t>
        </is>
      </c>
      <c r="B420" s="1" t="n">
        <v>45069.39050925926</v>
      </c>
      <c r="C420" s="1" t="n">
        <v>46081</v>
      </c>
      <c r="D420" t="inlineStr">
        <is>
          <t>ÖSTERGÖTLANDS LÄN</t>
        </is>
      </c>
      <c r="E420" t="inlineStr">
        <is>
          <t>LINKÖPING</t>
        </is>
      </c>
      <c r="G420" t="n">
        <v>5.9</v>
      </c>
      <c r="H420" t="n">
        <v>0</v>
      </c>
      <c r="I420" t="n">
        <v>0</v>
      </c>
      <c r="J420" t="n">
        <v>0</v>
      </c>
      <c r="K420" t="n">
        <v>0</v>
      </c>
      <c r="L420" t="n">
        <v>0</v>
      </c>
      <c r="M420" t="n">
        <v>0</v>
      </c>
      <c r="N420" t="n">
        <v>0</v>
      </c>
      <c r="O420" t="n">
        <v>0</v>
      </c>
      <c r="P420" t="n">
        <v>0</v>
      </c>
      <c r="Q420" t="n">
        <v>0</v>
      </c>
      <c r="R420" s="2" t="inlineStr"/>
    </row>
    <row r="421" ht="15" customHeight="1">
      <c r="A421" t="inlineStr">
        <is>
          <t>A 49656-2021</t>
        </is>
      </c>
      <c r="B421" s="1" t="n">
        <v>44454</v>
      </c>
      <c r="C421" s="1" t="n">
        <v>46081</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30465-2023</t>
        </is>
      </c>
      <c r="B422" s="1" t="n">
        <v>45111</v>
      </c>
      <c r="C422" s="1" t="n">
        <v>46081</v>
      </c>
      <c r="D422" t="inlineStr">
        <is>
          <t>ÖSTERGÖTLANDS LÄN</t>
        </is>
      </c>
      <c r="E422" t="inlineStr">
        <is>
          <t>LINKÖPING</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3008-2023</t>
        </is>
      </c>
      <c r="B423" s="1" t="n">
        <v>44945.79784722222</v>
      </c>
      <c r="C423" s="1" t="n">
        <v>46081</v>
      </c>
      <c r="D423" t="inlineStr">
        <is>
          <t>ÖSTERGÖTLANDS LÄN</t>
        </is>
      </c>
      <c r="E423" t="inlineStr">
        <is>
          <t>LINKÖPING</t>
        </is>
      </c>
      <c r="G423" t="n">
        <v>19.3</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46081</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30521-2024</t>
        </is>
      </c>
      <c r="B425" s="1" t="n">
        <v>45492</v>
      </c>
      <c r="C425" s="1" t="n">
        <v>46081</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40618-2021</t>
        </is>
      </c>
      <c r="B426" s="1" t="n">
        <v>44420.49575231481</v>
      </c>
      <c r="C426" s="1" t="n">
        <v>46081</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23735-2023</t>
        </is>
      </c>
      <c r="B427" s="1" t="n">
        <v>45077</v>
      </c>
      <c r="C427" s="1" t="n">
        <v>46081</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46081</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350-2022</t>
        </is>
      </c>
      <c r="B429" s="1" t="n">
        <v>44565</v>
      </c>
      <c r="C429" s="1" t="n">
        <v>46081</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4256-2022</t>
        </is>
      </c>
      <c r="B430" s="1" t="n">
        <v>44588</v>
      </c>
      <c r="C430" s="1" t="n">
        <v>46081</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25948-2023</t>
        </is>
      </c>
      <c r="B431" s="1" t="n">
        <v>45090</v>
      </c>
      <c r="C431" s="1" t="n">
        <v>46081</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46081</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33867-2023</t>
        </is>
      </c>
      <c r="B433" s="1" t="n">
        <v>45133.94640046296</v>
      </c>
      <c r="C433" s="1" t="n">
        <v>46081</v>
      </c>
      <c r="D433" t="inlineStr">
        <is>
          <t>ÖSTERGÖTLANDS LÄN</t>
        </is>
      </c>
      <c r="E433" t="inlineStr">
        <is>
          <t>LINKÖPING</t>
        </is>
      </c>
      <c r="G433" t="n">
        <v>2.3</v>
      </c>
      <c r="H433" t="n">
        <v>0</v>
      </c>
      <c r="I433" t="n">
        <v>0</v>
      </c>
      <c r="J433" t="n">
        <v>0</v>
      </c>
      <c r="K433" t="n">
        <v>0</v>
      </c>
      <c r="L433" t="n">
        <v>0</v>
      </c>
      <c r="M433" t="n">
        <v>0</v>
      </c>
      <c r="N433" t="n">
        <v>0</v>
      </c>
      <c r="O433" t="n">
        <v>0</v>
      </c>
      <c r="P433" t="n">
        <v>0</v>
      </c>
      <c r="Q433" t="n">
        <v>0</v>
      </c>
      <c r="R433" s="2" t="inlineStr"/>
    </row>
    <row r="434" ht="15" customHeight="1">
      <c r="A434" t="inlineStr">
        <is>
          <t>A 24462-2023</t>
        </is>
      </c>
      <c r="B434" s="1" t="n">
        <v>45082</v>
      </c>
      <c r="C434" s="1" t="n">
        <v>46081</v>
      </c>
      <c r="D434" t="inlineStr">
        <is>
          <t>ÖSTERGÖTLANDS LÄN</t>
        </is>
      </c>
      <c r="E434" t="inlineStr">
        <is>
          <t>LINKÖPING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51802-2025</t>
        </is>
      </c>
      <c r="B435" s="1" t="n">
        <v>45950</v>
      </c>
      <c r="C435" s="1" t="n">
        <v>46081</v>
      </c>
      <c r="D435" t="inlineStr">
        <is>
          <t>ÖSTERGÖTLANDS LÄN</t>
        </is>
      </c>
      <c r="E435" t="inlineStr">
        <is>
          <t>LINKÖPING</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48829-2023</t>
        </is>
      </c>
      <c r="B436" s="1" t="n">
        <v>45209.38177083333</v>
      </c>
      <c r="C436" s="1" t="n">
        <v>46081</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38231-2022</t>
        </is>
      </c>
      <c r="B437" s="1" t="n">
        <v>44812</v>
      </c>
      <c r="C437" s="1" t="n">
        <v>46081</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50799-2022</t>
        </is>
      </c>
      <c r="B438" s="1" t="n">
        <v>44862</v>
      </c>
      <c r="C438" s="1" t="n">
        <v>46081</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40431-2024</t>
        </is>
      </c>
      <c r="B439" s="1" t="n">
        <v>45555.47070601852</v>
      </c>
      <c r="C439" s="1" t="n">
        <v>46081</v>
      </c>
      <c r="D439" t="inlineStr">
        <is>
          <t>ÖSTERGÖTLANDS LÄN</t>
        </is>
      </c>
      <c r="E439" t="inlineStr">
        <is>
          <t>LINKÖPING</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267-2023</t>
        </is>
      </c>
      <c r="B440" s="1" t="n">
        <v>44928.80907407407</v>
      </c>
      <c r="C440" s="1" t="n">
        <v>46081</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26618-2023</t>
        </is>
      </c>
      <c r="B441" s="1" t="n">
        <v>45092.70306712963</v>
      </c>
      <c r="C441" s="1" t="n">
        <v>46081</v>
      </c>
      <c r="D441" t="inlineStr">
        <is>
          <t>ÖSTERGÖTLANDS LÄN</t>
        </is>
      </c>
      <c r="E441" t="inlineStr">
        <is>
          <t>LINKÖPING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63665-2023</t>
        </is>
      </c>
      <c r="B442" s="1" t="n">
        <v>45275</v>
      </c>
      <c r="C442" s="1" t="n">
        <v>46081</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52111-2025</t>
        </is>
      </c>
      <c r="B443" s="1" t="n">
        <v>45952.69527777778</v>
      </c>
      <c r="C443" s="1" t="n">
        <v>46081</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30429-2024</t>
        </is>
      </c>
      <c r="B444" s="1" t="n">
        <v>45491.68972222223</v>
      </c>
      <c r="C444" s="1" t="n">
        <v>46081</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30435-2024</t>
        </is>
      </c>
      <c r="B445" s="1" t="n">
        <v>45491.69962962963</v>
      </c>
      <c r="C445" s="1" t="n">
        <v>46081</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53816-2023</t>
        </is>
      </c>
      <c r="B446" s="1" t="n">
        <v>45231.40012731482</v>
      </c>
      <c r="C446" s="1" t="n">
        <v>46081</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36557-2023</t>
        </is>
      </c>
      <c r="B447" s="1" t="n">
        <v>45153</v>
      </c>
      <c r="C447" s="1" t="n">
        <v>46081</v>
      </c>
      <c r="D447" t="inlineStr">
        <is>
          <t>ÖSTERGÖTLANDS LÄN</t>
        </is>
      </c>
      <c r="E447" t="inlineStr">
        <is>
          <t>LINKÖPING</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6599-2023</t>
        </is>
      </c>
      <c r="B448" s="1" t="n">
        <v>44966.52603009259</v>
      </c>
      <c r="C448" s="1" t="n">
        <v>46081</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43473-2024</t>
        </is>
      </c>
      <c r="B449" s="1" t="n">
        <v>45568</v>
      </c>
      <c r="C449" s="1" t="n">
        <v>46081</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52800-2025</t>
        </is>
      </c>
      <c r="B450" s="1" t="n">
        <v>45957.44152777778</v>
      </c>
      <c r="C450" s="1" t="n">
        <v>46081</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52802-2025</t>
        </is>
      </c>
      <c r="B451" s="1" t="n">
        <v>45957.44295138889</v>
      </c>
      <c r="C451" s="1" t="n">
        <v>46081</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52740-2025</t>
        </is>
      </c>
      <c r="B452" s="1" t="n">
        <v>45957.37747685185</v>
      </c>
      <c r="C452" s="1" t="n">
        <v>46081</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52743-2025</t>
        </is>
      </c>
      <c r="B453" s="1" t="n">
        <v>45957.38039351852</v>
      </c>
      <c r="C453" s="1" t="n">
        <v>46081</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52807-2025</t>
        </is>
      </c>
      <c r="B454" s="1" t="n">
        <v>45957.44837962963</v>
      </c>
      <c r="C454" s="1" t="n">
        <v>46081</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61532-2021</t>
        </is>
      </c>
      <c r="B455" s="1" t="n">
        <v>44501</v>
      </c>
      <c r="C455" s="1" t="n">
        <v>46081</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3374-2023</t>
        </is>
      </c>
      <c r="B456" s="1" t="n">
        <v>44949</v>
      </c>
      <c r="C456" s="1" t="n">
        <v>46081</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224-2024</t>
        </is>
      </c>
      <c r="B457" s="1" t="n">
        <v>45294</v>
      </c>
      <c r="C457" s="1" t="n">
        <v>46081</v>
      </c>
      <c r="D457" t="inlineStr">
        <is>
          <t>ÖSTERGÖTLANDS LÄN</t>
        </is>
      </c>
      <c r="E457" t="inlineStr">
        <is>
          <t>LINKÖPING</t>
        </is>
      </c>
      <c r="G457" t="n">
        <v>2.8</v>
      </c>
      <c r="H457" t="n">
        <v>0</v>
      </c>
      <c r="I457" t="n">
        <v>0</v>
      </c>
      <c r="J457" t="n">
        <v>0</v>
      </c>
      <c r="K457" t="n">
        <v>0</v>
      </c>
      <c r="L457" t="n">
        <v>0</v>
      </c>
      <c r="M457" t="n">
        <v>0</v>
      </c>
      <c r="N457" t="n">
        <v>0</v>
      </c>
      <c r="O457" t="n">
        <v>0</v>
      </c>
      <c r="P457" t="n">
        <v>0</v>
      </c>
      <c r="Q457" t="n">
        <v>0</v>
      </c>
      <c r="R457" s="2" t="inlineStr"/>
    </row>
    <row r="458" ht="15" customHeight="1">
      <c r="A458" t="inlineStr">
        <is>
          <t>A 6726-2024</t>
        </is>
      </c>
      <c r="B458" s="1" t="n">
        <v>45341</v>
      </c>
      <c r="C458" s="1" t="n">
        <v>46081</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53814-2023</t>
        </is>
      </c>
      <c r="B459" s="1" t="n">
        <v>45231</v>
      </c>
      <c r="C459" s="1" t="n">
        <v>46081</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54333-2025</t>
        </is>
      </c>
      <c r="B460" s="1" t="n">
        <v>45965.35090277778</v>
      </c>
      <c r="C460" s="1" t="n">
        <v>46081</v>
      </c>
      <c r="D460" t="inlineStr">
        <is>
          <t>ÖSTERGÖTLANDS LÄN</t>
        </is>
      </c>
      <c r="E460" t="inlineStr">
        <is>
          <t>LINKÖPING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60004-2022</t>
        </is>
      </c>
      <c r="B461" s="1" t="n">
        <v>44909.47206018519</v>
      </c>
      <c r="C461" s="1" t="n">
        <v>46081</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52796-2023</t>
        </is>
      </c>
      <c r="B462" s="1" t="n">
        <v>45219</v>
      </c>
      <c r="C462" s="1" t="n">
        <v>46081</v>
      </c>
      <c r="D462" t="inlineStr">
        <is>
          <t>ÖSTERGÖTLANDS LÄN</t>
        </is>
      </c>
      <c r="E462" t="inlineStr">
        <is>
          <t>LINKÖPING</t>
        </is>
      </c>
      <c r="F462" t="inlineStr">
        <is>
          <t>Övriga statliga verk och myndigheter</t>
        </is>
      </c>
      <c r="G462" t="n">
        <v>3.9</v>
      </c>
      <c r="H462" t="n">
        <v>0</v>
      </c>
      <c r="I462" t="n">
        <v>0</v>
      </c>
      <c r="J462" t="n">
        <v>0</v>
      </c>
      <c r="K462" t="n">
        <v>0</v>
      </c>
      <c r="L462" t="n">
        <v>0</v>
      </c>
      <c r="M462" t="n">
        <v>0</v>
      </c>
      <c r="N462" t="n">
        <v>0</v>
      </c>
      <c r="O462" t="n">
        <v>0</v>
      </c>
      <c r="P462" t="n">
        <v>0</v>
      </c>
      <c r="Q462" t="n">
        <v>0</v>
      </c>
      <c r="R462" s="2" t="inlineStr"/>
    </row>
    <row r="463" ht="15" customHeight="1">
      <c r="A463" t="inlineStr">
        <is>
          <t>A 50743-2023</t>
        </is>
      </c>
      <c r="B463" s="1" t="n">
        <v>45217</v>
      </c>
      <c r="C463" s="1" t="n">
        <v>46081</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45771-2023</t>
        </is>
      </c>
      <c r="B464" s="1" t="n">
        <v>45195.4384375</v>
      </c>
      <c r="C464" s="1" t="n">
        <v>46081</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54332-2025</t>
        </is>
      </c>
      <c r="B465" s="1" t="n">
        <v>45965.34915509259</v>
      </c>
      <c r="C465" s="1" t="n">
        <v>46081</v>
      </c>
      <c r="D465" t="inlineStr">
        <is>
          <t>ÖSTERGÖTLANDS LÄN</t>
        </is>
      </c>
      <c r="E465" t="inlineStr">
        <is>
          <t>LINKÖPING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54329-2025</t>
        </is>
      </c>
      <c r="B466" s="1" t="n">
        <v>45965.34706018519</v>
      </c>
      <c r="C466" s="1" t="n">
        <v>46081</v>
      </c>
      <c r="D466" t="inlineStr">
        <is>
          <t>ÖSTERGÖTLANDS LÄN</t>
        </is>
      </c>
      <c r="E466" t="inlineStr">
        <is>
          <t>LINKÖPING</t>
        </is>
      </c>
      <c r="F466" t="inlineStr">
        <is>
          <t>Sveaskog</t>
        </is>
      </c>
      <c r="G466" t="n">
        <v>5.1</v>
      </c>
      <c r="H466" t="n">
        <v>0</v>
      </c>
      <c r="I466" t="n">
        <v>0</v>
      </c>
      <c r="J466" t="n">
        <v>0</v>
      </c>
      <c r="K466" t="n">
        <v>0</v>
      </c>
      <c r="L466" t="n">
        <v>0</v>
      </c>
      <c r="M466" t="n">
        <v>0</v>
      </c>
      <c r="N466" t="n">
        <v>0</v>
      </c>
      <c r="O466" t="n">
        <v>0</v>
      </c>
      <c r="P466" t="n">
        <v>0</v>
      </c>
      <c r="Q466" t="n">
        <v>0</v>
      </c>
      <c r="R466" s="2" t="inlineStr"/>
    </row>
    <row r="467" ht="15" customHeight="1">
      <c r="A467" t="inlineStr">
        <is>
          <t>A 63554-2023</t>
        </is>
      </c>
      <c r="B467" s="1" t="n">
        <v>45275</v>
      </c>
      <c r="C467" s="1" t="n">
        <v>46081</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30111-2024</t>
        </is>
      </c>
      <c r="B468" s="1" t="n">
        <v>45489.46947916667</v>
      </c>
      <c r="C468" s="1" t="n">
        <v>46081</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30119-2024</t>
        </is>
      </c>
      <c r="B469" s="1" t="n">
        <v>45489</v>
      </c>
      <c r="C469" s="1" t="n">
        <v>46081</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6206-2024</t>
        </is>
      </c>
      <c r="B470" s="1" t="n">
        <v>45337.5977662037</v>
      </c>
      <c r="C470" s="1" t="n">
        <v>46081</v>
      </c>
      <c r="D470" t="inlineStr">
        <is>
          <t>ÖSTERGÖTLANDS LÄN</t>
        </is>
      </c>
      <c r="E470" t="inlineStr">
        <is>
          <t>LINKÖPING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46081</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15714-2024</t>
        </is>
      </c>
      <c r="B472" s="1" t="n">
        <v>45404.48288194444</v>
      </c>
      <c r="C472" s="1" t="n">
        <v>46081</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55165-2025</t>
        </is>
      </c>
      <c r="B473" s="1" t="n">
        <v>45968.48194444444</v>
      </c>
      <c r="C473" s="1" t="n">
        <v>46081</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30481-2023</t>
        </is>
      </c>
      <c r="B474" s="1" t="n">
        <v>45111</v>
      </c>
      <c r="C474" s="1" t="n">
        <v>46081</v>
      </c>
      <c r="D474" t="inlineStr">
        <is>
          <t>ÖSTERGÖTLANDS LÄN</t>
        </is>
      </c>
      <c r="E474" t="inlineStr">
        <is>
          <t>LINKÖPING</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55102-2025</t>
        </is>
      </c>
      <c r="B475" s="1" t="n">
        <v>45968.35410879629</v>
      </c>
      <c r="C475" s="1" t="n">
        <v>46081</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55132-2025</t>
        </is>
      </c>
      <c r="B476" s="1" t="n">
        <v>45968.41912037037</v>
      </c>
      <c r="C476" s="1" t="n">
        <v>46081</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74160-2021</t>
        </is>
      </c>
      <c r="B477" s="1" t="n">
        <v>44558</v>
      </c>
      <c r="C477" s="1" t="n">
        <v>46081</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63559-2023</t>
        </is>
      </c>
      <c r="B478" s="1" t="n">
        <v>45275.35924768518</v>
      </c>
      <c r="C478" s="1" t="n">
        <v>46081</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23491-2024</t>
        </is>
      </c>
      <c r="B479" s="1" t="n">
        <v>45453</v>
      </c>
      <c r="C479" s="1" t="n">
        <v>46081</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29309-2024</t>
        </is>
      </c>
      <c r="B480" s="1" t="n">
        <v>45483</v>
      </c>
      <c r="C480" s="1" t="n">
        <v>46081</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29411-2023</t>
        </is>
      </c>
      <c r="B481" s="1" t="n">
        <v>45106.46225694445</v>
      </c>
      <c r="C481" s="1" t="n">
        <v>46081</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29412-2023</t>
        </is>
      </c>
      <c r="B482" s="1" t="n">
        <v>45106.46359953703</v>
      </c>
      <c r="C482" s="1" t="n">
        <v>46081</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29413-2023</t>
        </is>
      </c>
      <c r="B483" s="1" t="n">
        <v>45106.46465277778</v>
      </c>
      <c r="C483" s="1" t="n">
        <v>46081</v>
      </c>
      <c r="D483" t="inlineStr">
        <is>
          <t>ÖSTERGÖTLANDS LÄN</t>
        </is>
      </c>
      <c r="E483" t="inlineStr">
        <is>
          <t>LINKÖPING</t>
        </is>
      </c>
      <c r="G483" t="n">
        <v>8</v>
      </c>
      <c r="H483" t="n">
        <v>0</v>
      </c>
      <c r="I483" t="n">
        <v>0</v>
      </c>
      <c r="J483" t="n">
        <v>0</v>
      </c>
      <c r="K483" t="n">
        <v>0</v>
      </c>
      <c r="L483" t="n">
        <v>0</v>
      </c>
      <c r="M483" t="n">
        <v>0</v>
      </c>
      <c r="N483" t="n">
        <v>0</v>
      </c>
      <c r="O483" t="n">
        <v>0</v>
      </c>
      <c r="P483" t="n">
        <v>0</v>
      </c>
      <c r="Q483" t="n">
        <v>0</v>
      </c>
      <c r="R483" s="2" t="inlineStr"/>
    </row>
    <row r="484" ht="15" customHeight="1">
      <c r="A484" t="inlineStr">
        <is>
          <t>A 56105-2025</t>
        </is>
      </c>
      <c r="B484" s="1" t="n">
        <v>45973.72855324074</v>
      </c>
      <c r="C484" s="1" t="n">
        <v>46081</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24151-2024</t>
        </is>
      </c>
      <c r="B485" s="1" t="n">
        <v>45456.67717592593</v>
      </c>
      <c r="C485" s="1" t="n">
        <v>46081</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56403-2025</t>
        </is>
      </c>
      <c r="B486" s="1" t="n">
        <v>45974</v>
      </c>
      <c r="C486" s="1" t="n">
        <v>46081</v>
      </c>
      <c r="D486" t="inlineStr">
        <is>
          <t>ÖSTERGÖTLANDS LÄN</t>
        </is>
      </c>
      <c r="E486" t="inlineStr">
        <is>
          <t>LINKÖPING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63845-2021</t>
        </is>
      </c>
      <c r="B487" s="1" t="n">
        <v>44509</v>
      </c>
      <c r="C487" s="1" t="n">
        <v>46081</v>
      </c>
      <c r="D487" t="inlineStr">
        <is>
          <t>ÖSTERGÖTLANDS LÄN</t>
        </is>
      </c>
      <c r="E487" t="inlineStr">
        <is>
          <t>LINKÖPING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56113-2025</t>
        </is>
      </c>
      <c r="B488" s="1" t="n">
        <v>45973.73924768518</v>
      </c>
      <c r="C488" s="1" t="n">
        <v>46081</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17785-2023</t>
        </is>
      </c>
      <c r="B489" s="1" t="n">
        <v>45037.55094907407</v>
      </c>
      <c r="C489" s="1" t="n">
        <v>46081</v>
      </c>
      <c r="D489" t="inlineStr">
        <is>
          <t>ÖSTERGÖTLANDS LÄN</t>
        </is>
      </c>
      <c r="E489" t="inlineStr">
        <is>
          <t>LINKÖPING</t>
        </is>
      </c>
      <c r="F489" t="inlineStr">
        <is>
          <t>Allmännings- och besparingsskogar</t>
        </is>
      </c>
      <c r="G489" t="n">
        <v>3.1</v>
      </c>
      <c r="H489" t="n">
        <v>0</v>
      </c>
      <c r="I489" t="n">
        <v>0</v>
      </c>
      <c r="J489" t="n">
        <v>0</v>
      </c>
      <c r="K489" t="n">
        <v>0</v>
      </c>
      <c r="L489" t="n">
        <v>0</v>
      </c>
      <c r="M489" t="n">
        <v>0</v>
      </c>
      <c r="N489" t="n">
        <v>0</v>
      </c>
      <c r="O489" t="n">
        <v>0</v>
      </c>
      <c r="P489" t="n">
        <v>0</v>
      </c>
      <c r="Q489" t="n">
        <v>0</v>
      </c>
      <c r="R489" s="2" t="inlineStr"/>
    </row>
    <row r="490" ht="15" customHeight="1">
      <c r="A490" t="inlineStr">
        <is>
          <t>A 32346-2023</t>
        </is>
      </c>
      <c r="B490" s="1" t="n">
        <v>45120</v>
      </c>
      <c r="C490" s="1" t="n">
        <v>46081</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56704-2025</t>
        </is>
      </c>
      <c r="B491" s="1" t="n">
        <v>45977.50608796296</v>
      </c>
      <c r="C491" s="1" t="n">
        <v>46081</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1627-2023</t>
        </is>
      </c>
      <c r="B492" s="1" t="n">
        <v>44937</v>
      </c>
      <c r="C492" s="1" t="n">
        <v>46081</v>
      </c>
      <c r="D492" t="inlineStr">
        <is>
          <t>ÖSTERGÖTLANDS LÄN</t>
        </is>
      </c>
      <c r="E492" t="inlineStr">
        <is>
          <t>LINKÖPING</t>
        </is>
      </c>
      <c r="G492" t="n">
        <v>10.8</v>
      </c>
      <c r="H492" t="n">
        <v>0</v>
      </c>
      <c r="I492" t="n">
        <v>0</v>
      </c>
      <c r="J492" t="n">
        <v>0</v>
      </c>
      <c r="K492" t="n">
        <v>0</v>
      </c>
      <c r="L492" t="n">
        <v>0</v>
      </c>
      <c r="M492" t="n">
        <v>0</v>
      </c>
      <c r="N492" t="n">
        <v>0</v>
      </c>
      <c r="O492" t="n">
        <v>0</v>
      </c>
      <c r="P492" t="n">
        <v>0</v>
      </c>
      <c r="Q492" t="n">
        <v>0</v>
      </c>
      <c r="R492" s="2" t="inlineStr"/>
    </row>
    <row r="493" ht="15" customHeight="1">
      <c r="A493" t="inlineStr">
        <is>
          <t>A 16665-2023</t>
        </is>
      </c>
      <c r="B493" s="1" t="n">
        <v>45030.5583912037</v>
      </c>
      <c r="C493" s="1" t="n">
        <v>46081</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60860-2024</t>
        </is>
      </c>
      <c r="B494" s="1" t="n">
        <v>45644.6893287037</v>
      </c>
      <c r="C494" s="1" t="n">
        <v>46081</v>
      </c>
      <c r="D494" t="inlineStr">
        <is>
          <t>ÖSTERGÖTLANDS LÄN</t>
        </is>
      </c>
      <c r="E494" t="inlineStr">
        <is>
          <t>LINKÖPING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31640-2023</t>
        </is>
      </c>
      <c r="B495" s="1" t="n">
        <v>45117</v>
      </c>
      <c r="C495" s="1" t="n">
        <v>46081</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16213-2025</t>
        </is>
      </c>
      <c r="B496" s="1" t="n">
        <v>45750.62740740741</v>
      </c>
      <c r="C496" s="1" t="n">
        <v>46081</v>
      </c>
      <c r="D496" t="inlineStr">
        <is>
          <t>ÖSTERGÖTLANDS LÄN</t>
        </is>
      </c>
      <c r="E496" t="inlineStr">
        <is>
          <t>LINKÖPING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34872-2023</t>
        </is>
      </c>
      <c r="B497" s="1" t="n">
        <v>45140</v>
      </c>
      <c r="C497" s="1" t="n">
        <v>46081</v>
      </c>
      <c r="D497" t="inlineStr">
        <is>
          <t>ÖSTERGÖTLANDS LÄN</t>
        </is>
      </c>
      <c r="E497" t="inlineStr">
        <is>
          <t>LINKÖPING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33000-2023</t>
        </is>
      </c>
      <c r="B498" s="1" t="n">
        <v>45125</v>
      </c>
      <c r="C498" s="1" t="n">
        <v>46081</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2997-2025</t>
        </is>
      </c>
      <c r="B499" s="1" t="n">
        <v>45678.54631944445</v>
      </c>
      <c r="C499" s="1" t="n">
        <v>46081</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31534-2023</t>
        </is>
      </c>
      <c r="B500" s="1" t="n">
        <v>45116</v>
      </c>
      <c r="C500" s="1" t="n">
        <v>46081</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26803-2024</t>
        </is>
      </c>
      <c r="B501" s="1" t="n">
        <v>45470</v>
      </c>
      <c r="C501" s="1" t="n">
        <v>46081</v>
      </c>
      <c r="D501" t="inlineStr">
        <is>
          <t>ÖSTERGÖTLANDS LÄN</t>
        </is>
      </c>
      <c r="E501" t="inlineStr">
        <is>
          <t>LINKÖPING</t>
        </is>
      </c>
      <c r="F501" t="inlineStr">
        <is>
          <t>Allmännings- och besparingsskogar</t>
        </is>
      </c>
      <c r="G501" t="n">
        <v>4.5</v>
      </c>
      <c r="H501" t="n">
        <v>0</v>
      </c>
      <c r="I501" t="n">
        <v>0</v>
      </c>
      <c r="J501" t="n">
        <v>0</v>
      </c>
      <c r="K501" t="n">
        <v>0</v>
      </c>
      <c r="L501" t="n">
        <v>0</v>
      </c>
      <c r="M501" t="n">
        <v>0</v>
      </c>
      <c r="N501" t="n">
        <v>0</v>
      </c>
      <c r="O501" t="n">
        <v>0</v>
      </c>
      <c r="P501" t="n">
        <v>0</v>
      </c>
      <c r="Q501" t="n">
        <v>0</v>
      </c>
      <c r="R501" s="2" t="inlineStr"/>
    </row>
    <row r="502" ht="15" customHeight="1">
      <c r="A502" t="inlineStr">
        <is>
          <t>A 45806-2024</t>
        </is>
      </c>
      <c r="B502" s="1" t="n">
        <v>45579.69619212963</v>
      </c>
      <c r="C502" s="1" t="n">
        <v>46081</v>
      </c>
      <c r="D502" t="inlineStr">
        <is>
          <t>ÖSTERGÖTLANDS LÄN</t>
        </is>
      </c>
      <c r="E502" t="inlineStr">
        <is>
          <t>LINKÖPING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37154-2023</t>
        </is>
      </c>
      <c r="B503" s="1" t="n">
        <v>45155</v>
      </c>
      <c r="C503" s="1" t="n">
        <v>46081</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11330-2023</t>
        </is>
      </c>
      <c r="B504" s="1" t="n">
        <v>44993.24648148148</v>
      </c>
      <c r="C504" s="1" t="n">
        <v>46081</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42000-2023</t>
        </is>
      </c>
      <c r="B505" s="1" t="n">
        <v>45177</v>
      </c>
      <c r="C505" s="1" t="n">
        <v>46081</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55004-2025</t>
        </is>
      </c>
      <c r="B506" s="1" t="n">
        <v>45967</v>
      </c>
      <c r="C506" s="1" t="n">
        <v>46081</v>
      </c>
      <c r="D506" t="inlineStr">
        <is>
          <t>ÖSTERGÖTLANDS LÄN</t>
        </is>
      </c>
      <c r="E506" t="inlineStr">
        <is>
          <t>LINKÖPING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32602-2022</t>
        </is>
      </c>
      <c r="B507" s="1" t="n">
        <v>44783.43192129629</v>
      </c>
      <c r="C507" s="1" t="n">
        <v>46081</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59205-2025</t>
        </is>
      </c>
      <c r="B508" s="1" t="n">
        <v>45988.60721064815</v>
      </c>
      <c r="C508" s="1" t="n">
        <v>46081</v>
      </c>
      <c r="D508" t="inlineStr">
        <is>
          <t>ÖSTERGÖTLANDS LÄN</t>
        </is>
      </c>
      <c r="E508" t="inlineStr">
        <is>
          <t>LINKÖPING</t>
        </is>
      </c>
      <c r="F508" t="inlineStr">
        <is>
          <t>Sveaskog</t>
        </is>
      </c>
      <c r="G508" t="n">
        <v>11.3</v>
      </c>
      <c r="H508" t="n">
        <v>0</v>
      </c>
      <c r="I508" t="n">
        <v>0</v>
      </c>
      <c r="J508" t="n">
        <v>0</v>
      </c>
      <c r="K508" t="n">
        <v>0</v>
      </c>
      <c r="L508" t="n">
        <v>0</v>
      </c>
      <c r="M508" t="n">
        <v>0</v>
      </c>
      <c r="N508" t="n">
        <v>0</v>
      </c>
      <c r="O508" t="n">
        <v>0</v>
      </c>
      <c r="P508" t="n">
        <v>0</v>
      </c>
      <c r="Q508" t="n">
        <v>0</v>
      </c>
      <c r="R508" s="2" t="inlineStr"/>
    </row>
    <row r="509" ht="15" customHeight="1">
      <c r="A509" t="inlineStr">
        <is>
          <t>A 58802-2025</t>
        </is>
      </c>
      <c r="B509" s="1" t="n">
        <v>45986.8768287037</v>
      </c>
      <c r="C509" s="1" t="n">
        <v>46081</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59472-2025</t>
        </is>
      </c>
      <c r="B510" s="1" t="n">
        <v>45989.58321759259</v>
      </c>
      <c r="C510" s="1" t="n">
        <v>46081</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13413-2023</t>
        </is>
      </c>
      <c r="B511" s="1" t="n">
        <v>45005.58341435185</v>
      </c>
      <c r="C511" s="1" t="n">
        <v>46081</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63528-2023</t>
        </is>
      </c>
      <c r="B512" s="1" t="n">
        <v>45274.94810185185</v>
      </c>
      <c r="C512" s="1" t="n">
        <v>46081</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63638-2023</t>
        </is>
      </c>
      <c r="B513" s="1" t="n">
        <v>45275</v>
      </c>
      <c r="C513" s="1" t="n">
        <v>46081</v>
      </c>
      <c r="D513" t="inlineStr">
        <is>
          <t>ÖSTERGÖTLANDS LÄN</t>
        </is>
      </c>
      <c r="E513" t="inlineStr">
        <is>
          <t>LINKÖPING</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63658-2023</t>
        </is>
      </c>
      <c r="B514" s="1" t="n">
        <v>45275</v>
      </c>
      <c r="C514" s="1" t="n">
        <v>46081</v>
      </c>
      <c r="D514" t="inlineStr">
        <is>
          <t>ÖSTERGÖTLANDS LÄN</t>
        </is>
      </c>
      <c r="E514" t="inlineStr">
        <is>
          <t>LINKÖPING</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7808-2022</t>
        </is>
      </c>
      <c r="B515" s="1" t="n">
        <v>44608</v>
      </c>
      <c r="C515" s="1" t="n">
        <v>46081</v>
      </c>
      <c r="D515" t="inlineStr">
        <is>
          <t>ÖSTERGÖTLANDS LÄN</t>
        </is>
      </c>
      <c r="E515" t="inlineStr">
        <is>
          <t>LINKÖPING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36336-2023</t>
        </is>
      </c>
      <c r="B516" s="1" t="n">
        <v>45152.45078703704</v>
      </c>
      <c r="C516" s="1" t="n">
        <v>46081</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56623-2024</t>
        </is>
      </c>
      <c r="B517" s="1" t="n">
        <v>45625</v>
      </c>
      <c r="C517" s="1" t="n">
        <v>46081</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60087-2025</t>
        </is>
      </c>
      <c r="B518" s="1" t="n">
        <v>45993.71726851852</v>
      </c>
      <c r="C518" s="1" t="n">
        <v>46081</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60284-2025</t>
        </is>
      </c>
      <c r="B519" s="1" t="n">
        <v>45994.64373842593</v>
      </c>
      <c r="C519" s="1" t="n">
        <v>46081</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60306-2025</t>
        </is>
      </c>
      <c r="B520" s="1" t="n">
        <v>45994.68326388889</v>
      </c>
      <c r="C520" s="1" t="n">
        <v>46081</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13011-2022</t>
        </is>
      </c>
      <c r="B521" s="1" t="n">
        <v>44643</v>
      </c>
      <c r="C521" s="1" t="n">
        <v>46081</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11595-2025</t>
        </is>
      </c>
      <c r="B522" s="1" t="n">
        <v>45727.41893518518</v>
      </c>
      <c r="C522" s="1" t="n">
        <v>46081</v>
      </c>
      <c r="D522" t="inlineStr">
        <is>
          <t>ÖSTERGÖTLANDS LÄN</t>
        </is>
      </c>
      <c r="E522" t="inlineStr">
        <is>
          <t>LINKÖPING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60703-2025</t>
        </is>
      </c>
      <c r="B523" s="1" t="n">
        <v>45996.6052662037</v>
      </c>
      <c r="C523" s="1" t="n">
        <v>46081</v>
      </c>
      <c r="D523" t="inlineStr">
        <is>
          <t>ÖSTERGÖTLANDS LÄN</t>
        </is>
      </c>
      <c r="E523" t="inlineStr">
        <is>
          <t>LINKÖPING</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50508-2024</t>
        </is>
      </c>
      <c r="B524" s="1" t="n">
        <v>45601.53907407408</v>
      </c>
      <c r="C524" s="1" t="n">
        <v>46081</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46081</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48839-2022</t>
        </is>
      </c>
      <c r="B526" s="1" t="n">
        <v>44859</v>
      </c>
      <c r="C526" s="1" t="n">
        <v>46081</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61230-2025</t>
        </is>
      </c>
      <c r="B527" s="1" t="n">
        <v>46000.63111111111</v>
      </c>
      <c r="C527" s="1" t="n">
        <v>46081</v>
      </c>
      <c r="D527" t="inlineStr">
        <is>
          <t>ÖSTERGÖTLANDS LÄN</t>
        </is>
      </c>
      <c r="E527" t="inlineStr">
        <is>
          <t>LINKÖPING</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60866-2025</t>
        </is>
      </c>
      <c r="B528" s="1" t="n">
        <v>45999</v>
      </c>
      <c r="C528" s="1" t="n">
        <v>46081</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6387-2022</t>
        </is>
      </c>
      <c r="B529" s="1" t="n">
        <v>44600</v>
      </c>
      <c r="C529" s="1" t="n">
        <v>46081</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34641-2022</t>
        </is>
      </c>
      <c r="B530" s="1" t="n">
        <v>44795</v>
      </c>
      <c r="C530" s="1" t="n">
        <v>46081</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13687-2025</t>
        </is>
      </c>
      <c r="B531" s="1" t="n">
        <v>45737.31425925926</v>
      </c>
      <c r="C531" s="1" t="n">
        <v>46081</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13695-2025</t>
        </is>
      </c>
      <c r="B532" s="1" t="n">
        <v>45737.32219907407</v>
      </c>
      <c r="C532" s="1" t="n">
        <v>46081</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52413-2023</t>
        </is>
      </c>
      <c r="B533" s="1" t="n">
        <v>45225.27950231481</v>
      </c>
      <c r="C533" s="1" t="n">
        <v>46081</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61643-2025</t>
        </is>
      </c>
      <c r="B534" s="1" t="n">
        <v>46002.43575231481</v>
      </c>
      <c r="C534" s="1" t="n">
        <v>46081</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42054-2022</t>
        </is>
      </c>
      <c r="B535" s="1" t="n">
        <v>44830</v>
      </c>
      <c r="C535" s="1" t="n">
        <v>46081</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53797-2023</t>
        </is>
      </c>
      <c r="B536" s="1" t="n">
        <v>45230</v>
      </c>
      <c r="C536" s="1" t="n">
        <v>46081</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61447-2025</t>
        </is>
      </c>
      <c r="B537" s="1" t="n">
        <v>46001.57554398148</v>
      </c>
      <c r="C537" s="1" t="n">
        <v>46081</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61645-2025</t>
        </is>
      </c>
      <c r="B538" s="1" t="n">
        <v>46002.43697916667</v>
      </c>
      <c r="C538" s="1" t="n">
        <v>46081</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22833-2023</t>
        </is>
      </c>
      <c r="B539" s="1" t="n">
        <v>45071</v>
      </c>
      <c r="C539" s="1" t="n">
        <v>46081</v>
      </c>
      <c r="D539" t="inlineStr">
        <is>
          <t>ÖSTERGÖTLANDS LÄN</t>
        </is>
      </c>
      <c r="E539" t="inlineStr">
        <is>
          <t>LINKÖPING</t>
        </is>
      </c>
      <c r="F539" t="inlineStr">
        <is>
          <t>Kommuner</t>
        </is>
      </c>
      <c r="G539" t="n">
        <v>1</v>
      </c>
      <c r="H539" t="n">
        <v>0</v>
      </c>
      <c r="I539" t="n">
        <v>0</v>
      </c>
      <c r="J539" t="n">
        <v>0</v>
      </c>
      <c r="K539" t="n">
        <v>0</v>
      </c>
      <c r="L539" t="n">
        <v>0</v>
      </c>
      <c r="M539" t="n">
        <v>0</v>
      </c>
      <c r="N539" t="n">
        <v>0</v>
      </c>
      <c r="O539" t="n">
        <v>0</v>
      </c>
      <c r="P539" t="n">
        <v>0</v>
      </c>
      <c r="Q539" t="n">
        <v>0</v>
      </c>
      <c r="R539" s="2" t="inlineStr"/>
    </row>
    <row r="540" ht="15" customHeight="1">
      <c r="A540" t="inlineStr">
        <is>
          <t>A 17898-2022</t>
        </is>
      </c>
      <c r="B540" s="1" t="n">
        <v>44683</v>
      </c>
      <c r="C540" s="1" t="n">
        <v>46081</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62017-2024</t>
        </is>
      </c>
      <c r="B541" s="1" t="n">
        <v>45655.81140046296</v>
      </c>
      <c r="C541" s="1" t="n">
        <v>46081</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46081</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10492-2022</t>
        </is>
      </c>
      <c r="B543" s="1" t="n">
        <v>44623.6377199074</v>
      </c>
      <c r="C543" s="1" t="n">
        <v>46081</v>
      </c>
      <c r="D543" t="inlineStr">
        <is>
          <t>ÖSTERGÖTLANDS LÄN</t>
        </is>
      </c>
      <c r="E543" t="inlineStr">
        <is>
          <t>LINKÖPING</t>
        </is>
      </c>
      <c r="G543" t="n">
        <v>2.1</v>
      </c>
      <c r="H543" t="n">
        <v>0</v>
      </c>
      <c r="I543" t="n">
        <v>0</v>
      </c>
      <c r="J543" t="n">
        <v>0</v>
      </c>
      <c r="K543" t="n">
        <v>0</v>
      </c>
      <c r="L543" t="n">
        <v>0</v>
      </c>
      <c r="M543" t="n">
        <v>0</v>
      </c>
      <c r="N543" t="n">
        <v>0</v>
      </c>
      <c r="O543" t="n">
        <v>0</v>
      </c>
      <c r="P543" t="n">
        <v>0</v>
      </c>
      <c r="Q543" t="n">
        <v>0</v>
      </c>
      <c r="R543" s="2" t="inlineStr"/>
    </row>
    <row r="544" ht="15" customHeight="1">
      <c r="A544" t="inlineStr">
        <is>
          <t>A 4469-2026</t>
        </is>
      </c>
      <c r="B544" s="1" t="n">
        <v>46045.65662037037</v>
      </c>
      <c r="C544" s="1" t="n">
        <v>46081</v>
      </c>
      <c r="D544" t="inlineStr">
        <is>
          <t>ÖSTERGÖTLANDS LÄN</t>
        </is>
      </c>
      <c r="E544" t="inlineStr">
        <is>
          <t>LINKÖPING</t>
        </is>
      </c>
      <c r="F544" t="inlineStr">
        <is>
          <t>Övriga Aktiebolag</t>
        </is>
      </c>
      <c r="G544" t="n">
        <v>3.8</v>
      </c>
      <c r="H544" t="n">
        <v>0</v>
      </c>
      <c r="I544" t="n">
        <v>0</v>
      </c>
      <c r="J544" t="n">
        <v>0</v>
      </c>
      <c r="K544" t="n">
        <v>0</v>
      </c>
      <c r="L544" t="n">
        <v>0</v>
      </c>
      <c r="M544" t="n">
        <v>0</v>
      </c>
      <c r="N544" t="n">
        <v>0</v>
      </c>
      <c r="O544" t="n">
        <v>0</v>
      </c>
      <c r="P544" t="n">
        <v>0</v>
      </c>
      <c r="Q544" t="n">
        <v>0</v>
      </c>
      <c r="R544" s="2" t="inlineStr"/>
    </row>
    <row r="545" ht="15" customHeight="1">
      <c r="A545" t="inlineStr">
        <is>
          <t>A 7343-2025</t>
        </is>
      </c>
      <c r="B545" s="1" t="n">
        <v>45703.67853009259</v>
      </c>
      <c r="C545" s="1" t="n">
        <v>46081</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8967-2025</t>
        </is>
      </c>
      <c r="B546" s="1" t="n">
        <v>45712</v>
      </c>
      <c r="C546" s="1" t="n">
        <v>46081</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35427-2023</t>
        </is>
      </c>
      <c r="B547" s="1" t="n">
        <v>45146</v>
      </c>
      <c r="C547" s="1" t="n">
        <v>46081</v>
      </c>
      <c r="D547" t="inlineStr">
        <is>
          <t>ÖSTERGÖTLANDS LÄN</t>
        </is>
      </c>
      <c r="E547" t="inlineStr">
        <is>
          <t>LINKÖPING</t>
        </is>
      </c>
      <c r="F547" t="inlineStr">
        <is>
          <t>Övriga Aktiebolag</t>
        </is>
      </c>
      <c r="G547" t="n">
        <v>2.5</v>
      </c>
      <c r="H547" t="n">
        <v>0</v>
      </c>
      <c r="I547" t="n">
        <v>0</v>
      </c>
      <c r="J547" t="n">
        <v>0</v>
      </c>
      <c r="K547" t="n">
        <v>0</v>
      </c>
      <c r="L547" t="n">
        <v>0</v>
      </c>
      <c r="M547" t="n">
        <v>0</v>
      </c>
      <c r="N547" t="n">
        <v>0</v>
      </c>
      <c r="O547" t="n">
        <v>0</v>
      </c>
      <c r="P547" t="n">
        <v>0</v>
      </c>
      <c r="Q547" t="n">
        <v>0</v>
      </c>
      <c r="R547" s="2" t="inlineStr"/>
    </row>
    <row r="548" ht="15" customHeight="1">
      <c r="A548" t="inlineStr">
        <is>
          <t>A 30468-2023</t>
        </is>
      </c>
      <c r="B548" s="1" t="n">
        <v>45111.58732638889</v>
      </c>
      <c r="C548" s="1" t="n">
        <v>46081</v>
      </c>
      <c r="D548" t="inlineStr">
        <is>
          <t>ÖSTERGÖTLANDS LÄN</t>
        </is>
      </c>
      <c r="E548" t="inlineStr">
        <is>
          <t>LINKÖPING</t>
        </is>
      </c>
      <c r="G548" t="n">
        <v>10.1</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46081</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62791-2025</t>
        </is>
      </c>
      <c r="B550" s="1" t="n">
        <v>46008.63266203704</v>
      </c>
      <c r="C550" s="1" t="n">
        <v>46081</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5099-2026</t>
        </is>
      </c>
      <c r="B551" s="1" t="n">
        <v>46049.56158564815</v>
      </c>
      <c r="C551" s="1" t="n">
        <v>46081</v>
      </c>
      <c r="D551" t="inlineStr">
        <is>
          <t>ÖSTERGÖTLANDS LÄN</t>
        </is>
      </c>
      <c r="E551" t="inlineStr">
        <is>
          <t>LINKÖPING</t>
        </is>
      </c>
      <c r="G551" t="n">
        <v>5</v>
      </c>
      <c r="H551" t="n">
        <v>0</v>
      </c>
      <c r="I551" t="n">
        <v>0</v>
      </c>
      <c r="J551" t="n">
        <v>0</v>
      </c>
      <c r="K551" t="n">
        <v>0</v>
      </c>
      <c r="L551" t="n">
        <v>0</v>
      </c>
      <c r="M551" t="n">
        <v>0</v>
      </c>
      <c r="N551" t="n">
        <v>0</v>
      </c>
      <c r="O551" t="n">
        <v>0</v>
      </c>
      <c r="P551" t="n">
        <v>0</v>
      </c>
      <c r="Q551" t="n">
        <v>0</v>
      </c>
      <c r="R551" s="2" t="inlineStr"/>
    </row>
    <row r="552" ht="15" customHeight="1">
      <c r="A552" t="inlineStr">
        <is>
          <t>A 20296-2025</t>
        </is>
      </c>
      <c r="B552" s="1" t="n">
        <v>45774.74922453704</v>
      </c>
      <c r="C552" s="1" t="n">
        <v>46081</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56841-2023</t>
        </is>
      </c>
      <c r="B553" s="1" t="n">
        <v>45244</v>
      </c>
      <c r="C553" s="1" t="n">
        <v>46081</v>
      </c>
      <c r="D553" t="inlineStr">
        <is>
          <t>ÖSTERGÖTLANDS LÄN</t>
        </is>
      </c>
      <c r="E553" t="inlineStr">
        <is>
          <t>LINKÖPING</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62686-2025</t>
        </is>
      </c>
      <c r="B554" s="1" t="n">
        <v>46008.46769675926</v>
      </c>
      <c r="C554" s="1" t="n">
        <v>46081</v>
      </c>
      <c r="D554" t="inlineStr">
        <is>
          <t>ÖSTERGÖTLANDS LÄN</t>
        </is>
      </c>
      <c r="E554" t="inlineStr">
        <is>
          <t>LINKÖPING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62515-2025</t>
        </is>
      </c>
      <c r="B555" s="1" t="n">
        <v>46007.60548611111</v>
      </c>
      <c r="C555" s="1" t="n">
        <v>46081</v>
      </c>
      <c r="D555" t="inlineStr">
        <is>
          <t>ÖSTERGÖTLANDS LÄN</t>
        </is>
      </c>
      <c r="E555" t="inlineStr">
        <is>
          <t>LINKÖPING</t>
        </is>
      </c>
      <c r="G555" t="n">
        <v>2.2</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46081</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63147-2025</t>
        </is>
      </c>
      <c r="B557" s="1" t="n">
        <v>46010.35003472222</v>
      </c>
      <c r="C557" s="1" t="n">
        <v>46081</v>
      </c>
      <c r="D557" t="inlineStr">
        <is>
          <t>ÖSTERGÖTLANDS LÄN</t>
        </is>
      </c>
      <c r="E557" t="inlineStr">
        <is>
          <t>LINKÖPING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53812-2023</t>
        </is>
      </c>
      <c r="B558" s="1" t="n">
        <v>45231.39583333334</v>
      </c>
      <c r="C558" s="1" t="n">
        <v>46081</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53830-2023</t>
        </is>
      </c>
      <c r="B559" s="1" t="n">
        <v>45230</v>
      </c>
      <c r="C559" s="1" t="n">
        <v>46081</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63144-2025</t>
        </is>
      </c>
      <c r="B560" s="1" t="n">
        <v>46010.34716435185</v>
      </c>
      <c r="C560" s="1" t="n">
        <v>46081</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38715-2023</t>
        </is>
      </c>
      <c r="B561" s="1" t="n">
        <v>45160</v>
      </c>
      <c r="C561" s="1" t="n">
        <v>46081</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6384-2026</t>
        </is>
      </c>
      <c r="B562" s="1" t="n">
        <v>46055.63732638889</v>
      </c>
      <c r="C562" s="1" t="n">
        <v>46081</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6164-2026</t>
        </is>
      </c>
      <c r="B563" s="1" t="n">
        <v>46055.32596064815</v>
      </c>
      <c r="C563" s="1" t="n">
        <v>46081</v>
      </c>
      <c r="D563" t="inlineStr">
        <is>
          <t>ÖSTERGÖTLANDS LÄN</t>
        </is>
      </c>
      <c r="E563" t="inlineStr">
        <is>
          <t>LINKÖPING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27766-2022</t>
        </is>
      </c>
      <c r="B564" s="1" t="n">
        <v>44743.53112268518</v>
      </c>
      <c r="C564" s="1" t="n">
        <v>46081</v>
      </c>
      <c r="D564" t="inlineStr">
        <is>
          <t>ÖSTERGÖTLANDS LÄN</t>
        </is>
      </c>
      <c r="E564" t="inlineStr">
        <is>
          <t>LINKÖPING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7133-2026</t>
        </is>
      </c>
      <c r="B565" s="1" t="n">
        <v>46057</v>
      </c>
      <c r="C565" s="1" t="n">
        <v>46081</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48271-2023</t>
        </is>
      </c>
      <c r="B566" s="1" t="n">
        <v>45205</v>
      </c>
      <c r="C566" s="1" t="n">
        <v>46081</v>
      </c>
      <c r="D566" t="inlineStr">
        <is>
          <t>ÖSTERGÖTLANDS LÄN</t>
        </is>
      </c>
      <c r="E566" t="inlineStr">
        <is>
          <t>LINKÖPING</t>
        </is>
      </c>
      <c r="G566" t="n">
        <v>3</v>
      </c>
      <c r="H566" t="n">
        <v>0</v>
      </c>
      <c r="I566" t="n">
        <v>0</v>
      </c>
      <c r="J566" t="n">
        <v>0</v>
      </c>
      <c r="K566" t="n">
        <v>0</v>
      </c>
      <c r="L566" t="n">
        <v>0</v>
      </c>
      <c r="M566" t="n">
        <v>0</v>
      </c>
      <c r="N566" t="n">
        <v>0</v>
      </c>
      <c r="O566" t="n">
        <v>0</v>
      </c>
      <c r="P566" t="n">
        <v>0</v>
      </c>
      <c r="Q566" t="n">
        <v>0</v>
      </c>
      <c r="R566" s="2" t="inlineStr"/>
    </row>
    <row r="567" ht="15" customHeight="1">
      <c r="A567" t="inlineStr">
        <is>
          <t>A 13266-2025</t>
        </is>
      </c>
      <c r="B567" s="1" t="n">
        <v>45735.53318287037</v>
      </c>
      <c r="C567" s="1" t="n">
        <v>46081</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60001-2022</t>
        </is>
      </c>
      <c r="B568" s="1" t="n">
        <v>44909.47087962963</v>
      </c>
      <c r="C568" s="1" t="n">
        <v>46081</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1657-2024</t>
        </is>
      </c>
      <c r="B569" s="1" t="n">
        <v>45306.82501157407</v>
      </c>
      <c r="C569" s="1" t="n">
        <v>46081</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30976-2022</t>
        </is>
      </c>
      <c r="B570" s="1" t="n">
        <v>44768</v>
      </c>
      <c r="C570" s="1" t="n">
        <v>46081</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30860-2022</t>
        </is>
      </c>
      <c r="B571" s="1" t="n">
        <v>44767</v>
      </c>
      <c r="C571" s="1" t="n">
        <v>46081</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48186-2022</t>
        </is>
      </c>
      <c r="B572" s="1" t="n">
        <v>44858</v>
      </c>
      <c r="C572" s="1" t="n">
        <v>46081</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28266-2024</t>
        </is>
      </c>
      <c r="B573" s="1" t="n">
        <v>45477.43600694444</v>
      </c>
      <c r="C573" s="1" t="n">
        <v>46081</v>
      </c>
      <c r="D573" t="inlineStr">
        <is>
          <t>ÖSTERGÖTLANDS LÄN</t>
        </is>
      </c>
      <c r="E573" t="inlineStr">
        <is>
          <t>LINKÖPING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46081</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1211-2023</t>
        </is>
      </c>
      <c r="B575" s="1" t="n">
        <v>44930</v>
      </c>
      <c r="C575" s="1" t="n">
        <v>46081</v>
      </c>
      <c r="D575" t="inlineStr">
        <is>
          <t>ÖSTERGÖTLANDS LÄN</t>
        </is>
      </c>
      <c r="E575" t="inlineStr">
        <is>
          <t>LINKÖPING</t>
        </is>
      </c>
      <c r="F575" t="inlineStr">
        <is>
          <t>Övriga statliga verk och myndigheter</t>
        </is>
      </c>
      <c r="G575" t="n">
        <v>7.9</v>
      </c>
      <c r="H575" t="n">
        <v>0</v>
      </c>
      <c r="I575" t="n">
        <v>0</v>
      </c>
      <c r="J575" t="n">
        <v>0</v>
      </c>
      <c r="K575" t="n">
        <v>0</v>
      </c>
      <c r="L575" t="n">
        <v>0</v>
      </c>
      <c r="M575" t="n">
        <v>0</v>
      </c>
      <c r="N575" t="n">
        <v>0</v>
      </c>
      <c r="O575" t="n">
        <v>0</v>
      </c>
      <c r="P575" t="n">
        <v>0</v>
      </c>
      <c r="Q575" t="n">
        <v>0</v>
      </c>
      <c r="R575" s="2" t="inlineStr"/>
    </row>
    <row r="576" ht="15" customHeight="1">
      <c r="A576" t="inlineStr">
        <is>
          <t>A 51191-2022</t>
        </is>
      </c>
      <c r="B576" s="1" t="n">
        <v>44865</v>
      </c>
      <c r="C576" s="1" t="n">
        <v>46081</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55632-2022</t>
        </is>
      </c>
      <c r="B577" s="1" t="n">
        <v>44888</v>
      </c>
      <c r="C577" s="1" t="n">
        <v>46081</v>
      </c>
      <c r="D577" t="inlineStr">
        <is>
          <t>ÖSTERGÖTLANDS LÄN</t>
        </is>
      </c>
      <c r="E577" t="inlineStr">
        <is>
          <t>LINKÖPING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63669-2023</t>
        </is>
      </c>
      <c r="B578" s="1" t="n">
        <v>45275</v>
      </c>
      <c r="C578" s="1" t="n">
        <v>46081</v>
      </c>
      <c r="D578" t="inlineStr">
        <is>
          <t>ÖSTERGÖTLANDS LÄN</t>
        </is>
      </c>
      <c r="E578" t="inlineStr">
        <is>
          <t>LINKÖPING</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12289-2025</t>
        </is>
      </c>
      <c r="B579" s="1" t="n">
        <v>45729</v>
      </c>
      <c r="C579" s="1" t="n">
        <v>46081</v>
      </c>
      <c r="D579" t="inlineStr">
        <is>
          <t>ÖSTERGÖTLANDS LÄN</t>
        </is>
      </c>
      <c r="E579" t="inlineStr">
        <is>
          <t>LINKÖPING</t>
        </is>
      </c>
      <c r="F579" t="inlineStr">
        <is>
          <t>Övriga statliga verk och myndigheter</t>
        </is>
      </c>
      <c r="G579" t="n">
        <v>6.5</v>
      </c>
      <c r="H579" t="n">
        <v>0</v>
      </c>
      <c r="I579" t="n">
        <v>0</v>
      </c>
      <c r="J579" t="n">
        <v>0</v>
      </c>
      <c r="K579" t="n">
        <v>0</v>
      </c>
      <c r="L579" t="n">
        <v>0</v>
      </c>
      <c r="M579" t="n">
        <v>0</v>
      </c>
      <c r="N579" t="n">
        <v>0</v>
      </c>
      <c r="O579" t="n">
        <v>0</v>
      </c>
      <c r="P579" t="n">
        <v>0</v>
      </c>
      <c r="Q579" t="n">
        <v>0</v>
      </c>
      <c r="R579" s="2" t="inlineStr"/>
    </row>
    <row r="580" ht="15" customHeight="1">
      <c r="A580" t="inlineStr">
        <is>
          <t>A 36657-2023</t>
        </is>
      </c>
      <c r="B580" s="1" t="n">
        <v>45153.5702662037</v>
      </c>
      <c r="C580" s="1" t="n">
        <v>46081</v>
      </c>
      <c r="D580" t="inlineStr">
        <is>
          <t>ÖSTERGÖTLANDS LÄN</t>
        </is>
      </c>
      <c r="E580" t="inlineStr">
        <is>
          <t>LINKÖPING</t>
        </is>
      </c>
      <c r="F580" t="inlineStr">
        <is>
          <t>Allmännings- och besparingsskogar</t>
        </is>
      </c>
      <c r="G580" t="n">
        <v>2</v>
      </c>
      <c r="H580" t="n">
        <v>0</v>
      </c>
      <c r="I580" t="n">
        <v>0</v>
      </c>
      <c r="J580" t="n">
        <v>0</v>
      </c>
      <c r="K580" t="n">
        <v>0</v>
      </c>
      <c r="L580" t="n">
        <v>0</v>
      </c>
      <c r="M580" t="n">
        <v>0</v>
      </c>
      <c r="N580" t="n">
        <v>0</v>
      </c>
      <c r="O580" t="n">
        <v>0</v>
      </c>
      <c r="P580" t="n">
        <v>0</v>
      </c>
      <c r="Q580" t="n">
        <v>0</v>
      </c>
      <c r="R580" s="2" t="inlineStr"/>
    </row>
    <row r="581" ht="15" customHeight="1">
      <c r="A581" t="inlineStr">
        <is>
          <t>A 19169-2023</t>
        </is>
      </c>
      <c r="B581" s="1" t="n">
        <v>45044</v>
      </c>
      <c r="C581" s="1" t="n">
        <v>46081</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1209-2023</t>
        </is>
      </c>
      <c r="B582" s="1" t="n">
        <v>44930</v>
      </c>
      <c r="C582" s="1" t="n">
        <v>46081</v>
      </c>
      <c r="D582" t="inlineStr">
        <is>
          <t>ÖSTERGÖTLANDS LÄN</t>
        </is>
      </c>
      <c r="E582" t="inlineStr">
        <is>
          <t>LINKÖPING</t>
        </is>
      </c>
      <c r="F582" t="inlineStr">
        <is>
          <t>Övriga statliga verk och myndigheter</t>
        </is>
      </c>
      <c r="G582" t="n">
        <v>25.8</v>
      </c>
      <c r="H582" t="n">
        <v>0</v>
      </c>
      <c r="I582" t="n">
        <v>0</v>
      </c>
      <c r="J582" t="n">
        <v>0</v>
      </c>
      <c r="K582" t="n">
        <v>0</v>
      </c>
      <c r="L582" t="n">
        <v>0</v>
      </c>
      <c r="M582" t="n">
        <v>0</v>
      </c>
      <c r="N582" t="n">
        <v>0</v>
      </c>
      <c r="O582" t="n">
        <v>0</v>
      </c>
      <c r="P582" t="n">
        <v>0</v>
      </c>
      <c r="Q582" t="n">
        <v>0</v>
      </c>
      <c r="R582" s="2" t="inlineStr"/>
    </row>
    <row r="583" ht="15" customHeight="1">
      <c r="A583" t="inlineStr">
        <is>
          <t>A 2085-2024</t>
        </is>
      </c>
      <c r="B583" s="1" t="n">
        <v>45309</v>
      </c>
      <c r="C583" s="1" t="n">
        <v>46081</v>
      </c>
      <c r="D583" t="inlineStr">
        <is>
          <t>ÖSTERGÖTLANDS LÄN</t>
        </is>
      </c>
      <c r="E583" t="inlineStr">
        <is>
          <t>LINKÖPING</t>
        </is>
      </c>
      <c r="G583" t="n">
        <v>4.5</v>
      </c>
      <c r="H583" t="n">
        <v>0</v>
      </c>
      <c r="I583" t="n">
        <v>0</v>
      </c>
      <c r="J583" t="n">
        <v>0</v>
      </c>
      <c r="K583" t="n">
        <v>0</v>
      </c>
      <c r="L583" t="n">
        <v>0</v>
      </c>
      <c r="M583" t="n">
        <v>0</v>
      </c>
      <c r="N583" t="n">
        <v>0</v>
      </c>
      <c r="O583" t="n">
        <v>0</v>
      </c>
      <c r="P583" t="n">
        <v>0</v>
      </c>
      <c r="Q583" t="n">
        <v>0</v>
      </c>
      <c r="R583" s="2" t="inlineStr"/>
    </row>
    <row r="584" ht="15" customHeight="1">
      <c r="A584" t="inlineStr">
        <is>
          <t>A 48-2024</t>
        </is>
      </c>
      <c r="B584" s="1" t="n">
        <v>45293</v>
      </c>
      <c r="C584" s="1" t="n">
        <v>46081</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927-2026</t>
        </is>
      </c>
      <c r="B585" s="1" t="n">
        <v>46030.50560185185</v>
      </c>
      <c r="C585" s="1" t="n">
        <v>46081</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856-2026</t>
        </is>
      </c>
      <c r="B586" s="1" t="n">
        <v>46030.40644675926</v>
      </c>
      <c r="C586" s="1" t="n">
        <v>46081</v>
      </c>
      <c r="D586" t="inlineStr">
        <is>
          <t>ÖSTERGÖTLANDS LÄN</t>
        </is>
      </c>
      <c r="E586" t="inlineStr">
        <is>
          <t>LINKÖPING</t>
        </is>
      </c>
      <c r="G586" t="n">
        <v>6.4</v>
      </c>
      <c r="H586" t="n">
        <v>0</v>
      </c>
      <c r="I586" t="n">
        <v>0</v>
      </c>
      <c r="J586" t="n">
        <v>0</v>
      </c>
      <c r="K586" t="n">
        <v>0</v>
      </c>
      <c r="L586" t="n">
        <v>0</v>
      </c>
      <c r="M586" t="n">
        <v>0</v>
      </c>
      <c r="N586" t="n">
        <v>0</v>
      </c>
      <c r="O586" t="n">
        <v>0</v>
      </c>
      <c r="P586" t="n">
        <v>0</v>
      </c>
      <c r="Q586" t="n">
        <v>0</v>
      </c>
      <c r="R586" s="2" t="inlineStr"/>
    </row>
    <row r="587" ht="15" customHeight="1">
      <c r="A587" t="inlineStr">
        <is>
          <t>A 860-2026</t>
        </is>
      </c>
      <c r="B587" s="1" t="n">
        <v>46030.41974537037</v>
      </c>
      <c r="C587" s="1" t="n">
        <v>46081</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873-2026</t>
        </is>
      </c>
      <c r="B588" s="1" t="n">
        <v>46030.43818287037</v>
      </c>
      <c r="C588" s="1" t="n">
        <v>46081</v>
      </c>
      <c r="D588" t="inlineStr">
        <is>
          <t>ÖSTERGÖTLANDS LÄN</t>
        </is>
      </c>
      <c r="E588" t="inlineStr">
        <is>
          <t>LINKÖPING</t>
        </is>
      </c>
      <c r="G588" t="n">
        <v>4.1</v>
      </c>
      <c r="H588" t="n">
        <v>0</v>
      </c>
      <c r="I588" t="n">
        <v>0</v>
      </c>
      <c r="J588" t="n">
        <v>0</v>
      </c>
      <c r="K588" t="n">
        <v>0</v>
      </c>
      <c r="L588" t="n">
        <v>0</v>
      </c>
      <c r="M588" t="n">
        <v>0</v>
      </c>
      <c r="N588" t="n">
        <v>0</v>
      </c>
      <c r="O588" t="n">
        <v>0</v>
      </c>
      <c r="P588" t="n">
        <v>0</v>
      </c>
      <c r="Q588" t="n">
        <v>0</v>
      </c>
      <c r="R588" s="2" t="inlineStr"/>
    </row>
    <row r="589" ht="15" customHeight="1">
      <c r="A589" t="inlineStr">
        <is>
          <t>A 56560-2023</t>
        </is>
      </c>
      <c r="B589" s="1" t="n">
        <v>45238</v>
      </c>
      <c r="C589" s="1" t="n">
        <v>46081</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858-2026</t>
        </is>
      </c>
      <c r="B590" s="1" t="n">
        <v>46030.41200231481</v>
      </c>
      <c r="C590" s="1" t="n">
        <v>46081</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940-2026</t>
        </is>
      </c>
      <c r="B591" s="1" t="n">
        <v>46030.53052083333</v>
      </c>
      <c r="C591" s="1" t="n">
        <v>46081</v>
      </c>
      <c r="D591" t="inlineStr">
        <is>
          <t>ÖSTERGÖTLANDS LÄN</t>
        </is>
      </c>
      <c r="E591" t="inlineStr">
        <is>
          <t>LINKÖPING</t>
        </is>
      </c>
      <c r="F591" t="inlineStr">
        <is>
          <t>Allmännings- och besparingsskogar</t>
        </is>
      </c>
      <c r="G591" t="n">
        <v>2.9</v>
      </c>
      <c r="H591" t="n">
        <v>0</v>
      </c>
      <c r="I591" t="n">
        <v>0</v>
      </c>
      <c r="J591" t="n">
        <v>0</v>
      </c>
      <c r="K591" t="n">
        <v>0</v>
      </c>
      <c r="L591" t="n">
        <v>0</v>
      </c>
      <c r="M591" t="n">
        <v>0</v>
      </c>
      <c r="N591" t="n">
        <v>0</v>
      </c>
      <c r="O591" t="n">
        <v>0</v>
      </c>
      <c r="P591" t="n">
        <v>0</v>
      </c>
      <c r="Q591" t="n">
        <v>0</v>
      </c>
      <c r="R591" s="2" t="inlineStr"/>
    </row>
    <row r="592" ht="15" customHeight="1">
      <c r="A592" t="inlineStr">
        <is>
          <t>A 944-2026</t>
        </is>
      </c>
      <c r="B592" s="1" t="n">
        <v>46030.53461805556</v>
      </c>
      <c r="C592" s="1" t="n">
        <v>46081</v>
      </c>
      <c r="D592" t="inlineStr">
        <is>
          <t>ÖSTERGÖTLANDS LÄN</t>
        </is>
      </c>
      <c r="E592" t="inlineStr">
        <is>
          <t>LINKÖPING</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19132-2023</t>
        </is>
      </c>
      <c r="B593" s="1" t="n">
        <v>45048.54754629629</v>
      </c>
      <c r="C593" s="1" t="n">
        <v>46081</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859-2026</t>
        </is>
      </c>
      <c r="B594" s="1" t="n">
        <v>46030.41450231482</v>
      </c>
      <c r="C594" s="1" t="n">
        <v>46081</v>
      </c>
      <c r="D594" t="inlineStr">
        <is>
          <t>ÖSTERGÖTLANDS LÄN</t>
        </is>
      </c>
      <c r="E594" t="inlineStr">
        <is>
          <t>LINKÖPING</t>
        </is>
      </c>
      <c r="G594" t="n">
        <v>0.2</v>
      </c>
      <c r="H594" t="n">
        <v>0</v>
      </c>
      <c r="I594" t="n">
        <v>0</v>
      </c>
      <c r="J594" t="n">
        <v>0</v>
      </c>
      <c r="K594" t="n">
        <v>0</v>
      </c>
      <c r="L594" t="n">
        <v>0</v>
      </c>
      <c r="M594" t="n">
        <v>0</v>
      </c>
      <c r="N594" t="n">
        <v>0</v>
      </c>
      <c r="O594" t="n">
        <v>0</v>
      </c>
      <c r="P594" t="n">
        <v>0</v>
      </c>
      <c r="Q594" t="n">
        <v>0</v>
      </c>
      <c r="R594" s="2" t="inlineStr"/>
    </row>
    <row r="595" ht="15" customHeight="1">
      <c r="A595" t="inlineStr">
        <is>
          <t>A 52412-2023</t>
        </is>
      </c>
      <c r="B595" s="1" t="n">
        <v>45225.27888888889</v>
      </c>
      <c r="C595" s="1" t="n">
        <v>46081</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1223-2026</t>
        </is>
      </c>
      <c r="B596" s="1" t="n">
        <v>46031.40233796297</v>
      </c>
      <c r="C596" s="1" t="n">
        <v>46081</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46081</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46081</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46081</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11590-2023</t>
        </is>
      </c>
      <c r="B600" s="1" t="n">
        <v>44994.36689814815</v>
      </c>
      <c r="C600" s="1" t="n">
        <v>46081</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10461-2023</t>
        </is>
      </c>
      <c r="B601" s="1" t="n">
        <v>44987.5969212963</v>
      </c>
      <c r="C601" s="1" t="n">
        <v>46081</v>
      </c>
      <c r="D601" t="inlineStr">
        <is>
          <t>ÖSTERGÖTLANDS LÄN</t>
        </is>
      </c>
      <c r="E601" t="inlineStr">
        <is>
          <t>LINKÖPING</t>
        </is>
      </c>
      <c r="G601" t="n">
        <v>7.8</v>
      </c>
      <c r="H601" t="n">
        <v>0</v>
      </c>
      <c r="I601" t="n">
        <v>0</v>
      </c>
      <c r="J601" t="n">
        <v>0</v>
      </c>
      <c r="K601" t="n">
        <v>0</v>
      </c>
      <c r="L601" t="n">
        <v>0</v>
      </c>
      <c r="M601" t="n">
        <v>0</v>
      </c>
      <c r="N601" t="n">
        <v>0</v>
      </c>
      <c r="O601" t="n">
        <v>0</v>
      </c>
      <c r="P601" t="n">
        <v>0</v>
      </c>
      <c r="Q601" t="n">
        <v>0</v>
      </c>
      <c r="R601" s="2" t="inlineStr"/>
    </row>
    <row r="602" ht="15" customHeight="1">
      <c r="A602" t="inlineStr">
        <is>
          <t>A 41345-2021</t>
        </is>
      </c>
      <c r="B602" s="1" t="n">
        <v>44424.61851851852</v>
      </c>
      <c r="C602" s="1" t="n">
        <v>46081</v>
      </c>
      <c r="D602" t="inlineStr">
        <is>
          <t>ÖSTERGÖTLANDS LÄN</t>
        </is>
      </c>
      <c r="E602" t="inlineStr">
        <is>
          <t>LINKÖPING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10756-2026</t>
        </is>
      </c>
      <c r="B603" s="1" t="n">
        <v>46078.55412037037</v>
      </c>
      <c r="C603" s="1" t="n">
        <v>46081</v>
      </c>
      <c r="D603" t="inlineStr">
        <is>
          <t>ÖSTERGÖTLANDS LÄN</t>
        </is>
      </c>
      <c r="E603" t="inlineStr">
        <is>
          <t>LINKÖPING</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2030-2026</t>
        </is>
      </c>
      <c r="B604" s="1" t="n">
        <v>46035.73590277778</v>
      </c>
      <c r="C604" s="1" t="n">
        <v>46081</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61307-2021</t>
        </is>
      </c>
      <c r="B605" s="1" t="n">
        <v>44498.63928240741</v>
      </c>
      <c r="C605" s="1" t="n">
        <v>46081</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61325-2021</t>
        </is>
      </c>
      <c r="B606" s="1" t="n">
        <v>44498.66814814815</v>
      </c>
      <c r="C606" s="1" t="n">
        <v>46081</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60010-2022</t>
        </is>
      </c>
      <c r="B607" s="1" t="n">
        <v>44909.4740625</v>
      </c>
      <c r="C607" s="1" t="n">
        <v>46081</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2031-2026</t>
        </is>
      </c>
      <c r="B608" s="1" t="n">
        <v>46035.74182870371</v>
      </c>
      <c r="C608" s="1" t="n">
        <v>46081</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30518-2024</t>
        </is>
      </c>
      <c r="B609" s="1" t="n">
        <v>45492</v>
      </c>
      <c r="C609" s="1" t="n">
        <v>46081</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46081</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37715-2022</t>
        </is>
      </c>
      <c r="B611" s="1" t="n">
        <v>44810</v>
      </c>
      <c r="C611" s="1" t="n">
        <v>46081</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46081</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45442-2024</t>
        </is>
      </c>
      <c r="B613" s="1" t="n">
        <v>45576.64189814815</v>
      </c>
      <c r="C613" s="1" t="n">
        <v>46081</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3432-2023</t>
        </is>
      </c>
      <c r="B614" s="1" t="n">
        <v>44949</v>
      </c>
      <c r="C614" s="1" t="n">
        <v>46081</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46081</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46081</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10477-2026</t>
        </is>
      </c>
      <c r="B617" s="1" t="n">
        <v>46077.4871875</v>
      </c>
      <c r="C617" s="1" t="n">
        <v>46081</v>
      </c>
      <c r="D617" t="inlineStr">
        <is>
          <t>ÖSTERGÖTLANDS LÄN</t>
        </is>
      </c>
      <c r="E617" t="inlineStr">
        <is>
          <t>LINKÖPING</t>
        </is>
      </c>
      <c r="G617" t="n">
        <v>9.6</v>
      </c>
      <c r="H617" t="n">
        <v>0</v>
      </c>
      <c r="I617" t="n">
        <v>0</v>
      </c>
      <c r="J617" t="n">
        <v>0</v>
      </c>
      <c r="K617" t="n">
        <v>0</v>
      </c>
      <c r="L617" t="n">
        <v>0</v>
      </c>
      <c r="M617" t="n">
        <v>0</v>
      </c>
      <c r="N617" t="n">
        <v>0</v>
      </c>
      <c r="O617" t="n">
        <v>0</v>
      </c>
      <c r="P617" t="n">
        <v>0</v>
      </c>
      <c r="Q617" t="n">
        <v>0</v>
      </c>
      <c r="R617" s="2" t="inlineStr"/>
    </row>
    <row r="618" ht="15" customHeight="1">
      <c r="A618" t="inlineStr">
        <is>
          <t>A 10479-2026</t>
        </is>
      </c>
      <c r="B618" s="1" t="n">
        <v>46077.49231481482</v>
      </c>
      <c r="C618" s="1" t="n">
        <v>46081</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11033-2026</t>
        </is>
      </c>
      <c r="B619" s="1" t="n">
        <v>46079.57361111111</v>
      </c>
      <c r="C619" s="1" t="n">
        <v>46081</v>
      </c>
      <c r="D619" t="inlineStr">
        <is>
          <t>ÖSTERGÖTLANDS LÄN</t>
        </is>
      </c>
      <c r="E619" t="inlineStr">
        <is>
          <t>LINKÖPING</t>
        </is>
      </c>
      <c r="G619" t="n">
        <v>7.9</v>
      </c>
      <c r="H619" t="n">
        <v>0</v>
      </c>
      <c r="I619" t="n">
        <v>0</v>
      </c>
      <c r="J619" t="n">
        <v>0</v>
      </c>
      <c r="K619" t="n">
        <v>0</v>
      </c>
      <c r="L619" t="n">
        <v>0</v>
      </c>
      <c r="M619" t="n">
        <v>0</v>
      </c>
      <c r="N619" t="n">
        <v>0</v>
      </c>
      <c r="O619" t="n">
        <v>0</v>
      </c>
      <c r="P619" t="n">
        <v>0</v>
      </c>
      <c r="Q619" t="n">
        <v>0</v>
      </c>
      <c r="R619" s="2" t="inlineStr"/>
    </row>
    <row r="620" ht="15" customHeight="1">
      <c r="A620" t="inlineStr">
        <is>
          <t>A 11036-2026</t>
        </is>
      </c>
      <c r="B620" s="1" t="n">
        <v>46079.57836805555</v>
      </c>
      <c r="C620" s="1" t="n">
        <v>46081</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3045-2026</t>
        </is>
      </c>
      <c r="B621" s="1" t="n">
        <v>46038.74047453704</v>
      </c>
      <c r="C621" s="1" t="n">
        <v>46081</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11057-2026</t>
        </is>
      </c>
      <c r="B622" s="1" t="n">
        <v>46079.59515046296</v>
      </c>
      <c r="C622" s="1" t="n">
        <v>46081</v>
      </c>
      <c r="D622" t="inlineStr">
        <is>
          <t>ÖSTERGÖTLANDS LÄN</t>
        </is>
      </c>
      <c r="E622" t="inlineStr">
        <is>
          <t>LINKÖPING</t>
        </is>
      </c>
      <c r="G622" t="n">
        <v>2.9</v>
      </c>
      <c r="H622" t="n">
        <v>0</v>
      </c>
      <c r="I622" t="n">
        <v>0</v>
      </c>
      <c r="J622" t="n">
        <v>0</v>
      </c>
      <c r="K622" t="n">
        <v>0</v>
      </c>
      <c r="L622" t="n">
        <v>0</v>
      </c>
      <c r="M622" t="n">
        <v>0</v>
      </c>
      <c r="N622" t="n">
        <v>0</v>
      </c>
      <c r="O622" t="n">
        <v>0</v>
      </c>
      <c r="P622" t="n">
        <v>0</v>
      </c>
      <c r="Q622" t="n">
        <v>0</v>
      </c>
      <c r="R622" s="2" t="inlineStr"/>
    </row>
    <row r="623" ht="15" customHeight="1">
      <c r="A623" t="inlineStr">
        <is>
          <t>A 45831-2024</t>
        </is>
      </c>
      <c r="B623" s="1" t="n">
        <v>45579.90508101852</v>
      </c>
      <c r="C623" s="1" t="n">
        <v>46081</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57396-2021</t>
        </is>
      </c>
      <c r="B624" s="1" t="n">
        <v>44483.56151620371</v>
      </c>
      <c r="C624" s="1" t="n">
        <v>46081</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22842-2023</t>
        </is>
      </c>
      <c r="B625" s="1" t="n">
        <v>45071</v>
      </c>
      <c r="C625" s="1" t="n">
        <v>46081</v>
      </c>
      <c r="D625" t="inlineStr">
        <is>
          <t>ÖSTERGÖTLANDS LÄN</t>
        </is>
      </c>
      <c r="E625" t="inlineStr">
        <is>
          <t>LINKÖPING</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38886-2024</t>
        </is>
      </c>
      <c r="B626" s="1" t="n">
        <v>45547.66443287037</v>
      </c>
      <c r="C626" s="1" t="n">
        <v>46081</v>
      </c>
      <c r="D626" t="inlineStr">
        <is>
          <t>ÖSTERGÖTLANDS LÄN</t>
        </is>
      </c>
      <c r="E626" t="inlineStr">
        <is>
          <t>LINKÖPING</t>
        </is>
      </c>
      <c r="G626" t="n">
        <v>5.3</v>
      </c>
      <c r="H626" t="n">
        <v>0</v>
      </c>
      <c r="I626" t="n">
        <v>0</v>
      </c>
      <c r="J626" t="n">
        <v>0</v>
      </c>
      <c r="K626" t="n">
        <v>0</v>
      </c>
      <c r="L626" t="n">
        <v>0</v>
      </c>
      <c r="M626" t="n">
        <v>0</v>
      </c>
      <c r="N626" t="n">
        <v>0</v>
      </c>
      <c r="O626" t="n">
        <v>0</v>
      </c>
      <c r="P626" t="n">
        <v>0</v>
      </c>
      <c r="Q626" t="n">
        <v>0</v>
      </c>
      <c r="R626" s="2" t="inlineStr"/>
    </row>
    <row r="627" ht="15" customHeight="1">
      <c r="A627" t="inlineStr">
        <is>
          <t>A 50386-2021</t>
        </is>
      </c>
      <c r="B627" s="1" t="n">
        <v>44459</v>
      </c>
      <c r="C627" s="1" t="n">
        <v>46081</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35781-2023</t>
        </is>
      </c>
      <c r="B628" s="1" t="n">
        <v>45147</v>
      </c>
      <c r="C628" s="1" t="n">
        <v>46081</v>
      </c>
      <c r="D628" t="inlineStr">
        <is>
          <t>ÖSTERGÖTLANDS LÄN</t>
        </is>
      </c>
      <c r="E628" t="inlineStr">
        <is>
          <t>LINKÖPING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22770-2024</t>
        </is>
      </c>
      <c r="B629" s="1" t="n">
        <v>45448.4634375</v>
      </c>
      <c r="C629" s="1" t="n">
        <v>46081</v>
      </c>
      <c r="D629" t="inlineStr">
        <is>
          <t>ÖSTERGÖTLANDS LÄN</t>
        </is>
      </c>
      <c r="E629" t="inlineStr">
        <is>
          <t>LINKÖPING</t>
        </is>
      </c>
      <c r="F629" t="inlineStr">
        <is>
          <t>Sveaskog</t>
        </is>
      </c>
      <c r="G629" t="n">
        <v>3.4</v>
      </c>
      <c r="H629" t="n">
        <v>0</v>
      </c>
      <c r="I629" t="n">
        <v>0</v>
      </c>
      <c r="J629" t="n">
        <v>0</v>
      </c>
      <c r="K629" t="n">
        <v>0</v>
      </c>
      <c r="L629" t="n">
        <v>0</v>
      </c>
      <c r="M629" t="n">
        <v>0</v>
      </c>
      <c r="N629" t="n">
        <v>0</v>
      </c>
      <c r="O629" t="n">
        <v>0</v>
      </c>
      <c r="P629" t="n">
        <v>0</v>
      </c>
      <c r="Q629" t="n">
        <v>0</v>
      </c>
      <c r="R629" s="2" t="inlineStr"/>
    </row>
    <row r="630" ht="15" customHeight="1">
      <c r="A630" t="inlineStr">
        <is>
          <t>A 3044-2026</t>
        </is>
      </c>
      <c r="B630" s="1" t="n">
        <v>46038.73855324074</v>
      </c>
      <c r="C630" s="1" t="n">
        <v>46081</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11671-2023</t>
        </is>
      </c>
      <c r="B631" s="1" t="n">
        <v>44994.48125</v>
      </c>
      <c r="C631" s="1" t="n">
        <v>46081</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11169-2026</t>
        </is>
      </c>
      <c r="B632" s="1" t="n">
        <v>46080.37020833333</v>
      </c>
      <c r="C632" s="1" t="n">
        <v>46081</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54425-2022</t>
        </is>
      </c>
      <c r="B633" s="1" t="n">
        <v>44882.57453703704</v>
      </c>
      <c r="C633" s="1" t="n">
        <v>46081</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3043-2026</t>
        </is>
      </c>
      <c r="B634" s="1" t="n">
        <v>46038.73675925926</v>
      </c>
      <c r="C634" s="1" t="n">
        <v>46081</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10764-2026</t>
        </is>
      </c>
      <c r="B635" s="1" t="n">
        <v>46078.56416666666</v>
      </c>
      <c r="C635" s="1" t="n">
        <v>46081</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3046-2026</t>
        </is>
      </c>
      <c r="B636" s="1" t="n">
        <v>46038.74182870371</v>
      </c>
      <c r="C636" s="1" t="n">
        <v>46081</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30547-2023</t>
        </is>
      </c>
      <c r="B637" s="1" t="n">
        <v>45111.75905092592</v>
      </c>
      <c r="C637" s="1" t="n">
        <v>46081</v>
      </c>
      <c r="D637" t="inlineStr">
        <is>
          <t>ÖSTERGÖTLANDS LÄN</t>
        </is>
      </c>
      <c r="E637" t="inlineStr">
        <is>
          <t>LINKÖPING</t>
        </is>
      </c>
      <c r="G637" t="n">
        <v>0.9</v>
      </c>
      <c r="H637" t="n">
        <v>0</v>
      </c>
      <c r="I637" t="n">
        <v>0</v>
      </c>
      <c r="J637" t="n">
        <v>0</v>
      </c>
      <c r="K637" t="n">
        <v>0</v>
      </c>
      <c r="L637" t="n">
        <v>0</v>
      </c>
      <c r="M637" t="n">
        <v>0</v>
      </c>
      <c r="N637" t="n">
        <v>0</v>
      </c>
      <c r="O637" t="n">
        <v>0</v>
      </c>
      <c r="P637" t="n">
        <v>0</v>
      </c>
      <c r="Q637" t="n">
        <v>0</v>
      </c>
      <c r="R637" s="2" t="inlineStr"/>
    </row>
    <row r="638" ht="15" customHeight="1">
      <c r="A638" t="inlineStr">
        <is>
          <t>A 24904-2024</t>
        </is>
      </c>
      <c r="B638" s="1" t="n">
        <v>45461</v>
      </c>
      <c r="C638" s="1" t="n">
        <v>46081</v>
      </c>
      <c r="D638" t="inlineStr">
        <is>
          <t>ÖSTERGÖTLANDS LÄN</t>
        </is>
      </c>
      <c r="E638" t="inlineStr">
        <is>
          <t>LINKÖPING</t>
        </is>
      </c>
      <c r="G638" t="n">
        <v>3.8</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46081</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15121-2022</t>
        </is>
      </c>
      <c r="B640" s="1" t="n">
        <v>44658</v>
      </c>
      <c r="C640" s="1" t="n">
        <v>46081</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51919-2024</t>
        </is>
      </c>
      <c r="B641" s="1" t="n">
        <v>45607.60791666667</v>
      </c>
      <c r="C641" s="1" t="n">
        <v>46081</v>
      </c>
      <c r="D641" t="inlineStr">
        <is>
          <t>ÖSTERGÖTLANDS LÄN</t>
        </is>
      </c>
      <c r="E641" t="inlineStr">
        <is>
          <t>LINKÖPING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55009-2023</t>
        </is>
      </c>
      <c r="B642" s="1" t="n">
        <v>45237</v>
      </c>
      <c r="C642" s="1" t="n">
        <v>46081</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20291-2025</t>
        </is>
      </c>
      <c r="B643" s="1" t="n">
        <v>45774.74288194445</v>
      </c>
      <c r="C643" s="1" t="n">
        <v>46081</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20293-2025</t>
        </is>
      </c>
      <c r="B644" s="1" t="n">
        <v>45774.74611111111</v>
      </c>
      <c r="C644" s="1" t="n">
        <v>46081</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660-2023</t>
        </is>
      </c>
      <c r="B645" s="1" t="n">
        <v>44930</v>
      </c>
      <c r="C645" s="1" t="n">
        <v>46081</v>
      </c>
      <c r="D645" t="inlineStr">
        <is>
          <t>ÖSTERGÖTLANDS LÄN</t>
        </is>
      </c>
      <c r="E645" t="inlineStr">
        <is>
          <t>LINKÖPING</t>
        </is>
      </c>
      <c r="F645" t="inlineStr">
        <is>
          <t>Kyrkan</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64694-2023</t>
        </is>
      </c>
      <c r="B646" s="1" t="n">
        <v>45281</v>
      </c>
      <c r="C646" s="1" t="n">
        <v>46081</v>
      </c>
      <c r="D646" t="inlineStr">
        <is>
          <t>ÖSTERGÖTLANDS LÄN</t>
        </is>
      </c>
      <c r="E646" t="inlineStr">
        <is>
          <t>LINKÖPING</t>
        </is>
      </c>
      <c r="F646" t="inlineStr">
        <is>
          <t>Övriga statliga verk och myndigheter</t>
        </is>
      </c>
      <c r="G646" t="n">
        <v>4.9</v>
      </c>
      <c r="H646" t="n">
        <v>0</v>
      </c>
      <c r="I646" t="n">
        <v>0</v>
      </c>
      <c r="J646" t="n">
        <v>0</v>
      </c>
      <c r="K646" t="n">
        <v>0</v>
      </c>
      <c r="L646" t="n">
        <v>0</v>
      </c>
      <c r="M646" t="n">
        <v>0</v>
      </c>
      <c r="N646" t="n">
        <v>0</v>
      </c>
      <c r="O646" t="n">
        <v>0</v>
      </c>
      <c r="P646" t="n">
        <v>0</v>
      </c>
      <c r="Q646" t="n">
        <v>0</v>
      </c>
      <c r="R646" s="2" t="inlineStr"/>
    </row>
    <row r="647" ht="15" customHeight="1">
      <c r="A647" t="inlineStr">
        <is>
          <t>A 63487-2023</t>
        </is>
      </c>
      <c r="B647" s="1" t="n">
        <v>45274.66712962963</v>
      </c>
      <c r="C647" s="1" t="n">
        <v>46081</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20455-2024</t>
        </is>
      </c>
      <c r="B648" s="1" t="n">
        <v>45435.65314814815</v>
      </c>
      <c r="C648" s="1" t="n">
        <v>46081</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30471-2023</t>
        </is>
      </c>
      <c r="B649" s="1" t="n">
        <v>45111.58931712963</v>
      </c>
      <c r="C649" s="1" t="n">
        <v>46081</v>
      </c>
      <c r="D649" t="inlineStr">
        <is>
          <t>ÖSTERGÖTLANDS LÄN</t>
        </is>
      </c>
      <c r="E649" t="inlineStr">
        <is>
          <t>LINKÖPING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14093-2024</t>
        </is>
      </c>
      <c r="B650" s="1" t="n">
        <v>45392.60278935185</v>
      </c>
      <c r="C650" s="1" t="n">
        <v>46081</v>
      </c>
      <c r="D650" t="inlineStr">
        <is>
          <t>ÖSTERGÖTLANDS LÄN</t>
        </is>
      </c>
      <c r="E650" t="inlineStr">
        <is>
          <t>LINKÖPING</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63304-2021</t>
        </is>
      </c>
      <c r="B651" s="1" t="n">
        <v>44508.4396412037</v>
      </c>
      <c r="C651" s="1" t="n">
        <v>46081</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19362-2023</t>
        </is>
      </c>
      <c r="B652" s="1" t="n">
        <v>45049</v>
      </c>
      <c r="C652" s="1" t="n">
        <v>46081</v>
      </c>
      <c r="D652" t="inlineStr">
        <is>
          <t>ÖSTERGÖTLANDS LÄN</t>
        </is>
      </c>
      <c r="E652" t="inlineStr">
        <is>
          <t>LINKÖPING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35463-2023</t>
        </is>
      </c>
      <c r="B653" s="1" t="n">
        <v>45146</v>
      </c>
      <c r="C653" s="1" t="n">
        <v>46081</v>
      </c>
      <c r="D653" t="inlineStr">
        <is>
          <t>ÖSTERGÖTLANDS LÄN</t>
        </is>
      </c>
      <c r="E653" t="inlineStr">
        <is>
          <t>LINKÖPING</t>
        </is>
      </c>
      <c r="F653" t="inlineStr">
        <is>
          <t>Övriga Aktiebolag</t>
        </is>
      </c>
      <c r="G653" t="n">
        <v>1.8</v>
      </c>
      <c r="H653" t="n">
        <v>0</v>
      </c>
      <c r="I653" t="n">
        <v>0</v>
      </c>
      <c r="J653" t="n">
        <v>0</v>
      </c>
      <c r="K653" t="n">
        <v>0</v>
      </c>
      <c r="L653" t="n">
        <v>0</v>
      </c>
      <c r="M653" t="n">
        <v>0</v>
      </c>
      <c r="N653" t="n">
        <v>0</v>
      </c>
      <c r="O653" t="n">
        <v>0</v>
      </c>
      <c r="P653" t="n">
        <v>0</v>
      </c>
      <c r="Q653" t="n">
        <v>0</v>
      </c>
      <c r="R653" s="2" t="inlineStr"/>
    </row>
    <row r="654" ht="15" customHeight="1">
      <c r="A654" t="inlineStr">
        <is>
          <t>A 16111-2022</t>
        </is>
      </c>
      <c r="B654" s="1" t="n">
        <v>44665</v>
      </c>
      <c r="C654" s="1" t="n">
        <v>46081</v>
      </c>
      <c r="D654" t="inlineStr">
        <is>
          <t>ÖSTERGÖTLANDS LÄN</t>
        </is>
      </c>
      <c r="E654" t="inlineStr">
        <is>
          <t>LINKÖPING</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31635-2023</t>
        </is>
      </c>
      <c r="B655" s="1" t="n">
        <v>45105</v>
      </c>
      <c r="C655" s="1" t="n">
        <v>46081</v>
      </c>
      <c r="D655" t="inlineStr">
        <is>
          <t>ÖSTERGÖTLANDS LÄN</t>
        </is>
      </c>
      <c r="E655" t="inlineStr">
        <is>
          <t>LINKÖPING</t>
        </is>
      </c>
      <c r="F655" t="inlineStr">
        <is>
          <t>Övriga statliga verk och myndigheter</t>
        </is>
      </c>
      <c r="G655" t="n">
        <v>4.6</v>
      </c>
      <c r="H655" t="n">
        <v>0</v>
      </c>
      <c r="I655" t="n">
        <v>0</v>
      </c>
      <c r="J655" t="n">
        <v>0</v>
      </c>
      <c r="K655" t="n">
        <v>0</v>
      </c>
      <c r="L655" t="n">
        <v>0</v>
      </c>
      <c r="M655" t="n">
        <v>0</v>
      </c>
      <c r="N655" t="n">
        <v>0</v>
      </c>
      <c r="O655" t="n">
        <v>0</v>
      </c>
      <c r="P655" t="n">
        <v>0</v>
      </c>
      <c r="Q655" t="n">
        <v>0</v>
      </c>
      <c r="R655" s="2" t="inlineStr"/>
    </row>
    <row r="656" ht="15" customHeight="1">
      <c r="A656" t="inlineStr">
        <is>
          <t>A 49928-2024</t>
        </is>
      </c>
      <c r="B656" s="1" t="n">
        <v>45597.57811342592</v>
      </c>
      <c r="C656" s="1" t="n">
        <v>46081</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54845-2023</t>
        </is>
      </c>
      <c r="B657" s="1" t="n">
        <v>45236</v>
      </c>
      <c r="C657" s="1" t="n">
        <v>46081</v>
      </c>
      <c r="D657" t="inlineStr">
        <is>
          <t>ÖSTERGÖTLANDS LÄN</t>
        </is>
      </c>
      <c r="E657" t="inlineStr">
        <is>
          <t>LINKÖPING</t>
        </is>
      </c>
      <c r="F657" t="inlineStr">
        <is>
          <t>Övriga Aktiebolag</t>
        </is>
      </c>
      <c r="G657" t="n">
        <v>5.7</v>
      </c>
      <c r="H657" t="n">
        <v>0</v>
      </c>
      <c r="I657" t="n">
        <v>0</v>
      </c>
      <c r="J657" t="n">
        <v>0</v>
      </c>
      <c r="K657" t="n">
        <v>0</v>
      </c>
      <c r="L657" t="n">
        <v>0</v>
      </c>
      <c r="M657" t="n">
        <v>0</v>
      </c>
      <c r="N657" t="n">
        <v>0</v>
      </c>
      <c r="O657" t="n">
        <v>0</v>
      </c>
      <c r="P657" t="n">
        <v>0</v>
      </c>
      <c r="Q657" t="n">
        <v>0</v>
      </c>
      <c r="R657" s="2" t="inlineStr"/>
    </row>
    <row r="658" ht="15" customHeight="1">
      <c r="A658" t="inlineStr">
        <is>
          <t>A 46687-2021</t>
        </is>
      </c>
      <c r="B658" s="1" t="n">
        <v>44445</v>
      </c>
      <c r="C658" s="1" t="n">
        <v>46081</v>
      </c>
      <c r="D658" t="inlineStr">
        <is>
          <t>ÖSTERGÖTLANDS LÄN</t>
        </is>
      </c>
      <c r="E658" t="inlineStr">
        <is>
          <t>LINKÖPING</t>
        </is>
      </c>
      <c r="F658" t="inlineStr">
        <is>
          <t>Övriga statliga verk och myndigheter</t>
        </is>
      </c>
      <c r="G658" t="n">
        <v>2.3</v>
      </c>
      <c r="H658" t="n">
        <v>0</v>
      </c>
      <c r="I658" t="n">
        <v>0</v>
      </c>
      <c r="J658" t="n">
        <v>0</v>
      </c>
      <c r="K658" t="n">
        <v>0</v>
      </c>
      <c r="L658" t="n">
        <v>0</v>
      </c>
      <c r="M658" t="n">
        <v>0</v>
      </c>
      <c r="N658" t="n">
        <v>0</v>
      </c>
      <c r="O658" t="n">
        <v>0</v>
      </c>
      <c r="P658" t="n">
        <v>0</v>
      </c>
      <c r="Q658" t="n">
        <v>0</v>
      </c>
      <c r="R658" s="2" t="inlineStr"/>
    </row>
    <row r="659" ht="15" customHeight="1">
      <c r="A659" t="inlineStr">
        <is>
          <t>A 30855-2022</t>
        </is>
      </c>
      <c r="B659" s="1" t="n">
        <v>44767</v>
      </c>
      <c r="C659" s="1" t="n">
        <v>46081</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1355-2023</t>
        </is>
      </c>
      <c r="B660" s="1" t="n">
        <v>44931</v>
      </c>
      <c r="C660" s="1" t="n">
        <v>46081</v>
      </c>
      <c r="D660" t="inlineStr">
        <is>
          <t>ÖSTERGÖTLANDS LÄN</t>
        </is>
      </c>
      <c r="E660" t="inlineStr">
        <is>
          <t>LINKÖPING</t>
        </is>
      </c>
      <c r="G660" t="n">
        <v>4</v>
      </c>
      <c r="H660" t="n">
        <v>0</v>
      </c>
      <c r="I660" t="n">
        <v>0</v>
      </c>
      <c r="J660" t="n">
        <v>0</v>
      </c>
      <c r="K660" t="n">
        <v>0</v>
      </c>
      <c r="L660" t="n">
        <v>0</v>
      </c>
      <c r="M660" t="n">
        <v>0</v>
      </c>
      <c r="N660" t="n">
        <v>0</v>
      </c>
      <c r="O660" t="n">
        <v>0</v>
      </c>
      <c r="P660" t="n">
        <v>0</v>
      </c>
      <c r="Q660" t="n">
        <v>0</v>
      </c>
      <c r="R660" s="2" t="inlineStr"/>
    </row>
    <row r="661" ht="15" customHeight="1">
      <c r="A661" t="inlineStr">
        <is>
          <t>A 27844-2024</t>
        </is>
      </c>
      <c r="B661" s="1" t="n">
        <v>45475.63047453704</v>
      </c>
      <c r="C661" s="1" t="n">
        <v>46081</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10741-2023</t>
        </is>
      </c>
      <c r="B662" s="1" t="n">
        <v>44988.70084490741</v>
      </c>
      <c r="C662" s="1" t="n">
        <v>46081</v>
      </c>
      <c r="D662" t="inlineStr">
        <is>
          <t>ÖSTERGÖTLANDS LÄN</t>
        </is>
      </c>
      <c r="E662" t="inlineStr">
        <is>
          <t>LINKÖPING</t>
        </is>
      </c>
      <c r="F662" t="inlineStr">
        <is>
          <t>Allmännings- och besparingsskogar</t>
        </is>
      </c>
      <c r="G662" t="n">
        <v>11.2</v>
      </c>
      <c r="H662" t="n">
        <v>0</v>
      </c>
      <c r="I662" t="n">
        <v>0</v>
      </c>
      <c r="J662" t="n">
        <v>0</v>
      </c>
      <c r="K662" t="n">
        <v>0</v>
      </c>
      <c r="L662" t="n">
        <v>0</v>
      </c>
      <c r="M662" t="n">
        <v>0</v>
      </c>
      <c r="N662" t="n">
        <v>0</v>
      </c>
      <c r="O662" t="n">
        <v>0</v>
      </c>
      <c r="P662" t="n">
        <v>0</v>
      </c>
      <c r="Q662" t="n">
        <v>0</v>
      </c>
      <c r="R662" s="2" t="inlineStr"/>
    </row>
    <row r="663" ht="15" customHeight="1">
      <c r="A663" t="inlineStr">
        <is>
          <t>A 50963-2021</t>
        </is>
      </c>
      <c r="B663" s="1" t="n">
        <v>44460</v>
      </c>
      <c r="C663" s="1" t="n">
        <v>46081</v>
      </c>
      <c r="D663" t="inlineStr">
        <is>
          <t>ÖSTERGÖTLANDS LÄN</t>
        </is>
      </c>
      <c r="E663" t="inlineStr">
        <is>
          <t>LINKÖPING</t>
        </is>
      </c>
      <c r="G663" t="n">
        <v>4.4</v>
      </c>
      <c r="H663" t="n">
        <v>0</v>
      </c>
      <c r="I663" t="n">
        <v>0</v>
      </c>
      <c r="J663" t="n">
        <v>0</v>
      </c>
      <c r="K663" t="n">
        <v>0</v>
      </c>
      <c r="L663" t="n">
        <v>0</v>
      </c>
      <c r="M663" t="n">
        <v>0</v>
      </c>
      <c r="N663" t="n">
        <v>0</v>
      </c>
      <c r="O663" t="n">
        <v>0</v>
      </c>
      <c r="P663" t="n">
        <v>0</v>
      </c>
      <c r="Q663" t="n">
        <v>0</v>
      </c>
      <c r="R663" s="2" t="inlineStr"/>
    </row>
    <row r="664" ht="15" customHeight="1">
      <c r="A664" t="inlineStr">
        <is>
          <t>A 45821-2024</t>
        </is>
      </c>
      <c r="B664" s="1" t="n">
        <v>45579.75803240741</v>
      </c>
      <c r="C664" s="1" t="n">
        <v>46081</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61936-2023</t>
        </is>
      </c>
      <c r="B665" s="1" t="n">
        <v>45266.54534722222</v>
      </c>
      <c r="C665" s="1" t="n">
        <v>46081</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1263-2024</t>
        </is>
      </c>
      <c r="B666" s="1" t="n">
        <v>45302</v>
      </c>
      <c r="C666" s="1" t="n">
        <v>46081</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24464-2023</t>
        </is>
      </c>
      <c r="B667" s="1" t="n">
        <v>45082.58068287037</v>
      </c>
      <c r="C667" s="1" t="n">
        <v>46081</v>
      </c>
      <c r="D667" t="inlineStr">
        <is>
          <t>ÖSTERGÖTLANDS LÄN</t>
        </is>
      </c>
      <c r="E667" t="inlineStr">
        <is>
          <t>LINKÖPING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48389-2024</t>
        </is>
      </c>
      <c r="B668" s="1" t="n">
        <v>45590.59991898148</v>
      </c>
      <c r="C668" s="1" t="n">
        <v>46081</v>
      </c>
      <c r="D668" t="inlineStr">
        <is>
          <t>ÖSTERGÖTLANDS LÄN</t>
        </is>
      </c>
      <c r="E668" t="inlineStr">
        <is>
          <t>LINKÖPING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61281-2021</t>
        </is>
      </c>
      <c r="B669" s="1" t="n">
        <v>44498.60736111111</v>
      </c>
      <c r="C669" s="1" t="n">
        <v>46081</v>
      </c>
      <c r="D669" t="inlineStr">
        <is>
          <t>ÖSTERGÖTLANDS LÄN</t>
        </is>
      </c>
      <c r="E669" t="inlineStr">
        <is>
          <t>LINKÖPING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6369-2023</t>
        </is>
      </c>
      <c r="B670" s="1" t="n">
        <v>44965.61106481482</v>
      </c>
      <c r="C670" s="1" t="n">
        <v>46081</v>
      </c>
      <c r="D670" t="inlineStr">
        <is>
          <t>ÖSTERGÖTLANDS LÄN</t>
        </is>
      </c>
      <c r="E670" t="inlineStr">
        <is>
          <t>LINKÖPING</t>
        </is>
      </c>
      <c r="G670" t="n">
        <v>4</v>
      </c>
      <c r="H670" t="n">
        <v>0</v>
      </c>
      <c r="I670" t="n">
        <v>0</v>
      </c>
      <c r="J670" t="n">
        <v>0</v>
      </c>
      <c r="K670" t="n">
        <v>0</v>
      </c>
      <c r="L670" t="n">
        <v>0</v>
      </c>
      <c r="M670" t="n">
        <v>0</v>
      </c>
      <c r="N670" t="n">
        <v>0</v>
      </c>
      <c r="O670" t="n">
        <v>0</v>
      </c>
      <c r="P670" t="n">
        <v>0</v>
      </c>
      <c r="Q670" t="n">
        <v>0</v>
      </c>
      <c r="R670" s="2" t="inlineStr"/>
    </row>
    <row r="671" ht="15" customHeight="1">
      <c r="A671" t="inlineStr">
        <is>
          <t>A 10094-2024</t>
        </is>
      </c>
      <c r="B671" s="1" t="n">
        <v>45364</v>
      </c>
      <c r="C671" s="1" t="n">
        <v>46081</v>
      </c>
      <c r="D671" t="inlineStr">
        <is>
          <t>ÖSTERGÖTLANDS LÄN</t>
        </is>
      </c>
      <c r="E671" t="inlineStr">
        <is>
          <t>LINKÖPING</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46081</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62015-2024</t>
        </is>
      </c>
      <c r="B673" s="1" t="n">
        <v>45655.80457175926</v>
      </c>
      <c r="C673" s="1" t="n">
        <v>46081</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62020-2024</t>
        </is>
      </c>
      <c r="B674" s="1" t="n">
        <v>45655.83563657408</v>
      </c>
      <c r="C674" s="1" t="n">
        <v>46081</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62021-2024</t>
        </is>
      </c>
      <c r="B675" s="1" t="n">
        <v>45655.84232638889</v>
      </c>
      <c r="C675" s="1" t="n">
        <v>46081</v>
      </c>
      <c r="D675" t="inlineStr">
        <is>
          <t>ÖSTERGÖTLANDS LÄN</t>
        </is>
      </c>
      <c r="E675" t="inlineStr">
        <is>
          <t>LINKÖPING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27891-2021</t>
        </is>
      </c>
      <c r="B676" s="1" t="n">
        <v>44354.65108796296</v>
      </c>
      <c r="C676" s="1" t="n">
        <v>46081</v>
      </c>
      <c r="D676" t="inlineStr">
        <is>
          <t>ÖSTERGÖTLANDS LÄN</t>
        </is>
      </c>
      <c r="E676" t="inlineStr">
        <is>
          <t>LINKÖPING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57391-2023</t>
        </is>
      </c>
      <c r="B677" s="1" t="n">
        <v>45245</v>
      </c>
      <c r="C677" s="1" t="n">
        <v>46081</v>
      </c>
      <c r="D677" t="inlineStr">
        <is>
          <t>ÖSTERGÖTLANDS LÄN</t>
        </is>
      </c>
      <c r="E677" t="inlineStr">
        <is>
          <t>LINKÖPING</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20294-2025</t>
        </is>
      </c>
      <c r="B678" s="1" t="n">
        <v>45774.74667824074</v>
      </c>
      <c r="C678" s="1" t="n">
        <v>46081</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60013-2022</t>
        </is>
      </c>
      <c r="B679" s="1" t="n">
        <v>44909.47482638889</v>
      </c>
      <c r="C679" s="1" t="n">
        <v>46081</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3007-2025</t>
        </is>
      </c>
      <c r="B680" s="1" t="n">
        <v>45678.56328703704</v>
      </c>
      <c r="C680" s="1" t="n">
        <v>46081</v>
      </c>
      <c r="D680" t="inlineStr">
        <is>
          <t>ÖSTERGÖTLANDS LÄN</t>
        </is>
      </c>
      <c r="E680" t="inlineStr">
        <is>
          <t>LINKÖPING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34877-2023</t>
        </is>
      </c>
      <c r="B681" s="1" t="n">
        <v>45140</v>
      </c>
      <c r="C681" s="1" t="n">
        <v>46081</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1924-2024</t>
        </is>
      </c>
      <c r="B682" s="1" t="n">
        <v>45308</v>
      </c>
      <c r="C682" s="1" t="n">
        <v>46081</v>
      </c>
      <c r="D682" t="inlineStr">
        <is>
          <t>ÖSTERGÖTLANDS LÄN</t>
        </is>
      </c>
      <c r="E682" t="inlineStr">
        <is>
          <t>LINKÖPING</t>
        </is>
      </c>
      <c r="F682" t="inlineStr">
        <is>
          <t>Övriga Aktiebolag</t>
        </is>
      </c>
      <c r="G682" t="n">
        <v>0.5</v>
      </c>
      <c r="H682" t="n">
        <v>0</v>
      </c>
      <c r="I682" t="n">
        <v>0</v>
      </c>
      <c r="J682" t="n">
        <v>0</v>
      </c>
      <c r="K682" t="n">
        <v>0</v>
      </c>
      <c r="L682" t="n">
        <v>0</v>
      </c>
      <c r="M682" t="n">
        <v>0</v>
      </c>
      <c r="N682" t="n">
        <v>0</v>
      </c>
      <c r="O682" t="n">
        <v>0</v>
      </c>
      <c r="P682" t="n">
        <v>0</v>
      </c>
      <c r="Q682" t="n">
        <v>0</v>
      </c>
      <c r="R682" s="2" t="inlineStr"/>
    </row>
    <row r="683" ht="15" customHeight="1">
      <c r="A683" t="inlineStr">
        <is>
          <t>A 34558-2022</t>
        </is>
      </c>
      <c r="B683" s="1" t="n">
        <v>44794.57594907407</v>
      </c>
      <c r="C683" s="1" t="n">
        <v>46081</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168-2024</t>
        </is>
      </c>
      <c r="B684" s="1" t="n">
        <v>45294</v>
      </c>
      <c r="C684" s="1" t="n">
        <v>46081</v>
      </c>
      <c r="D684" t="inlineStr">
        <is>
          <t>ÖSTERGÖTLANDS LÄN</t>
        </is>
      </c>
      <c r="E684" t="inlineStr">
        <is>
          <t>LINKÖPING</t>
        </is>
      </c>
      <c r="F684" t="inlineStr">
        <is>
          <t>Allmännings- och besparingsskogar</t>
        </is>
      </c>
      <c r="G684" t="n">
        <v>8.9</v>
      </c>
      <c r="H684" t="n">
        <v>0</v>
      </c>
      <c r="I684" t="n">
        <v>0</v>
      </c>
      <c r="J684" t="n">
        <v>0</v>
      </c>
      <c r="K684" t="n">
        <v>0</v>
      </c>
      <c r="L684" t="n">
        <v>0</v>
      </c>
      <c r="M684" t="n">
        <v>0</v>
      </c>
      <c r="N684" t="n">
        <v>0</v>
      </c>
      <c r="O684" t="n">
        <v>0</v>
      </c>
      <c r="P684" t="n">
        <v>0</v>
      </c>
      <c r="Q684" t="n">
        <v>0</v>
      </c>
      <c r="R684" s="2" t="inlineStr"/>
    </row>
    <row r="685" ht="15" customHeight="1">
      <c r="A685" t="inlineStr">
        <is>
          <t>A 15658-2023</t>
        </is>
      </c>
      <c r="B685" s="1" t="n">
        <v>45021.41194444444</v>
      </c>
      <c r="C685" s="1" t="n">
        <v>46081</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30433-2024</t>
        </is>
      </c>
      <c r="B686" s="1" t="n">
        <v>45491.69741898148</v>
      </c>
      <c r="C686" s="1" t="n">
        <v>46081</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52220-2023</t>
        </is>
      </c>
      <c r="B687" s="1" t="n">
        <v>45217</v>
      </c>
      <c r="C687" s="1" t="n">
        <v>46081</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52225-2023</t>
        </is>
      </c>
      <c r="B688" s="1" t="n">
        <v>45217</v>
      </c>
      <c r="C688" s="1" t="n">
        <v>46081</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19464-2024</t>
        </is>
      </c>
      <c r="B689" s="1" t="n">
        <v>45429</v>
      </c>
      <c r="C689" s="1" t="n">
        <v>46081</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42044-2023</t>
        </is>
      </c>
      <c r="B690" s="1" t="n">
        <v>45177</v>
      </c>
      <c r="C690" s="1" t="n">
        <v>46081</v>
      </c>
      <c r="D690" t="inlineStr">
        <is>
          <t>ÖSTERGÖTLANDS LÄN</t>
        </is>
      </c>
      <c r="E690" t="inlineStr">
        <is>
          <t>LINKÖPING</t>
        </is>
      </c>
      <c r="G690" t="n">
        <v>3.9</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46081</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21782-2024</t>
        </is>
      </c>
      <c r="B692" s="1" t="n">
        <v>45442.63368055555</v>
      </c>
      <c r="C692" s="1" t="n">
        <v>46081</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57766-2023</t>
        </is>
      </c>
      <c r="B693" s="1" t="n">
        <v>45246</v>
      </c>
      <c r="C693" s="1" t="n">
        <v>46081</v>
      </c>
      <c r="D693" t="inlineStr">
        <is>
          <t>ÖSTERGÖTLANDS LÄN</t>
        </is>
      </c>
      <c r="E693" t="inlineStr">
        <is>
          <t>LINKÖPING</t>
        </is>
      </c>
      <c r="F693" t="inlineStr">
        <is>
          <t>Allmännings- och besparingsskogar</t>
        </is>
      </c>
      <c r="G693" t="n">
        <v>12.8</v>
      </c>
      <c r="H693" t="n">
        <v>0</v>
      </c>
      <c r="I693" t="n">
        <v>0</v>
      </c>
      <c r="J693" t="n">
        <v>0</v>
      </c>
      <c r="K693" t="n">
        <v>0</v>
      </c>
      <c r="L693" t="n">
        <v>0</v>
      </c>
      <c r="M693" t="n">
        <v>0</v>
      </c>
      <c r="N693" t="n">
        <v>0</v>
      </c>
      <c r="O693" t="n">
        <v>0</v>
      </c>
      <c r="P693" t="n">
        <v>0</v>
      </c>
      <c r="Q693" t="n">
        <v>0</v>
      </c>
      <c r="R693" s="2" t="inlineStr"/>
    </row>
    <row r="694" ht="15" customHeight="1">
      <c r="A694" t="inlineStr">
        <is>
          <t>A 27186-2021</t>
        </is>
      </c>
      <c r="B694" s="1" t="n">
        <v>44350.67715277777</v>
      </c>
      <c r="C694" s="1" t="n">
        <v>46081</v>
      </c>
      <c r="D694" t="inlineStr">
        <is>
          <t>ÖSTERGÖTLANDS LÄN</t>
        </is>
      </c>
      <c r="E694" t="inlineStr">
        <is>
          <t>LINKÖPING</t>
        </is>
      </c>
      <c r="F694" t="inlineStr">
        <is>
          <t>Allmännings- och besparingsskogar</t>
        </is>
      </c>
      <c r="G694" t="n">
        <v>1.4</v>
      </c>
      <c r="H694" t="n">
        <v>0</v>
      </c>
      <c r="I694" t="n">
        <v>0</v>
      </c>
      <c r="J694" t="n">
        <v>0</v>
      </c>
      <c r="K694" t="n">
        <v>0</v>
      </c>
      <c r="L694" t="n">
        <v>0</v>
      </c>
      <c r="M694" t="n">
        <v>0</v>
      </c>
      <c r="N694" t="n">
        <v>0</v>
      </c>
      <c r="O694" t="n">
        <v>0</v>
      </c>
      <c r="P694" t="n">
        <v>0</v>
      </c>
      <c r="Q694" t="n">
        <v>0</v>
      </c>
      <c r="R694" s="2" t="inlineStr"/>
    </row>
    <row r="695" ht="15" customHeight="1">
      <c r="A695" t="inlineStr">
        <is>
          <t>A 10194-2023</t>
        </is>
      </c>
      <c r="B695" s="1" t="n">
        <v>44986.52277777778</v>
      </c>
      <c r="C695" s="1" t="n">
        <v>46081</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55944-2024</t>
        </is>
      </c>
      <c r="B696" s="1" t="n">
        <v>45623.61640046296</v>
      </c>
      <c r="C696" s="1" t="n">
        <v>46081</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55947-2024</t>
        </is>
      </c>
      <c r="B697" s="1" t="n">
        <v>45623</v>
      </c>
      <c r="C697" s="1" t="n">
        <v>46081</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47703-2023</t>
        </is>
      </c>
      <c r="B698" s="1" t="n">
        <v>45203</v>
      </c>
      <c r="C698" s="1" t="n">
        <v>46081</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51559-2024</t>
        </is>
      </c>
      <c r="B699" s="1" t="n">
        <v>45604.61431712963</v>
      </c>
      <c r="C699" s="1" t="n">
        <v>46081</v>
      </c>
      <c r="D699" t="inlineStr">
        <is>
          <t>ÖSTERGÖTLANDS LÄN</t>
        </is>
      </c>
      <c r="E699" t="inlineStr">
        <is>
          <t>LINKÖPING</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62353-2022</t>
        </is>
      </c>
      <c r="B700" s="1" t="n">
        <v>44923</v>
      </c>
      <c r="C700" s="1" t="n">
        <v>46081</v>
      </c>
      <c r="D700" t="inlineStr">
        <is>
          <t>ÖSTERGÖTLANDS LÄN</t>
        </is>
      </c>
      <c r="E700" t="inlineStr">
        <is>
          <t>LINKÖPING</t>
        </is>
      </c>
      <c r="F700" t="inlineStr">
        <is>
          <t>Allmännings- och besparingsskogar</t>
        </is>
      </c>
      <c r="G700" t="n">
        <v>1.7</v>
      </c>
      <c r="H700" t="n">
        <v>0</v>
      </c>
      <c r="I700" t="n">
        <v>0</v>
      </c>
      <c r="J700" t="n">
        <v>0</v>
      </c>
      <c r="K700" t="n">
        <v>0</v>
      </c>
      <c r="L700" t="n">
        <v>0</v>
      </c>
      <c r="M700" t="n">
        <v>0</v>
      </c>
      <c r="N700" t="n">
        <v>0</v>
      </c>
      <c r="O700" t="n">
        <v>0</v>
      </c>
      <c r="P700" t="n">
        <v>0</v>
      </c>
      <c r="Q700" t="n">
        <v>0</v>
      </c>
      <c r="R700" s="2" t="inlineStr"/>
    </row>
    <row r="701" ht="15" customHeight="1">
      <c r="A701" t="inlineStr">
        <is>
          <t>A 15754-2025</t>
        </is>
      </c>
      <c r="B701" s="1" t="n">
        <v>45748.56105324074</v>
      </c>
      <c r="C701" s="1" t="n">
        <v>46081</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4298-2023</t>
        </is>
      </c>
      <c r="B702" s="1" t="n">
        <v>44953</v>
      </c>
      <c r="C702" s="1" t="n">
        <v>46081</v>
      </c>
      <c r="D702" t="inlineStr">
        <is>
          <t>ÖSTERGÖTLANDS LÄN</t>
        </is>
      </c>
      <c r="E702" t="inlineStr">
        <is>
          <t>LINKÖPING</t>
        </is>
      </c>
      <c r="G702" t="n">
        <v>2.8</v>
      </c>
      <c r="H702" t="n">
        <v>0</v>
      </c>
      <c r="I702" t="n">
        <v>0</v>
      </c>
      <c r="J702" t="n">
        <v>0</v>
      </c>
      <c r="K702" t="n">
        <v>0</v>
      </c>
      <c r="L702" t="n">
        <v>0</v>
      </c>
      <c r="M702" t="n">
        <v>0</v>
      </c>
      <c r="N702" t="n">
        <v>0</v>
      </c>
      <c r="O702" t="n">
        <v>0</v>
      </c>
      <c r="P702" t="n">
        <v>0</v>
      </c>
      <c r="Q702" t="n">
        <v>0</v>
      </c>
      <c r="R702" s="2" t="inlineStr"/>
    </row>
    <row r="703" ht="15" customHeight="1">
      <c r="A703" t="inlineStr">
        <is>
          <t>A 18145-2021</t>
        </is>
      </c>
      <c r="B703" s="1" t="n">
        <v>44302</v>
      </c>
      <c r="C703" s="1" t="n">
        <v>46081</v>
      </c>
      <c r="D703" t="inlineStr">
        <is>
          <t>ÖSTERGÖTLANDS LÄN</t>
        </is>
      </c>
      <c r="E703" t="inlineStr">
        <is>
          <t>LINKÖPING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25568-2024</t>
        </is>
      </c>
      <c r="B704" s="1" t="n">
        <v>45463.58699074074</v>
      </c>
      <c r="C704" s="1" t="n">
        <v>46081</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38136-2023</t>
        </is>
      </c>
      <c r="B705" s="1" t="n">
        <v>45161.37310185185</v>
      </c>
      <c r="C705" s="1" t="n">
        <v>46081</v>
      </c>
      <c r="D705" t="inlineStr">
        <is>
          <t>ÖSTERGÖTLANDS LÄN</t>
        </is>
      </c>
      <c r="E705" t="inlineStr">
        <is>
          <t>LINKÖPING</t>
        </is>
      </c>
      <c r="G705" t="n">
        <v>5.6</v>
      </c>
      <c r="H705" t="n">
        <v>0</v>
      </c>
      <c r="I705" t="n">
        <v>0</v>
      </c>
      <c r="J705" t="n">
        <v>0</v>
      </c>
      <c r="K705" t="n">
        <v>0</v>
      </c>
      <c r="L705" t="n">
        <v>0</v>
      </c>
      <c r="M705" t="n">
        <v>0</v>
      </c>
      <c r="N705" t="n">
        <v>0</v>
      </c>
      <c r="O705" t="n">
        <v>0</v>
      </c>
      <c r="P705" t="n">
        <v>0</v>
      </c>
      <c r="Q705" t="n">
        <v>0</v>
      </c>
      <c r="R705" s="2" t="inlineStr"/>
    </row>
    <row r="706" ht="15" customHeight="1">
      <c r="A706" t="inlineStr">
        <is>
          <t>A 12317-2025</t>
        </is>
      </c>
      <c r="B706" s="1" t="n">
        <v>45729.8487037037</v>
      </c>
      <c r="C706" s="1" t="n">
        <v>46081</v>
      </c>
      <c r="D706" t="inlineStr">
        <is>
          <t>ÖSTERGÖTLANDS LÄN</t>
        </is>
      </c>
      <c r="E706" t="inlineStr">
        <is>
          <t>LINKÖPING</t>
        </is>
      </c>
      <c r="G706" t="n">
        <v>8</v>
      </c>
      <c r="H706" t="n">
        <v>0</v>
      </c>
      <c r="I706" t="n">
        <v>0</v>
      </c>
      <c r="J706" t="n">
        <v>0</v>
      </c>
      <c r="K706" t="n">
        <v>0</v>
      </c>
      <c r="L706" t="n">
        <v>0</v>
      </c>
      <c r="M706" t="n">
        <v>0</v>
      </c>
      <c r="N706" t="n">
        <v>0</v>
      </c>
      <c r="O706" t="n">
        <v>0</v>
      </c>
      <c r="P706" t="n">
        <v>0</v>
      </c>
      <c r="Q706" t="n">
        <v>0</v>
      </c>
      <c r="R706" s="2" t="inlineStr"/>
    </row>
    <row r="707" ht="15" customHeight="1">
      <c r="A707" t="inlineStr">
        <is>
          <t>A 14528-2025</t>
        </is>
      </c>
      <c r="B707" s="1" t="n">
        <v>45741</v>
      </c>
      <c r="C707" s="1" t="n">
        <v>46081</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61649-2023</t>
        </is>
      </c>
      <c r="B708" s="1" t="n">
        <v>45265</v>
      </c>
      <c r="C708" s="1" t="n">
        <v>46081</v>
      </c>
      <c r="D708" t="inlineStr">
        <is>
          <t>ÖSTERGÖTLANDS LÄN</t>
        </is>
      </c>
      <c r="E708" t="inlineStr">
        <is>
          <t>LINKÖPING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60985-2023</t>
        </is>
      </c>
      <c r="B709" s="1" t="n">
        <v>45261.48429398148</v>
      </c>
      <c r="C709" s="1" t="n">
        <v>46081</v>
      </c>
      <c r="D709" t="inlineStr">
        <is>
          <t>ÖSTERGÖTLANDS LÄN</t>
        </is>
      </c>
      <c r="E709" t="inlineStr">
        <is>
          <t>LINKÖPING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421-2024</t>
        </is>
      </c>
      <c r="B710" s="1" t="n">
        <v>45296.51877314815</v>
      </c>
      <c r="C710" s="1" t="n">
        <v>46081</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51405-2023</t>
        </is>
      </c>
      <c r="B711" s="1" t="n">
        <v>45219</v>
      </c>
      <c r="C711" s="1" t="n">
        <v>46081</v>
      </c>
      <c r="D711" t="inlineStr">
        <is>
          <t>ÖSTERGÖTLANDS LÄN</t>
        </is>
      </c>
      <c r="E711" t="inlineStr">
        <is>
          <t>LINKÖPING</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53639-2023</t>
        </is>
      </c>
      <c r="B712" s="1" t="n">
        <v>45230.59686342593</v>
      </c>
      <c r="C712" s="1" t="n">
        <v>46081</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24467-2023</t>
        </is>
      </c>
      <c r="B713" s="1" t="n">
        <v>45082</v>
      </c>
      <c r="C713" s="1" t="n">
        <v>46081</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62488-2023</t>
        </is>
      </c>
      <c r="B714" s="1" t="n">
        <v>45268.5847337963</v>
      </c>
      <c r="C714" s="1" t="n">
        <v>46081</v>
      </c>
      <c r="D714" t="inlineStr">
        <is>
          <t>ÖSTERGÖTLANDS LÄN</t>
        </is>
      </c>
      <c r="E714" t="inlineStr">
        <is>
          <t>LINKÖPING</t>
        </is>
      </c>
      <c r="G714" t="n">
        <v>4.1</v>
      </c>
      <c r="H714" t="n">
        <v>0</v>
      </c>
      <c r="I714" t="n">
        <v>0</v>
      </c>
      <c r="J714" t="n">
        <v>0</v>
      </c>
      <c r="K714" t="n">
        <v>0</v>
      </c>
      <c r="L714" t="n">
        <v>0</v>
      </c>
      <c r="M714" t="n">
        <v>0</v>
      </c>
      <c r="N714" t="n">
        <v>0</v>
      </c>
      <c r="O714" t="n">
        <v>0</v>
      </c>
      <c r="P714" t="n">
        <v>0</v>
      </c>
      <c r="Q714" t="n">
        <v>0</v>
      </c>
      <c r="R714" s="2" t="inlineStr"/>
    </row>
    <row r="715" ht="15" customHeight="1">
      <c r="A715" t="inlineStr">
        <is>
          <t>A 62495-2023</t>
        </is>
      </c>
      <c r="B715" s="1" t="n">
        <v>45268.59717592593</v>
      </c>
      <c r="C715" s="1" t="n">
        <v>46081</v>
      </c>
      <c r="D715" t="inlineStr">
        <is>
          <t>ÖSTERGÖTLANDS LÄN</t>
        </is>
      </c>
      <c r="E715" t="inlineStr">
        <is>
          <t>LINKÖPING</t>
        </is>
      </c>
      <c r="G715" t="n">
        <v>4.1</v>
      </c>
      <c r="H715" t="n">
        <v>0</v>
      </c>
      <c r="I715" t="n">
        <v>0</v>
      </c>
      <c r="J715" t="n">
        <v>0</v>
      </c>
      <c r="K715" t="n">
        <v>0</v>
      </c>
      <c r="L715" t="n">
        <v>0</v>
      </c>
      <c r="M715" t="n">
        <v>0</v>
      </c>
      <c r="N715" t="n">
        <v>0</v>
      </c>
      <c r="O715" t="n">
        <v>0</v>
      </c>
      <c r="P715" t="n">
        <v>0</v>
      </c>
      <c r="Q715" t="n">
        <v>0</v>
      </c>
      <c r="R715" s="2" t="inlineStr"/>
    </row>
    <row r="716" ht="15" customHeight="1">
      <c r="A716" t="inlineStr">
        <is>
          <t>A 10198-2023</t>
        </is>
      </c>
      <c r="B716" s="1" t="n">
        <v>44986.54665509259</v>
      </c>
      <c r="C716" s="1" t="n">
        <v>46081</v>
      </c>
      <c r="D716" t="inlineStr">
        <is>
          <t>ÖSTERGÖTLANDS LÄN</t>
        </is>
      </c>
      <c r="E716" t="inlineStr">
        <is>
          <t>LINKÖPING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22771-2024</t>
        </is>
      </c>
      <c r="B717" s="1" t="n">
        <v>45448.46574074074</v>
      </c>
      <c r="C717" s="1" t="n">
        <v>46081</v>
      </c>
      <c r="D717" t="inlineStr">
        <is>
          <t>ÖSTERGÖTLANDS LÄN</t>
        </is>
      </c>
      <c r="E717" t="inlineStr">
        <is>
          <t>LINKÖPING</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17128-2025</t>
        </is>
      </c>
      <c r="B718" s="1" t="n">
        <v>45755.72622685185</v>
      </c>
      <c r="C718" s="1" t="n">
        <v>46081</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62018-2024</t>
        </is>
      </c>
      <c r="B719" s="1" t="n">
        <v>45655.81387731482</v>
      </c>
      <c r="C719" s="1" t="n">
        <v>46081</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62073-2023</t>
        </is>
      </c>
      <c r="B720" s="1" t="n">
        <v>45266.73844907407</v>
      </c>
      <c r="C720" s="1" t="n">
        <v>46081</v>
      </c>
      <c r="D720" t="inlineStr">
        <is>
          <t>ÖSTERGÖTLANDS LÄN</t>
        </is>
      </c>
      <c r="E720" t="inlineStr">
        <is>
          <t>LINKÖPING</t>
        </is>
      </c>
      <c r="F720" t="inlineStr">
        <is>
          <t>Allmännings- och besparingsskogar</t>
        </is>
      </c>
      <c r="G720" t="n">
        <v>1.8</v>
      </c>
      <c r="H720" t="n">
        <v>0</v>
      </c>
      <c r="I720" t="n">
        <v>0</v>
      </c>
      <c r="J720" t="n">
        <v>0</v>
      </c>
      <c r="K720" t="n">
        <v>0</v>
      </c>
      <c r="L720" t="n">
        <v>0</v>
      </c>
      <c r="M720" t="n">
        <v>0</v>
      </c>
      <c r="N720" t="n">
        <v>0</v>
      </c>
      <c r="O720" t="n">
        <v>0</v>
      </c>
      <c r="P720" t="n">
        <v>0</v>
      </c>
      <c r="Q720" t="n">
        <v>0</v>
      </c>
      <c r="R720" s="2" t="inlineStr"/>
    </row>
    <row r="721" ht="15" customHeight="1">
      <c r="A721" t="inlineStr">
        <is>
          <t>A 672-2024</t>
        </is>
      </c>
      <c r="B721" s="1" t="n">
        <v>45300</v>
      </c>
      <c r="C721" s="1" t="n">
        <v>46081</v>
      </c>
      <c r="D721" t="inlineStr">
        <is>
          <t>ÖSTERGÖTLANDS LÄN</t>
        </is>
      </c>
      <c r="E721" t="inlineStr">
        <is>
          <t>LINKÖPING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42832-2023</t>
        </is>
      </c>
      <c r="B722" s="1" t="n">
        <v>45182.38091435185</v>
      </c>
      <c r="C722" s="1" t="n">
        <v>46081</v>
      </c>
      <c r="D722" t="inlineStr">
        <is>
          <t>ÖSTERGÖTLANDS LÄN</t>
        </is>
      </c>
      <c r="E722" t="inlineStr">
        <is>
          <t>LINKÖPING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5872-2025</t>
        </is>
      </c>
      <c r="B723" s="1" t="n">
        <v>45695.36659722222</v>
      </c>
      <c r="C723" s="1" t="n">
        <v>46081</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59674-2024</t>
        </is>
      </c>
      <c r="B724" s="1" t="n">
        <v>45639</v>
      </c>
      <c r="C724" s="1" t="n">
        <v>46081</v>
      </c>
      <c r="D724" t="inlineStr">
        <is>
          <t>ÖSTERGÖTLANDS LÄN</t>
        </is>
      </c>
      <c r="E724" t="inlineStr">
        <is>
          <t>LINKÖPING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59576-2024</t>
        </is>
      </c>
      <c r="B725" s="1" t="n">
        <v>45638.66378472222</v>
      </c>
      <c r="C725" s="1" t="n">
        <v>46081</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51583-2024</t>
        </is>
      </c>
      <c r="B726" s="1" t="n">
        <v>45604.6397337963</v>
      </c>
      <c r="C726" s="1" t="n">
        <v>46081</v>
      </c>
      <c r="D726" t="inlineStr">
        <is>
          <t>ÖSTERGÖTLANDS LÄN</t>
        </is>
      </c>
      <c r="E726" t="inlineStr">
        <is>
          <t>LINKÖPING</t>
        </is>
      </c>
      <c r="F726" t="inlineStr">
        <is>
          <t>Övriga Aktiebolag</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62019-2024</t>
        </is>
      </c>
      <c r="B727" s="1" t="n">
        <v>45655.82</v>
      </c>
      <c r="C727" s="1" t="n">
        <v>46081</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38317-2024</t>
        </is>
      </c>
      <c r="B728" s="1" t="n">
        <v>45545.65766203704</v>
      </c>
      <c r="C728" s="1" t="n">
        <v>46081</v>
      </c>
      <c r="D728" t="inlineStr">
        <is>
          <t>ÖSTERGÖTLANDS LÄN</t>
        </is>
      </c>
      <c r="E728" t="inlineStr">
        <is>
          <t>LINKÖPING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50182-2023</t>
        </is>
      </c>
      <c r="B729" s="1" t="n">
        <v>45208</v>
      </c>
      <c r="C729" s="1" t="n">
        <v>46081</v>
      </c>
      <c r="D729" t="inlineStr">
        <is>
          <t>ÖSTERGÖTLANDS LÄN</t>
        </is>
      </c>
      <c r="E729" t="inlineStr">
        <is>
          <t>LINKÖPING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46081</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21155-2025</t>
        </is>
      </c>
      <c r="B731" s="1" t="n">
        <v>45779.37586805555</v>
      </c>
      <c r="C731" s="1" t="n">
        <v>46081</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21165-2025</t>
        </is>
      </c>
      <c r="B732" s="1" t="n">
        <v>45779.39417824074</v>
      </c>
      <c r="C732" s="1" t="n">
        <v>46081</v>
      </c>
      <c r="D732" t="inlineStr">
        <is>
          <t>ÖSTERGÖTLANDS LÄN</t>
        </is>
      </c>
      <c r="E732" t="inlineStr">
        <is>
          <t>LINKÖPING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57752-2023</t>
        </is>
      </c>
      <c r="B733" s="1" t="n">
        <v>45246.78474537037</v>
      </c>
      <c r="C733" s="1" t="n">
        <v>46081</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46081</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10797-2024</t>
        </is>
      </c>
      <c r="B735" s="1" t="n">
        <v>45369.6190162037</v>
      </c>
      <c r="C735" s="1" t="n">
        <v>46081</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22264-2025</t>
        </is>
      </c>
      <c r="B736" s="1" t="n">
        <v>45785</v>
      </c>
      <c r="C736" s="1" t="n">
        <v>46081</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6859-2024</t>
        </is>
      </c>
      <c r="B737" s="1" t="n">
        <v>45342</v>
      </c>
      <c r="C737" s="1" t="n">
        <v>46081</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38580-2024</t>
        </is>
      </c>
      <c r="B738" s="1" t="n">
        <v>45546.64825231482</v>
      </c>
      <c r="C738" s="1" t="n">
        <v>46081</v>
      </c>
      <c r="D738" t="inlineStr">
        <is>
          <t>ÖSTERGÖTLANDS LÄN</t>
        </is>
      </c>
      <c r="E738" t="inlineStr">
        <is>
          <t>LINKÖPING</t>
        </is>
      </c>
      <c r="G738" t="n">
        <v>4.8</v>
      </c>
      <c r="H738" t="n">
        <v>0</v>
      </c>
      <c r="I738" t="n">
        <v>0</v>
      </c>
      <c r="J738" t="n">
        <v>0</v>
      </c>
      <c r="K738" t="n">
        <v>0</v>
      </c>
      <c r="L738" t="n">
        <v>0</v>
      </c>
      <c r="M738" t="n">
        <v>0</v>
      </c>
      <c r="N738" t="n">
        <v>0</v>
      </c>
      <c r="O738" t="n">
        <v>0</v>
      </c>
      <c r="P738" t="n">
        <v>0</v>
      </c>
      <c r="Q738" t="n">
        <v>0</v>
      </c>
      <c r="R738" s="2" t="inlineStr"/>
    </row>
    <row r="739" ht="15" customHeight="1">
      <c r="A739" t="inlineStr">
        <is>
          <t>A 572-2025</t>
        </is>
      </c>
      <c r="B739" s="1" t="n">
        <v>45664.56349537037</v>
      </c>
      <c r="C739" s="1" t="n">
        <v>46081</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22364-2025</t>
        </is>
      </c>
      <c r="B740" s="1" t="n">
        <v>45786.46930555555</v>
      </c>
      <c r="C740" s="1" t="n">
        <v>46081</v>
      </c>
      <c r="D740" t="inlineStr">
        <is>
          <t>ÖSTERGÖTLANDS LÄN</t>
        </is>
      </c>
      <c r="E740" t="inlineStr">
        <is>
          <t>LINKÖPING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44287-2024</t>
        </is>
      </c>
      <c r="B741" s="1" t="n">
        <v>45573.50582175926</v>
      </c>
      <c r="C741" s="1" t="n">
        <v>46081</v>
      </c>
      <c r="D741" t="inlineStr">
        <is>
          <t>ÖSTERGÖTLANDS LÄN</t>
        </is>
      </c>
      <c r="E741" t="inlineStr">
        <is>
          <t>LINKÖPING</t>
        </is>
      </c>
      <c r="G741" t="n">
        <v>12.7</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46081</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46081</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48699-2024</t>
        </is>
      </c>
      <c r="B744" s="1" t="n">
        <v>45593.52091435185</v>
      </c>
      <c r="C744" s="1" t="n">
        <v>46081</v>
      </c>
      <c r="D744" t="inlineStr">
        <is>
          <t>ÖSTERGÖTLANDS LÄN</t>
        </is>
      </c>
      <c r="E744" t="inlineStr">
        <is>
          <t>LINKÖPING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13911-2025</t>
        </is>
      </c>
      <c r="B745" s="1" t="n">
        <v>45737.64784722222</v>
      </c>
      <c r="C745" s="1" t="n">
        <v>46081</v>
      </c>
      <c r="D745" t="inlineStr">
        <is>
          <t>ÖSTERGÖTLANDS LÄN</t>
        </is>
      </c>
      <c r="E745" t="inlineStr">
        <is>
          <t>LINKÖPING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23768-2025</t>
        </is>
      </c>
      <c r="B746" s="1" t="n">
        <v>45793.47493055555</v>
      </c>
      <c r="C746" s="1" t="n">
        <v>46081</v>
      </c>
      <c r="D746" t="inlineStr">
        <is>
          <t>ÖSTERGÖTLANDS LÄN</t>
        </is>
      </c>
      <c r="E746" t="inlineStr">
        <is>
          <t>LINKÖPING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46081</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c r="A748" t="inlineStr">
        <is>
          <t>A 25996-2025</t>
        </is>
      </c>
      <c r="B748" s="1" t="n">
        <v>45804.65851851852</v>
      </c>
      <c r="C748" s="1" t="n">
        <v>46081</v>
      </c>
      <c r="D748" t="inlineStr">
        <is>
          <t>ÖSTERGÖTLANDS LÄN</t>
        </is>
      </c>
      <c r="E748" t="inlineStr">
        <is>
          <t>LINKÖPING</t>
        </is>
      </c>
      <c r="G748" t="n">
        <v>3.2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2026-02-28T11:10:05Z</dcterms:created>
  <dcterms:modified xmlns:dcterms="http://purl.org/dc/terms/" xmlns:xsi="http://www.w3.org/2001/XMLSchema-instance" xsi:type="dcterms:W3CDTF">2026-02-28T11:10:05Z</dcterms:modified>
</cp:coreProperties>
</file>