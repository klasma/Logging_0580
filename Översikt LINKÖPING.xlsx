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46010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46010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46010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46010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46010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46010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46010</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46010</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46010</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46010</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46010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46010</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46010</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17275-2025</t>
        </is>
      </c>
      <c r="B16" s="1" t="n">
        <v>45756.55734953703</v>
      </c>
      <c r="C16" s="1" t="n">
        <v>46010</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49999-2025</t>
        </is>
      </c>
      <c r="B17" s="1" t="n">
        <v>45943.30185185185</v>
      </c>
      <c r="C17" s="1" t="n">
        <v>46010</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55341-2024</t>
        </is>
      </c>
      <c r="B18" s="1" t="n">
        <v>45621.71255787037</v>
      </c>
      <c r="C18" s="1" t="n">
        <v>46010</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577-2025</t>
        </is>
      </c>
      <c r="B19" s="1" t="n">
        <v>45664.56525462963</v>
      </c>
      <c r="C19" s="1" t="n">
        <v>46010</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38137-2021</t>
        </is>
      </c>
      <c r="B20" s="1" t="n">
        <v>44405.38357638889</v>
      </c>
      <c r="C20" s="1" t="n">
        <v>46010</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17520-2022</t>
        </is>
      </c>
      <c r="B21" s="1" t="n">
        <v>44679</v>
      </c>
      <c r="C21" s="1" t="n">
        <v>46010</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27981-2022</t>
        </is>
      </c>
      <c r="B22" s="1" t="n">
        <v>44745</v>
      </c>
      <c r="C22" s="1" t="n">
        <v>46010</v>
      </c>
      <c r="D22" t="inlineStr">
        <is>
          <t>ÖSTERGÖTLANDS LÄN</t>
        </is>
      </c>
      <c r="E22" t="inlineStr">
        <is>
          <t>LINKÖPING</t>
        </is>
      </c>
      <c r="G22" t="n">
        <v>8.4</v>
      </c>
      <c r="H22" t="n">
        <v>0</v>
      </c>
      <c r="I22" t="n">
        <v>0</v>
      </c>
      <c r="J22" t="n">
        <v>2</v>
      </c>
      <c r="K22" t="n">
        <v>0</v>
      </c>
      <c r="L22" t="n">
        <v>0</v>
      </c>
      <c r="M22" t="n">
        <v>0</v>
      </c>
      <c r="N22" t="n">
        <v>0</v>
      </c>
      <c r="O22" t="n">
        <v>2</v>
      </c>
      <c r="P22" t="n">
        <v>0</v>
      </c>
      <c r="Q22" t="n">
        <v>2</v>
      </c>
      <c r="R22" s="2" t="inlineStr">
        <is>
          <t>Solvända
Svinrot</t>
        </is>
      </c>
      <c r="S22">
        <f>HYPERLINK("https://klasma.github.io/Logging_0580/artfynd/A 27981-2022 artfynd.xlsx", "A 27981-2022")</f>
        <v/>
      </c>
      <c r="T22">
        <f>HYPERLINK("https://klasma.github.io/Logging_0580/kartor/A 27981-2022 karta.png", "A 27981-2022")</f>
        <v/>
      </c>
      <c r="V22">
        <f>HYPERLINK("https://klasma.github.io/Logging_0580/klagomål/A 27981-2022 FSC-klagomål.docx", "A 27981-2022")</f>
        <v/>
      </c>
      <c r="W22">
        <f>HYPERLINK("https://klasma.github.io/Logging_0580/klagomålsmail/A 27981-2022 FSC-klagomål mail.docx", "A 27981-2022")</f>
        <v/>
      </c>
      <c r="X22">
        <f>HYPERLINK("https://klasma.github.io/Logging_0580/tillsyn/A 27981-2022 tillsynsbegäran.docx", "A 27981-2022")</f>
        <v/>
      </c>
      <c r="Y22">
        <f>HYPERLINK("https://klasma.github.io/Logging_0580/tillsynsmail/A 27981-2022 tillsynsbegäran mail.docx", "A 27981-2022")</f>
        <v/>
      </c>
    </row>
    <row r="23" ht="15" customHeight="1">
      <c r="A23" t="inlineStr">
        <is>
          <t>A 50404-2023</t>
        </is>
      </c>
      <c r="B23" s="1" t="n">
        <v>45216</v>
      </c>
      <c r="C23" s="1" t="n">
        <v>46010</v>
      </c>
      <c r="D23" t="inlineStr">
        <is>
          <t>ÖSTERGÖTLANDS LÄN</t>
        </is>
      </c>
      <c r="E23" t="inlineStr">
        <is>
          <t>LINKÖPING</t>
        </is>
      </c>
      <c r="G23" t="n">
        <v>1.2</v>
      </c>
      <c r="H23" t="n">
        <v>1</v>
      </c>
      <c r="I23" t="n">
        <v>1</v>
      </c>
      <c r="J23" t="n">
        <v>0</v>
      </c>
      <c r="K23" t="n">
        <v>0</v>
      </c>
      <c r="L23" t="n">
        <v>0</v>
      </c>
      <c r="M23" t="n">
        <v>0</v>
      </c>
      <c r="N23" t="n">
        <v>0</v>
      </c>
      <c r="O23" t="n">
        <v>0</v>
      </c>
      <c r="P23" t="n">
        <v>0</v>
      </c>
      <c r="Q23" t="n">
        <v>2</v>
      </c>
      <c r="R23" s="2" t="inlineStr">
        <is>
          <t>Hasselticka
Gullviva</t>
        </is>
      </c>
      <c r="S23">
        <f>HYPERLINK("https://klasma.github.io/Logging_0580/artfynd/A 50404-2023 artfynd.xlsx", "A 50404-2023")</f>
        <v/>
      </c>
      <c r="T23">
        <f>HYPERLINK("https://klasma.github.io/Logging_0580/kartor/A 50404-2023 karta.png", "A 50404-2023")</f>
        <v/>
      </c>
      <c r="V23">
        <f>HYPERLINK("https://klasma.github.io/Logging_0580/klagomål/A 50404-2023 FSC-klagomål.docx", "A 50404-2023")</f>
        <v/>
      </c>
      <c r="W23">
        <f>HYPERLINK("https://klasma.github.io/Logging_0580/klagomålsmail/A 50404-2023 FSC-klagomål mail.docx", "A 50404-2023")</f>
        <v/>
      </c>
      <c r="X23">
        <f>HYPERLINK("https://klasma.github.io/Logging_0580/tillsyn/A 50404-2023 tillsynsbegäran.docx", "A 50404-2023")</f>
        <v/>
      </c>
      <c r="Y23">
        <f>HYPERLINK("https://klasma.github.io/Logging_0580/tillsynsmail/A 50404-2023 tillsynsbegäran mail.docx", "A 50404-2023")</f>
        <v/>
      </c>
    </row>
    <row r="24" ht="15" customHeight="1">
      <c r="A24" t="inlineStr">
        <is>
          <t>A 27795-2025</t>
        </is>
      </c>
      <c r="B24" s="1" t="n">
        <v>45816.7908912037</v>
      </c>
      <c r="C24" s="1" t="n">
        <v>46010</v>
      </c>
      <c r="D24" t="inlineStr">
        <is>
          <t>ÖSTERGÖTLANDS LÄN</t>
        </is>
      </c>
      <c r="E24" t="inlineStr">
        <is>
          <t>LINKÖPING</t>
        </is>
      </c>
      <c r="G24" t="n">
        <v>5</v>
      </c>
      <c r="H24" t="n">
        <v>0</v>
      </c>
      <c r="I24" t="n">
        <v>0</v>
      </c>
      <c r="J24" t="n">
        <v>2</v>
      </c>
      <c r="K24" t="n">
        <v>0</v>
      </c>
      <c r="L24" t="n">
        <v>0</v>
      </c>
      <c r="M24" t="n">
        <v>0</v>
      </c>
      <c r="N24" t="n">
        <v>0</v>
      </c>
      <c r="O24" t="n">
        <v>2</v>
      </c>
      <c r="P24" t="n">
        <v>0</v>
      </c>
      <c r="Q24" t="n">
        <v>2</v>
      </c>
      <c r="R24" s="2" t="inlineStr">
        <is>
          <t>Svinrot
Ängsskära</t>
        </is>
      </c>
      <c r="S24">
        <f>HYPERLINK("https://klasma.github.io/Logging_0580/artfynd/A 27795-2025 artfynd.xlsx", "A 27795-2025")</f>
        <v/>
      </c>
      <c r="T24">
        <f>HYPERLINK("https://klasma.github.io/Logging_0580/kartor/A 27795-2025 karta.png", "A 27795-2025")</f>
        <v/>
      </c>
      <c r="V24">
        <f>HYPERLINK("https://klasma.github.io/Logging_0580/klagomål/A 27795-2025 FSC-klagomål.docx", "A 27795-2025")</f>
        <v/>
      </c>
      <c r="W24">
        <f>HYPERLINK("https://klasma.github.io/Logging_0580/klagomålsmail/A 27795-2025 FSC-klagomål mail.docx", "A 27795-2025")</f>
        <v/>
      </c>
      <c r="X24">
        <f>HYPERLINK("https://klasma.github.io/Logging_0580/tillsyn/A 27795-2025 tillsynsbegäran.docx", "A 27795-2025")</f>
        <v/>
      </c>
      <c r="Y24">
        <f>HYPERLINK("https://klasma.github.io/Logging_0580/tillsynsmail/A 27795-2025 tillsynsbegäran mail.docx", "A 27795-2025")</f>
        <v/>
      </c>
    </row>
    <row r="25" ht="15" customHeight="1">
      <c r="A25" t="inlineStr">
        <is>
          <t>A 14879-2024</t>
        </is>
      </c>
      <c r="B25" s="1" t="n">
        <v>45398</v>
      </c>
      <c r="C25" s="1" t="n">
        <v>46010</v>
      </c>
      <c r="D25" t="inlineStr">
        <is>
          <t>ÖSTERGÖTLANDS LÄN</t>
        </is>
      </c>
      <c r="E25" t="inlineStr">
        <is>
          <t>LINKÖPING</t>
        </is>
      </c>
      <c r="F25" t="inlineStr">
        <is>
          <t>Övriga Aktiebolag</t>
        </is>
      </c>
      <c r="G25" t="n">
        <v>1.7</v>
      </c>
      <c r="H25" t="n">
        <v>1</v>
      </c>
      <c r="I25" t="n">
        <v>1</v>
      </c>
      <c r="J25" t="n">
        <v>0</v>
      </c>
      <c r="K25" t="n">
        <v>0</v>
      </c>
      <c r="L25" t="n">
        <v>0</v>
      </c>
      <c r="M25" t="n">
        <v>0</v>
      </c>
      <c r="N25" t="n">
        <v>0</v>
      </c>
      <c r="O25" t="n">
        <v>0</v>
      </c>
      <c r="P25" t="n">
        <v>0</v>
      </c>
      <c r="Q25" t="n">
        <v>2</v>
      </c>
      <c r="R25" s="2" t="inlineStr">
        <is>
          <t>Svart trolldruva
Grönvit nattviol</t>
        </is>
      </c>
      <c r="S25">
        <f>HYPERLINK("https://klasma.github.io/Logging_0580/artfynd/A 14879-2024 artfynd.xlsx", "A 14879-2024")</f>
        <v/>
      </c>
      <c r="T25">
        <f>HYPERLINK("https://klasma.github.io/Logging_0580/kartor/A 14879-2024 karta.png", "A 14879-2024")</f>
        <v/>
      </c>
      <c r="V25">
        <f>HYPERLINK("https://klasma.github.io/Logging_0580/klagomål/A 14879-2024 FSC-klagomål.docx", "A 14879-2024")</f>
        <v/>
      </c>
      <c r="W25">
        <f>HYPERLINK("https://klasma.github.io/Logging_0580/klagomålsmail/A 14879-2024 FSC-klagomål mail.docx", "A 14879-2024")</f>
        <v/>
      </c>
      <c r="X25">
        <f>HYPERLINK("https://klasma.github.io/Logging_0580/tillsyn/A 14879-2024 tillsynsbegäran.docx", "A 14879-2024")</f>
        <v/>
      </c>
      <c r="Y25">
        <f>HYPERLINK("https://klasma.github.io/Logging_0580/tillsynsmail/A 14879-2024 tillsynsbegäran mail.docx", "A 14879-2024")</f>
        <v/>
      </c>
    </row>
    <row r="26" ht="15" customHeight="1">
      <c r="A26" t="inlineStr">
        <is>
          <t>A 8818-2025</t>
        </is>
      </c>
      <c r="B26" s="1" t="n">
        <v>45712</v>
      </c>
      <c r="C26" s="1" t="n">
        <v>46010</v>
      </c>
      <c r="D26" t="inlineStr">
        <is>
          <t>ÖSTERGÖTLANDS LÄN</t>
        </is>
      </c>
      <c r="E26" t="inlineStr">
        <is>
          <t>LINKÖPING</t>
        </is>
      </c>
      <c r="F26" t="inlineStr">
        <is>
          <t>Kommuner</t>
        </is>
      </c>
      <c r="G26" t="n">
        <v>0.6</v>
      </c>
      <c r="H26" t="n">
        <v>0</v>
      </c>
      <c r="I26" t="n">
        <v>0</v>
      </c>
      <c r="J26" t="n">
        <v>1</v>
      </c>
      <c r="K26" t="n">
        <v>1</v>
      </c>
      <c r="L26" t="n">
        <v>0</v>
      </c>
      <c r="M26" t="n">
        <v>0</v>
      </c>
      <c r="N26" t="n">
        <v>0</v>
      </c>
      <c r="O26" t="n">
        <v>2</v>
      </c>
      <c r="P26" t="n">
        <v>1</v>
      </c>
      <c r="Q26" t="n">
        <v>2</v>
      </c>
      <c r="R26" s="2" t="inlineStr">
        <is>
          <t>Luddvicker
Klubbsprötad bastardsvärmare</t>
        </is>
      </c>
      <c r="S26">
        <f>HYPERLINK("https://klasma.github.io/Logging_0580/artfynd/A 8818-2025 artfynd.xlsx", "A 8818-2025")</f>
        <v/>
      </c>
      <c r="T26">
        <f>HYPERLINK("https://klasma.github.io/Logging_0580/kartor/A 8818-2025 karta.png", "A 8818-2025")</f>
        <v/>
      </c>
      <c r="V26">
        <f>HYPERLINK("https://klasma.github.io/Logging_0580/klagomål/A 8818-2025 FSC-klagomål.docx", "A 8818-2025")</f>
        <v/>
      </c>
      <c r="W26">
        <f>HYPERLINK("https://klasma.github.io/Logging_0580/klagomålsmail/A 8818-2025 FSC-klagomål mail.docx", "A 8818-2025")</f>
        <v/>
      </c>
      <c r="X26">
        <f>HYPERLINK("https://klasma.github.io/Logging_0580/tillsyn/A 8818-2025 tillsynsbegäran.docx", "A 8818-2025")</f>
        <v/>
      </c>
      <c r="Y26">
        <f>HYPERLINK("https://klasma.github.io/Logging_0580/tillsynsmail/A 8818-2025 tillsynsbegäran mail.docx", "A 8818-2025")</f>
        <v/>
      </c>
    </row>
    <row r="27" ht="15" customHeight="1">
      <c r="A27" t="inlineStr">
        <is>
          <t>A 25985-2025</t>
        </is>
      </c>
      <c r="B27" s="1" t="n">
        <v>45804.64479166667</v>
      </c>
      <c r="C27" s="1" t="n">
        <v>46010</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58068-2021</t>
        </is>
      </c>
      <c r="B28" s="1" t="n">
        <v>44487</v>
      </c>
      <c r="C28" s="1" t="n">
        <v>46010</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58068-2021</t>
        </is>
      </c>
      <c r="B29" s="1" t="n">
        <v>44487</v>
      </c>
      <c r="C29" s="1" t="n">
        <v>46010</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22040-2023</t>
        </is>
      </c>
      <c r="B30" s="1" t="n">
        <v>45068</v>
      </c>
      <c r="C30" s="1" t="n">
        <v>46010</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49188-2024</t>
        </is>
      </c>
      <c r="B31" s="1" t="n">
        <v>45595</v>
      </c>
      <c r="C31" s="1" t="n">
        <v>46010</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11613-2025</t>
        </is>
      </c>
      <c r="B32" s="1" t="n">
        <v>45727.44623842592</v>
      </c>
      <c r="C32" s="1" t="n">
        <v>46010</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50048-2025</t>
        </is>
      </c>
      <c r="B33" s="1" t="n">
        <v>45941</v>
      </c>
      <c r="C33" s="1" t="n">
        <v>46010</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20292-2025</t>
        </is>
      </c>
      <c r="B34" s="1" t="n">
        <v>45774.7449537037</v>
      </c>
      <c r="C34" s="1" t="n">
        <v>46010</v>
      </c>
      <c r="D34" t="inlineStr">
        <is>
          <t>ÖSTERGÖTLANDS LÄN</t>
        </is>
      </c>
      <c r="E34" t="inlineStr">
        <is>
          <t>LINKÖPING</t>
        </is>
      </c>
      <c r="G34" t="n">
        <v>8.4</v>
      </c>
      <c r="H34" t="n">
        <v>1</v>
      </c>
      <c r="I34" t="n">
        <v>1</v>
      </c>
      <c r="J34" t="n">
        <v>0</v>
      </c>
      <c r="K34" t="n">
        <v>0</v>
      </c>
      <c r="L34" t="n">
        <v>0</v>
      </c>
      <c r="M34" t="n">
        <v>0</v>
      </c>
      <c r="N34" t="n">
        <v>0</v>
      </c>
      <c r="O34" t="n">
        <v>0</v>
      </c>
      <c r="P34" t="n">
        <v>0</v>
      </c>
      <c r="Q34" t="n">
        <v>2</v>
      </c>
      <c r="R34" s="2" t="inlineStr">
        <is>
          <t>Blåmossa
Blåsippa</t>
        </is>
      </c>
      <c r="S34">
        <f>HYPERLINK("https://klasma.github.io/Logging_0580/artfynd/A 20292-2025 artfynd.xlsx", "A 20292-2025")</f>
        <v/>
      </c>
      <c r="T34">
        <f>HYPERLINK("https://klasma.github.io/Logging_0580/kartor/A 20292-2025 karta.png", "A 20292-2025")</f>
        <v/>
      </c>
      <c r="V34">
        <f>HYPERLINK("https://klasma.github.io/Logging_0580/klagomål/A 20292-2025 FSC-klagomål.docx", "A 20292-2025")</f>
        <v/>
      </c>
      <c r="W34">
        <f>HYPERLINK("https://klasma.github.io/Logging_0580/klagomålsmail/A 20292-2025 FSC-klagomål mail.docx", "A 20292-2025")</f>
        <v/>
      </c>
      <c r="X34">
        <f>HYPERLINK("https://klasma.github.io/Logging_0580/tillsyn/A 20292-2025 tillsynsbegäran.docx", "A 20292-2025")</f>
        <v/>
      </c>
      <c r="Y34">
        <f>HYPERLINK("https://klasma.github.io/Logging_0580/tillsynsmail/A 20292-2025 tillsynsbegäran mail.docx", "A 20292-2025")</f>
        <v/>
      </c>
    </row>
    <row r="35" ht="15" customHeight="1">
      <c r="A35" t="inlineStr">
        <is>
          <t>A 20297-2025</t>
        </is>
      </c>
      <c r="B35" s="1" t="n">
        <v>45774.74971064815</v>
      </c>
      <c r="C35" s="1" t="n">
        <v>46010</v>
      </c>
      <c r="D35" t="inlineStr">
        <is>
          <t>ÖSTERGÖTLANDS LÄN</t>
        </is>
      </c>
      <c r="E35" t="inlineStr">
        <is>
          <t>LINKÖPING</t>
        </is>
      </c>
      <c r="G35" t="n">
        <v>1.5</v>
      </c>
      <c r="H35" t="n">
        <v>1</v>
      </c>
      <c r="I35" t="n">
        <v>1</v>
      </c>
      <c r="J35" t="n">
        <v>0</v>
      </c>
      <c r="K35" t="n">
        <v>0</v>
      </c>
      <c r="L35" t="n">
        <v>0</v>
      </c>
      <c r="M35" t="n">
        <v>0</v>
      </c>
      <c r="N35" t="n">
        <v>0</v>
      </c>
      <c r="O35" t="n">
        <v>0</v>
      </c>
      <c r="P35" t="n">
        <v>0</v>
      </c>
      <c r="Q35" t="n">
        <v>2</v>
      </c>
      <c r="R35" s="2" t="inlineStr">
        <is>
          <t>Blanksvart trämyra
Blåsippa</t>
        </is>
      </c>
      <c r="S35">
        <f>HYPERLINK("https://klasma.github.io/Logging_0580/artfynd/A 20297-2025 artfynd.xlsx", "A 20297-2025")</f>
        <v/>
      </c>
      <c r="T35">
        <f>HYPERLINK("https://klasma.github.io/Logging_0580/kartor/A 20297-2025 karta.png", "A 20297-2025")</f>
        <v/>
      </c>
      <c r="V35">
        <f>HYPERLINK("https://klasma.github.io/Logging_0580/klagomål/A 20297-2025 FSC-klagomål.docx", "A 20297-2025")</f>
        <v/>
      </c>
      <c r="W35">
        <f>HYPERLINK("https://klasma.github.io/Logging_0580/klagomålsmail/A 20297-2025 FSC-klagomål mail.docx", "A 20297-2025")</f>
        <v/>
      </c>
      <c r="X35">
        <f>HYPERLINK("https://klasma.github.io/Logging_0580/tillsyn/A 20297-2025 tillsynsbegäran.docx", "A 20297-2025")</f>
        <v/>
      </c>
      <c r="Y35">
        <f>HYPERLINK("https://klasma.github.io/Logging_0580/tillsynsmail/A 20297-2025 tillsynsbegäran mail.docx", "A 20297-2025")</f>
        <v/>
      </c>
    </row>
    <row r="36" ht="15" customHeight="1">
      <c r="A36" t="inlineStr">
        <is>
          <t>A 38913-2023</t>
        </is>
      </c>
      <c r="B36" s="1" t="n">
        <v>45163</v>
      </c>
      <c r="C36" s="1" t="n">
        <v>46010</v>
      </c>
      <c r="D36" t="inlineStr">
        <is>
          <t>ÖSTERGÖTLANDS LÄN</t>
        </is>
      </c>
      <c r="E36" t="inlineStr">
        <is>
          <t>LINKÖPING</t>
        </is>
      </c>
      <c r="G36" t="n">
        <v>2.7</v>
      </c>
      <c r="H36" t="n">
        <v>1</v>
      </c>
      <c r="I36" t="n">
        <v>1</v>
      </c>
      <c r="J36" t="n">
        <v>0</v>
      </c>
      <c r="K36" t="n">
        <v>0</v>
      </c>
      <c r="L36" t="n">
        <v>0</v>
      </c>
      <c r="M36" t="n">
        <v>0</v>
      </c>
      <c r="N36" t="n">
        <v>0</v>
      </c>
      <c r="O36" t="n">
        <v>0</v>
      </c>
      <c r="P36" t="n">
        <v>0</v>
      </c>
      <c r="Q36" t="n">
        <v>2</v>
      </c>
      <c r="R36" s="2" t="inlineStr">
        <is>
          <t>Skogsbräsma
Revlummer</t>
        </is>
      </c>
      <c r="S36">
        <f>HYPERLINK("https://klasma.github.io/Logging_0580/artfynd/A 38913-2023 artfynd.xlsx", "A 38913-2023")</f>
        <v/>
      </c>
      <c r="T36">
        <f>HYPERLINK("https://klasma.github.io/Logging_0580/kartor/A 38913-2023 karta.png", "A 38913-2023")</f>
        <v/>
      </c>
      <c r="V36">
        <f>HYPERLINK("https://klasma.github.io/Logging_0580/klagomål/A 38913-2023 FSC-klagomål.docx", "A 38913-2023")</f>
        <v/>
      </c>
      <c r="W36">
        <f>HYPERLINK("https://klasma.github.io/Logging_0580/klagomålsmail/A 38913-2023 FSC-klagomål mail.docx", "A 38913-2023")</f>
        <v/>
      </c>
      <c r="X36">
        <f>HYPERLINK("https://klasma.github.io/Logging_0580/tillsyn/A 38913-2023 tillsynsbegäran.docx", "A 38913-2023")</f>
        <v/>
      </c>
      <c r="Y36">
        <f>HYPERLINK("https://klasma.github.io/Logging_0580/tillsynsmail/A 38913-2023 tillsynsbegäran mail.docx", "A 38913-2023")</f>
        <v/>
      </c>
    </row>
    <row r="37" ht="15" customHeight="1">
      <c r="A37" t="inlineStr">
        <is>
          <t>A 41751-2023</t>
        </is>
      </c>
      <c r="B37" s="1" t="n">
        <v>45176</v>
      </c>
      <c r="C37" s="1" t="n">
        <v>46010</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42858-2023</t>
        </is>
      </c>
      <c r="B38" s="1" t="n">
        <v>45177</v>
      </c>
      <c r="C38" s="1" t="n">
        <v>46010</v>
      </c>
      <c r="D38" t="inlineStr">
        <is>
          <t>ÖSTERGÖTLANDS LÄN</t>
        </is>
      </c>
      <c r="E38" t="inlineStr">
        <is>
          <t>LINKÖPING</t>
        </is>
      </c>
      <c r="G38" t="n">
        <v>5.3</v>
      </c>
      <c r="H38" t="n">
        <v>1</v>
      </c>
      <c r="I38" t="n">
        <v>0</v>
      </c>
      <c r="J38" t="n">
        <v>1</v>
      </c>
      <c r="K38" t="n">
        <v>0</v>
      </c>
      <c r="L38" t="n">
        <v>0</v>
      </c>
      <c r="M38" t="n">
        <v>0</v>
      </c>
      <c r="N38" t="n">
        <v>0</v>
      </c>
      <c r="O38" t="n">
        <v>1</v>
      </c>
      <c r="P38" t="n">
        <v>0</v>
      </c>
      <c r="Q38" t="n">
        <v>2</v>
      </c>
      <c r="R38" s="2" t="inlineStr">
        <is>
          <t>Svinrot
Skogsödla</t>
        </is>
      </c>
      <c r="S38">
        <f>HYPERLINK("https://klasma.github.io/Logging_0580/artfynd/A 42858-2023 artfynd.xlsx", "A 42858-2023")</f>
        <v/>
      </c>
      <c r="T38">
        <f>HYPERLINK("https://klasma.github.io/Logging_0580/kartor/A 42858-2023 karta.png", "A 42858-2023")</f>
        <v/>
      </c>
      <c r="V38">
        <f>HYPERLINK("https://klasma.github.io/Logging_0580/klagomål/A 42858-2023 FSC-klagomål.docx", "A 42858-2023")</f>
        <v/>
      </c>
      <c r="W38">
        <f>HYPERLINK("https://klasma.github.io/Logging_0580/klagomålsmail/A 42858-2023 FSC-klagomål mail.docx", "A 42858-2023")</f>
        <v/>
      </c>
      <c r="X38">
        <f>HYPERLINK("https://klasma.github.io/Logging_0580/tillsyn/A 42858-2023 tillsynsbegäran.docx", "A 42858-2023")</f>
        <v/>
      </c>
      <c r="Y38">
        <f>HYPERLINK("https://klasma.github.io/Logging_0580/tillsynsmail/A 42858-2023 tillsynsbegäran mail.docx", "A 42858-2023")</f>
        <v/>
      </c>
    </row>
    <row r="39" ht="15" customHeight="1">
      <c r="A39" t="inlineStr">
        <is>
          <t>A 55344-2024</t>
        </is>
      </c>
      <c r="B39" s="1" t="n">
        <v>45621.7202662037</v>
      </c>
      <c r="C39" s="1" t="n">
        <v>46010</v>
      </c>
      <c r="D39" t="inlineStr">
        <is>
          <t>ÖSTERGÖTLANDS LÄN</t>
        </is>
      </c>
      <c r="E39" t="inlineStr">
        <is>
          <t>LINKÖPING</t>
        </is>
      </c>
      <c r="G39" t="n">
        <v>6.6</v>
      </c>
      <c r="H39" t="n">
        <v>0</v>
      </c>
      <c r="I39" t="n">
        <v>0</v>
      </c>
      <c r="J39" t="n">
        <v>2</v>
      </c>
      <c r="K39" t="n">
        <v>0</v>
      </c>
      <c r="L39" t="n">
        <v>0</v>
      </c>
      <c r="M39" t="n">
        <v>0</v>
      </c>
      <c r="N39" t="n">
        <v>0</v>
      </c>
      <c r="O39" t="n">
        <v>2</v>
      </c>
      <c r="P39" t="n">
        <v>0</v>
      </c>
      <c r="Q39" t="n">
        <v>2</v>
      </c>
      <c r="R39" s="2" t="inlineStr">
        <is>
          <t>Kandelabersvamp
Stjärnnästing</t>
        </is>
      </c>
      <c r="S39">
        <f>HYPERLINK("https://klasma.github.io/Logging_0580/artfynd/A 55344-2024 artfynd.xlsx", "A 55344-2024")</f>
        <v/>
      </c>
      <c r="T39">
        <f>HYPERLINK("https://klasma.github.io/Logging_0580/kartor/A 55344-2024 karta.png", "A 55344-2024")</f>
        <v/>
      </c>
      <c r="V39">
        <f>HYPERLINK("https://klasma.github.io/Logging_0580/klagomål/A 55344-2024 FSC-klagomål.docx", "A 55344-2024")</f>
        <v/>
      </c>
      <c r="W39">
        <f>HYPERLINK("https://klasma.github.io/Logging_0580/klagomålsmail/A 55344-2024 FSC-klagomål mail.docx", "A 55344-2024")</f>
        <v/>
      </c>
      <c r="X39">
        <f>HYPERLINK("https://klasma.github.io/Logging_0580/tillsyn/A 55344-2024 tillsynsbegäran.docx", "A 55344-2024")</f>
        <v/>
      </c>
      <c r="Y39">
        <f>HYPERLINK("https://klasma.github.io/Logging_0580/tillsynsmail/A 55344-2024 tillsynsbegäran mail.docx", "A 55344-2024")</f>
        <v/>
      </c>
    </row>
    <row r="40" ht="15" customHeight="1">
      <c r="A40" t="inlineStr">
        <is>
          <t>A 21326-2025</t>
        </is>
      </c>
      <c r="B40" s="1" t="n">
        <v>45782.35407407407</v>
      </c>
      <c r="C40" s="1" t="n">
        <v>46010</v>
      </c>
      <c r="D40" t="inlineStr">
        <is>
          <t>ÖSTERGÖTLANDS LÄN</t>
        </is>
      </c>
      <c r="E40" t="inlineStr">
        <is>
          <t>LINKÖPING</t>
        </is>
      </c>
      <c r="G40" t="n">
        <v>4.9</v>
      </c>
      <c r="H40" t="n">
        <v>2</v>
      </c>
      <c r="I40" t="n">
        <v>0</v>
      </c>
      <c r="J40" t="n">
        <v>0</v>
      </c>
      <c r="K40" t="n">
        <v>0</v>
      </c>
      <c r="L40" t="n">
        <v>0</v>
      </c>
      <c r="M40" t="n">
        <v>0</v>
      </c>
      <c r="N40" t="n">
        <v>0</v>
      </c>
      <c r="O40" t="n">
        <v>0</v>
      </c>
      <c r="P40" t="n">
        <v>0</v>
      </c>
      <c r="Q40" t="n">
        <v>2</v>
      </c>
      <c r="R40" s="2" t="inlineStr">
        <is>
          <t>Blåsippa
Revlummer</t>
        </is>
      </c>
      <c r="S40">
        <f>HYPERLINK("https://klasma.github.io/Logging_0580/artfynd/A 21326-2025 artfynd.xlsx", "A 21326-2025")</f>
        <v/>
      </c>
      <c r="T40">
        <f>HYPERLINK("https://klasma.github.io/Logging_0580/kartor/A 21326-2025 karta.png", "A 21326-2025")</f>
        <v/>
      </c>
      <c r="V40">
        <f>HYPERLINK("https://klasma.github.io/Logging_0580/klagomål/A 21326-2025 FSC-klagomål.docx", "A 21326-2025")</f>
        <v/>
      </c>
      <c r="W40">
        <f>HYPERLINK("https://klasma.github.io/Logging_0580/klagomålsmail/A 21326-2025 FSC-klagomål mail.docx", "A 21326-2025")</f>
        <v/>
      </c>
      <c r="X40">
        <f>HYPERLINK("https://klasma.github.io/Logging_0580/tillsyn/A 21326-2025 tillsynsbegäran.docx", "A 21326-2025")</f>
        <v/>
      </c>
      <c r="Y40">
        <f>HYPERLINK("https://klasma.github.io/Logging_0580/tillsynsmail/A 21326-2025 tillsynsbegäran mail.docx", "A 21326-2025")</f>
        <v/>
      </c>
    </row>
    <row r="41" ht="15" customHeight="1">
      <c r="A41" t="inlineStr">
        <is>
          <t>A 38129-2021</t>
        </is>
      </c>
      <c r="B41" s="1" t="n">
        <v>44405.37199074074</v>
      </c>
      <c r="C41" s="1" t="n">
        <v>46010</v>
      </c>
      <c r="D41" t="inlineStr">
        <is>
          <t>ÖSTERGÖTLANDS LÄN</t>
        </is>
      </c>
      <c r="E41" t="inlineStr">
        <is>
          <t>LINKÖPING</t>
        </is>
      </c>
      <c r="G41" t="n">
        <v>1.8</v>
      </c>
      <c r="H41" t="n">
        <v>1</v>
      </c>
      <c r="I41" t="n">
        <v>0</v>
      </c>
      <c r="J41" t="n">
        <v>1</v>
      </c>
      <c r="K41" t="n">
        <v>0</v>
      </c>
      <c r="L41" t="n">
        <v>0</v>
      </c>
      <c r="M41" t="n">
        <v>0</v>
      </c>
      <c r="N41" t="n">
        <v>0</v>
      </c>
      <c r="O41" t="n">
        <v>1</v>
      </c>
      <c r="P41" t="n">
        <v>0</v>
      </c>
      <c r="Q41" t="n">
        <v>1</v>
      </c>
      <c r="R41" s="2" t="inlineStr">
        <is>
          <t>Spillkråka</t>
        </is>
      </c>
      <c r="S41">
        <f>HYPERLINK("https://klasma.github.io/Logging_0580/artfynd/A 38129-2021 artfynd.xlsx", "A 38129-2021")</f>
        <v/>
      </c>
      <c r="T41">
        <f>HYPERLINK("https://klasma.github.io/Logging_0580/kartor/A 38129-2021 karta.png", "A 38129-2021")</f>
        <v/>
      </c>
      <c r="V41">
        <f>HYPERLINK("https://klasma.github.io/Logging_0580/klagomål/A 38129-2021 FSC-klagomål.docx", "A 38129-2021")</f>
        <v/>
      </c>
      <c r="W41">
        <f>HYPERLINK("https://klasma.github.io/Logging_0580/klagomålsmail/A 38129-2021 FSC-klagomål mail.docx", "A 38129-2021")</f>
        <v/>
      </c>
      <c r="X41">
        <f>HYPERLINK("https://klasma.github.io/Logging_0580/tillsyn/A 38129-2021 tillsynsbegäran.docx", "A 38129-2021")</f>
        <v/>
      </c>
      <c r="Y41">
        <f>HYPERLINK("https://klasma.github.io/Logging_0580/tillsynsmail/A 38129-2021 tillsynsbegäran mail.docx", "A 38129-2021")</f>
        <v/>
      </c>
      <c r="Z41">
        <f>HYPERLINK("https://klasma.github.io/Logging_0580/fåglar/A 38129-2021 prioriterade fågelarter.docx", "A 38129-2021")</f>
        <v/>
      </c>
    </row>
    <row r="42" ht="15" customHeight="1">
      <c r="A42" t="inlineStr">
        <is>
          <t>A 14096-2021</t>
        </is>
      </c>
      <c r="B42" s="1" t="n">
        <v>44278</v>
      </c>
      <c r="C42" s="1" t="n">
        <v>46010</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46010</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43017-2021</t>
        </is>
      </c>
      <c r="B44" s="1" t="n">
        <v>44431</v>
      </c>
      <c r="C44" s="1" t="n">
        <v>46010</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46496-2022</t>
        </is>
      </c>
      <c r="B45" s="1" t="n">
        <v>44848</v>
      </c>
      <c r="C45" s="1" t="n">
        <v>46010</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56250-2021</t>
        </is>
      </c>
      <c r="B46" s="1" t="n">
        <v>44479</v>
      </c>
      <c r="C46" s="1" t="n">
        <v>46010</v>
      </c>
      <c r="D46" t="inlineStr">
        <is>
          <t>ÖSTERGÖTLANDS LÄN</t>
        </is>
      </c>
      <c r="E46" t="inlineStr">
        <is>
          <t>LINKÖPING</t>
        </is>
      </c>
      <c r="F46" t="inlineStr">
        <is>
          <t>Övriga Aktiebolag</t>
        </is>
      </c>
      <c r="G46" t="n">
        <v>3.2</v>
      </c>
      <c r="H46" t="n">
        <v>0</v>
      </c>
      <c r="I46" t="n">
        <v>1</v>
      </c>
      <c r="J46" t="n">
        <v>0</v>
      </c>
      <c r="K46" t="n">
        <v>0</v>
      </c>
      <c r="L46" t="n">
        <v>0</v>
      </c>
      <c r="M46" t="n">
        <v>0</v>
      </c>
      <c r="N46" t="n">
        <v>0</v>
      </c>
      <c r="O46" t="n">
        <v>0</v>
      </c>
      <c r="P46" t="n">
        <v>0</v>
      </c>
      <c r="Q46" t="n">
        <v>1</v>
      </c>
      <c r="R46" s="2" t="inlineStr">
        <is>
          <t>Strutbräken</t>
        </is>
      </c>
      <c r="S46">
        <f>HYPERLINK("https://klasma.github.io/Logging_0580/artfynd/A 56250-2021 artfynd.xlsx", "A 56250-2021")</f>
        <v/>
      </c>
      <c r="T46">
        <f>HYPERLINK("https://klasma.github.io/Logging_0580/kartor/A 56250-2021 karta.png", "A 56250-2021")</f>
        <v/>
      </c>
      <c r="V46">
        <f>HYPERLINK("https://klasma.github.io/Logging_0580/klagomål/A 56250-2021 FSC-klagomål.docx", "A 56250-2021")</f>
        <v/>
      </c>
      <c r="W46">
        <f>HYPERLINK("https://klasma.github.io/Logging_0580/klagomålsmail/A 56250-2021 FSC-klagomål mail.docx", "A 56250-2021")</f>
        <v/>
      </c>
      <c r="X46">
        <f>HYPERLINK("https://klasma.github.io/Logging_0580/tillsyn/A 56250-2021 tillsynsbegäran.docx", "A 56250-2021")</f>
        <v/>
      </c>
      <c r="Y46">
        <f>HYPERLINK("https://klasma.github.io/Logging_0580/tillsynsmail/A 56250-2021 tillsynsbegäran mail.docx", "A 56250-2021")</f>
        <v/>
      </c>
    </row>
    <row r="47" ht="15" customHeight="1">
      <c r="A47" t="inlineStr">
        <is>
          <t>A 71127-2021</t>
        </is>
      </c>
      <c r="B47" s="1" t="n">
        <v>44537</v>
      </c>
      <c r="C47" s="1" t="n">
        <v>46010</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931-2025</t>
        </is>
      </c>
      <c r="B48" s="1" t="n">
        <v>45665.88498842593</v>
      </c>
      <c r="C48" s="1" t="n">
        <v>46010</v>
      </c>
      <c r="D48" t="inlineStr">
        <is>
          <t>ÖSTERGÖTLANDS LÄN</t>
        </is>
      </c>
      <c r="E48" t="inlineStr">
        <is>
          <t>LINKÖPING</t>
        </is>
      </c>
      <c r="F48" t="inlineStr">
        <is>
          <t>Övriga Aktiebolag</t>
        </is>
      </c>
      <c r="G48" t="n">
        <v>0.8</v>
      </c>
      <c r="H48" t="n">
        <v>0</v>
      </c>
      <c r="I48" t="n">
        <v>0</v>
      </c>
      <c r="J48" t="n">
        <v>1</v>
      </c>
      <c r="K48" t="n">
        <v>0</v>
      </c>
      <c r="L48" t="n">
        <v>0</v>
      </c>
      <c r="M48" t="n">
        <v>0</v>
      </c>
      <c r="N48" t="n">
        <v>0</v>
      </c>
      <c r="O48" t="n">
        <v>1</v>
      </c>
      <c r="P48" t="n">
        <v>0</v>
      </c>
      <c r="Q48" t="n">
        <v>1</v>
      </c>
      <c r="R48" s="2" t="inlineStr">
        <is>
          <t>Tallticka</t>
        </is>
      </c>
      <c r="S48">
        <f>HYPERLINK("https://klasma.github.io/Logging_0580/artfynd/A 931-2025 artfynd.xlsx", "A 931-2025")</f>
        <v/>
      </c>
      <c r="T48">
        <f>HYPERLINK("https://klasma.github.io/Logging_0580/kartor/A 931-2025 karta.png", "A 931-2025")</f>
        <v/>
      </c>
      <c r="V48">
        <f>HYPERLINK("https://klasma.github.io/Logging_0580/klagomål/A 931-2025 FSC-klagomål.docx", "A 931-2025")</f>
        <v/>
      </c>
      <c r="W48">
        <f>HYPERLINK("https://klasma.github.io/Logging_0580/klagomålsmail/A 931-2025 FSC-klagomål mail.docx", "A 931-2025")</f>
        <v/>
      </c>
      <c r="X48">
        <f>HYPERLINK("https://klasma.github.io/Logging_0580/tillsyn/A 931-2025 tillsynsbegäran.docx", "A 931-2025")</f>
        <v/>
      </c>
      <c r="Y48">
        <f>HYPERLINK("https://klasma.github.io/Logging_0580/tillsynsmail/A 931-2025 tillsynsbegäran mail.docx", "A 931-2025")</f>
        <v/>
      </c>
    </row>
    <row r="49" ht="15" customHeight="1">
      <c r="A49" t="inlineStr">
        <is>
          <t>A 1716-2023</t>
        </is>
      </c>
      <c r="B49" s="1" t="n">
        <v>44938</v>
      </c>
      <c r="C49" s="1" t="n">
        <v>46010</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46010</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46010</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22526-2025</t>
        </is>
      </c>
      <c r="B52" s="1" t="n">
        <v>45786.78096064815</v>
      </c>
      <c r="C52" s="1" t="n">
        <v>46010</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59948-2022</t>
        </is>
      </c>
      <c r="B53" s="1" t="n">
        <v>44909</v>
      </c>
      <c r="C53" s="1" t="n">
        <v>46010</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27403-2025</t>
        </is>
      </c>
      <c r="B54" s="1" t="n">
        <v>45812.72518518518</v>
      </c>
      <c r="C54" s="1" t="n">
        <v>46010</v>
      </c>
      <c r="D54" t="inlineStr">
        <is>
          <t>ÖSTERGÖTLANDS LÄN</t>
        </is>
      </c>
      <c r="E54" t="inlineStr">
        <is>
          <t>LINKÖPING</t>
        </is>
      </c>
      <c r="G54" t="n">
        <v>1.4</v>
      </c>
      <c r="H54" t="n">
        <v>0</v>
      </c>
      <c r="I54" t="n">
        <v>0</v>
      </c>
      <c r="J54" t="n">
        <v>1</v>
      </c>
      <c r="K54" t="n">
        <v>0</v>
      </c>
      <c r="L54" t="n">
        <v>0</v>
      </c>
      <c r="M54" t="n">
        <v>0</v>
      </c>
      <c r="N54" t="n">
        <v>0</v>
      </c>
      <c r="O54" t="n">
        <v>1</v>
      </c>
      <c r="P54" t="n">
        <v>0</v>
      </c>
      <c r="Q54" t="n">
        <v>1</v>
      </c>
      <c r="R54" s="2" t="inlineStr">
        <is>
          <t>Tallticka</t>
        </is>
      </c>
      <c r="S54">
        <f>HYPERLINK("https://klasma.github.io/Logging_0580/artfynd/A 27403-2025 artfynd.xlsx", "A 27403-2025")</f>
        <v/>
      </c>
      <c r="T54">
        <f>HYPERLINK("https://klasma.github.io/Logging_0580/kartor/A 27403-2025 karta.png", "A 27403-2025")</f>
        <v/>
      </c>
      <c r="V54">
        <f>HYPERLINK("https://klasma.github.io/Logging_0580/klagomål/A 27403-2025 FSC-klagomål.docx", "A 27403-2025")</f>
        <v/>
      </c>
      <c r="W54">
        <f>HYPERLINK("https://klasma.github.io/Logging_0580/klagomålsmail/A 27403-2025 FSC-klagomål mail.docx", "A 27403-2025")</f>
        <v/>
      </c>
      <c r="X54">
        <f>HYPERLINK("https://klasma.github.io/Logging_0580/tillsyn/A 27403-2025 tillsynsbegäran.docx", "A 27403-2025")</f>
        <v/>
      </c>
      <c r="Y54">
        <f>HYPERLINK("https://klasma.github.io/Logging_0580/tillsynsmail/A 27403-2025 tillsynsbegäran mail.docx", "A 27403-2025")</f>
        <v/>
      </c>
    </row>
    <row r="55" ht="15" customHeight="1">
      <c r="A55" t="inlineStr">
        <is>
          <t>A 37683-2024</t>
        </is>
      </c>
      <c r="B55" s="1" t="n">
        <v>45541.59120370371</v>
      </c>
      <c r="C55" s="1" t="n">
        <v>46010</v>
      </c>
      <c r="D55" t="inlineStr">
        <is>
          <t>ÖSTERGÖTLANDS LÄN</t>
        </is>
      </c>
      <c r="E55" t="inlineStr">
        <is>
          <t>LINKÖPING</t>
        </is>
      </c>
      <c r="G55" t="n">
        <v>0.6</v>
      </c>
      <c r="H55" t="n">
        <v>0</v>
      </c>
      <c r="I55" t="n">
        <v>1</v>
      </c>
      <c r="J55" t="n">
        <v>0</v>
      </c>
      <c r="K55" t="n">
        <v>0</v>
      </c>
      <c r="L55" t="n">
        <v>0</v>
      </c>
      <c r="M55" t="n">
        <v>0</v>
      </c>
      <c r="N55" t="n">
        <v>0</v>
      </c>
      <c r="O55" t="n">
        <v>0</v>
      </c>
      <c r="P55" t="n">
        <v>0</v>
      </c>
      <c r="Q55" t="n">
        <v>1</v>
      </c>
      <c r="R55" s="2" t="inlineStr">
        <is>
          <t>Tibast</t>
        </is>
      </c>
      <c r="S55">
        <f>HYPERLINK("https://klasma.github.io/Logging_0580/artfynd/A 37683-2024 artfynd.xlsx", "A 37683-2024")</f>
        <v/>
      </c>
      <c r="T55">
        <f>HYPERLINK("https://klasma.github.io/Logging_0580/kartor/A 37683-2024 karta.png", "A 37683-2024")</f>
        <v/>
      </c>
      <c r="V55">
        <f>HYPERLINK("https://klasma.github.io/Logging_0580/klagomål/A 37683-2024 FSC-klagomål.docx", "A 37683-2024")</f>
        <v/>
      </c>
      <c r="W55">
        <f>HYPERLINK("https://klasma.github.io/Logging_0580/klagomålsmail/A 37683-2024 FSC-klagomål mail.docx", "A 37683-2024")</f>
        <v/>
      </c>
      <c r="X55">
        <f>HYPERLINK("https://klasma.github.io/Logging_0580/tillsyn/A 37683-2024 tillsynsbegäran.docx", "A 37683-2024")</f>
        <v/>
      </c>
      <c r="Y55">
        <f>HYPERLINK("https://klasma.github.io/Logging_0580/tillsynsmail/A 37683-2024 tillsynsbegäran mail.docx", "A 37683-2024")</f>
        <v/>
      </c>
    </row>
    <row r="56" ht="15" customHeight="1">
      <c r="A56" t="inlineStr">
        <is>
          <t>A 43989-2025</t>
        </is>
      </c>
      <c r="B56" s="1" t="n">
        <v>45915.44128472222</v>
      </c>
      <c r="C56" s="1" t="n">
        <v>46010</v>
      </c>
      <c r="D56" t="inlineStr">
        <is>
          <t>ÖSTERGÖTLANDS LÄN</t>
        </is>
      </c>
      <c r="E56" t="inlineStr">
        <is>
          <t>LINKÖPING</t>
        </is>
      </c>
      <c r="F56" t="inlineStr">
        <is>
          <t>Allmännings- och besparingsskogar</t>
        </is>
      </c>
      <c r="G56" t="n">
        <v>3.5</v>
      </c>
      <c r="H56" t="n">
        <v>0</v>
      </c>
      <c r="I56" t="n">
        <v>0</v>
      </c>
      <c r="J56" t="n">
        <v>1</v>
      </c>
      <c r="K56" t="n">
        <v>0</v>
      </c>
      <c r="L56" t="n">
        <v>0</v>
      </c>
      <c r="M56" t="n">
        <v>0</v>
      </c>
      <c r="N56" t="n">
        <v>0</v>
      </c>
      <c r="O56" t="n">
        <v>1</v>
      </c>
      <c r="P56" t="n">
        <v>0</v>
      </c>
      <c r="Q56" t="n">
        <v>1</v>
      </c>
      <c r="R56" s="2" t="inlineStr">
        <is>
          <t>Kavelhirs</t>
        </is>
      </c>
      <c r="S56">
        <f>HYPERLINK("https://klasma.github.io/Logging_0580/artfynd/A 43989-2025 artfynd.xlsx", "A 43989-2025")</f>
        <v/>
      </c>
      <c r="T56">
        <f>HYPERLINK("https://klasma.github.io/Logging_0580/kartor/A 43989-2025 karta.png", "A 43989-2025")</f>
        <v/>
      </c>
      <c r="V56">
        <f>HYPERLINK("https://klasma.github.io/Logging_0580/klagomål/A 43989-2025 FSC-klagomål.docx", "A 43989-2025")</f>
        <v/>
      </c>
      <c r="W56">
        <f>HYPERLINK("https://klasma.github.io/Logging_0580/klagomålsmail/A 43989-2025 FSC-klagomål mail.docx", "A 43989-2025")</f>
        <v/>
      </c>
      <c r="X56">
        <f>HYPERLINK("https://klasma.github.io/Logging_0580/tillsyn/A 43989-2025 tillsynsbegäran.docx", "A 43989-2025")</f>
        <v/>
      </c>
      <c r="Y56">
        <f>HYPERLINK("https://klasma.github.io/Logging_0580/tillsynsmail/A 43989-2025 tillsynsbegäran mail.docx", "A 43989-2025")</f>
        <v/>
      </c>
    </row>
    <row r="57" ht="15" customHeight="1">
      <c r="A57" t="inlineStr">
        <is>
          <t>A 56651-2023</t>
        </is>
      </c>
      <c r="B57" s="1" t="n">
        <v>45243</v>
      </c>
      <c r="C57" s="1" t="n">
        <v>46010</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44760-2025</t>
        </is>
      </c>
      <c r="B58" s="1" t="n">
        <v>45917.71873842592</v>
      </c>
      <c r="C58" s="1" t="n">
        <v>46010</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17444-2025</t>
        </is>
      </c>
      <c r="B59" s="1" t="n">
        <v>45757.43452546297</v>
      </c>
      <c r="C59" s="1" t="n">
        <v>46010</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36723-2023</t>
        </is>
      </c>
      <c r="B60" s="1" t="n">
        <v>45153</v>
      </c>
      <c r="C60" s="1" t="n">
        <v>46010</v>
      </c>
      <c r="D60" t="inlineStr">
        <is>
          <t>ÖSTERGÖTLANDS LÄN</t>
        </is>
      </c>
      <c r="E60" t="inlineStr">
        <is>
          <t>LINKÖPING</t>
        </is>
      </c>
      <c r="F60" t="inlineStr">
        <is>
          <t>Allmännings- och besparingsskogar</t>
        </is>
      </c>
      <c r="G60" t="n">
        <v>9.9</v>
      </c>
      <c r="H60" t="n">
        <v>0</v>
      </c>
      <c r="I60" t="n">
        <v>0</v>
      </c>
      <c r="J60" t="n">
        <v>0</v>
      </c>
      <c r="K60" t="n">
        <v>1</v>
      </c>
      <c r="L60" t="n">
        <v>0</v>
      </c>
      <c r="M60" t="n">
        <v>0</v>
      </c>
      <c r="N60" t="n">
        <v>0</v>
      </c>
      <c r="O60" t="n">
        <v>1</v>
      </c>
      <c r="P60" t="n">
        <v>1</v>
      </c>
      <c r="Q60" t="n">
        <v>1</v>
      </c>
      <c r="R60" s="2" t="inlineStr">
        <is>
          <t>Bitter taggsvamp</t>
        </is>
      </c>
      <c r="S60">
        <f>HYPERLINK("https://klasma.github.io/Logging_0580/artfynd/A 36723-2023 artfynd.xlsx", "A 36723-2023")</f>
        <v/>
      </c>
      <c r="T60">
        <f>HYPERLINK("https://klasma.github.io/Logging_0580/kartor/A 36723-2023 karta.png", "A 36723-2023")</f>
        <v/>
      </c>
      <c r="V60">
        <f>HYPERLINK("https://klasma.github.io/Logging_0580/klagomål/A 36723-2023 FSC-klagomål.docx", "A 36723-2023")</f>
        <v/>
      </c>
      <c r="W60">
        <f>HYPERLINK("https://klasma.github.io/Logging_0580/klagomålsmail/A 36723-2023 FSC-klagomål mail.docx", "A 36723-2023")</f>
        <v/>
      </c>
      <c r="X60">
        <f>HYPERLINK("https://klasma.github.io/Logging_0580/tillsyn/A 36723-2023 tillsynsbegäran.docx", "A 36723-2023")</f>
        <v/>
      </c>
      <c r="Y60">
        <f>HYPERLINK("https://klasma.github.io/Logging_0580/tillsynsmail/A 36723-2023 tillsynsbegäran mail.docx", "A 36723-2023")</f>
        <v/>
      </c>
    </row>
    <row r="61" ht="15" customHeight="1">
      <c r="A61" t="inlineStr">
        <is>
          <t>A 5911-2022</t>
        </is>
      </c>
      <c r="B61" s="1" t="n">
        <v>44597</v>
      </c>
      <c r="C61" s="1" t="n">
        <v>46010</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90-2024</t>
        </is>
      </c>
      <c r="B62" s="1" t="n">
        <v>45293</v>
      </c>
      <c r="C62" s="1" t="n">
        <v>46010</v>
      </c>
      <c r="D62" t="inlineStr">
        <is>
          <t>ÖSTERGÖTLANDS LÄN</t>
        </is>
      </c>
      <c r="E62" t="inlineStr">
        <is>
          <t>LINKÖPING</t>
        </is>
      </c>
      <c r="G62" t="n">
        <v>1.8</v>
      </c>
      <c r="H62" t="n">
        <v>0</v>
      </c>
      <c r="I62" t="n">
        <v>1</v>
      </c>
      <c r="J62" t="n">
        <v>0</v>
      </c>
      <c r="K62" t="n">
        <v>0</v>
      </c>
      <c r="L62" t="n">
        <v>0</v>
      </c>
      <c r="M62" t="n">
        <v>0</v>
      </c>
      <c r="N62" t="n">
        <v>0</v>
      </c>
      <c r="O62" t="n">
        <v>0</v>
      </c>
      <c r="P62" t="n">
        <v>0</v>
      </c>
      <c r="Q62" t="n">
        <v>1</v>
      </c>
      <c r="R62" s="2" t="inlineStr">
        <is>
          <t>Grov fjädermossa</t>
        </is>
      </c>
      <c r="S62">
        <f>HYPERLINK("https://klasma.github.io/Logging_0580/artfynd/A 90-2024 artfynd.xlsx", "A 90-2024")</f>
        <v/>
      </c>
      <c r="T62">
        <f>HYPERLINK("https://klasma.github.io/Logging_0580/kartor/A 90-2024 karta.png", "A 90-2024")</f>
        <v/>
      </c>
      <c r="V62">
        <f>HYPERLINK("https://klasma.github.io/Logging_0580/klagomål/A 90-2024 FSC-klagomål.docx", "A 90-2024")</f>
        <v/>
      </c>
      <c r="W62">
        <f>HYPERLINK("https://klasma.github.io/Logging_0580/klagomålsmail/A 90-2024 FSC-klagomål mail.docx", "A 90-2024")</f>
        <v/>
      </c>
      <c r="X62">
        <f>HYPERLINK("https://klasma.github.io/Logging_0580/tillsyn/A 90-2024 tillsynsbegäran.docx", "A 90-2024")</f>
        <v/>
      </c>
      <c r="Y62">
        <f>HYPERLINK("https://klasma.github.io/Logging_0580/tillsynsmail/A 90-2024 tillsynsbegäran mail.docx", "A 90-2024")</f>
        <v/>
      </c>
    </row>
    <row r="63" ht="15" customHeight="1">
      <c r="A63" t="inlineStr">
        <is>
          <t>A 40315-2024</t>
        </is>
      </c>
      <c r="B63" s="1" t="n">
        <v>45554.7571875</v>
      </c>
      <c r="C63" s="1" t="n">
        <v>46010</v>
      </c>
      <c r="D63" t="inlineStr">
        <is>
          <t>ÖSTERGÖTLANDS LÄN</t>
        </is>
      </c>
      <c r="E63" t="inlineStr">
        <is>
          <t>LINKÖPING</t>
        </is>
      </c>
      <c r="F63" t="inlineStr">
        <is>
          <t>Allmännings- och besparingsskogar</t>
        </is>
      </c>
      <c r="G63" t="n">
        <v>15.8</v>
      </c>
      <c r="H63" t="n">
        <v>0</v>
      </c>
      <c r="I63" t="n">
        <v>0</v>
      </c>
      <c r="J63" t="n">
        <v>0</v>
      </c>
      <c r="K63" t="n">
        <v>0</v>
      </c>
      <c r="L63" t="n">
        <v>0</v>
      </c>
      <c r="M63" t="n">
        <v>1</v>
      </c>
      <c r="N63" t="n">
        <v>0</v>
      </c>
      <c r="O63" t="n">
        <v>1</v>
      </c>
      <c r="P63" t="n">
        <v>1</v>
      </c>
      <c r="Q63" t="n">
        <v>1</v>
      </c>
      <c r="R63" s="2" t="inlineStr">
        <is>
          <t>Skogsalm</t>
        </is>
      </c>
      <c r="S63">
        <f>HYPERLINK("https://klasma.github.io/Logging_0580/artfynd/A 40315-2024 artfynd.xlsx", "A 40315-2024")</f>
        <v/>
      </c>
      <c r="T63">
        <f>HYPERLINK("https://klasma.github.io/Logging_0580/kartor/A 40315-2024 karta.png", "A 40315-2024")</f>
        <v/>
      </c>
      <c r="V63">
        <f>HYPERLINK("https://klasma.github.io/Logging_0580/klagomål/A 40315-2024 FSC-klagomål.docx", "A 40315-2024")</f>
        <v/>
      </c>
      <c r="W63">
        <f>HYPERLINK("https://klasma.github.io/Logging_0580/klagomålsmail/A 40315-2024 FSC-klagomål mail.docx", "A 40315-2024")</f>
        <v/>
      </c>
      <c r="X63">
        <f>HYPERLINK("https://klasma.github.io/Logging_0580/tillsyn/A 40315-2024 tillsynsbegäran.docx", "A 40315-2024")</f>
        <v/>
      </c>
      <c r="Y63">
        <f>HYPERLINK("https://klasma.github.io/Logging_0580/tillsynsmail/A 40315-2024 tillsynsbegäran mail.docx", "A 40315-2024")</f>
        <v/>
      </c>
    </row>
    <row r="64" ht="15" customHeight="1">
      <c r="A64" t="inlineStr">
        <is>
          <t>A 56112-2025</t>
        </is>
      </c>
      <c r="B64" s="1" t="n">
        <v>45973.73625</v>
      </c>
      <c r="C64" s="1" t="n">
        <v>46010</v>
      </c>
      <c r="D64" t="inlineStr">
        <is>
          <t>ÖSTERGÖTLANDS LÄN</t>
        </is>
      </c>
      <c r="E64" t="inlineStr">
        <is>
          <t>LINKÖPING</t>
        </is>
      </c>
      <c r="G64" t="n">
        <v>0.6</v>
      </c>
      <c r="H64" t="n">
        <v>0</v>
      </c>
      <c r="I64" t="n">
        <v>0</v>
      </c>
      <c r="J64" t="n">
        <v>1</v>
      </c>
      <c r="K64" t="n">
        <v>0</v>
      </c>
      <c r="L64" t="n">
        <v>0</v>
      </c>
      <c r="M64" t="n">
        <v>0</v>
      </c>
      <c r="N64" t="n">
        <v>0</v>
      </c>
      <c r="O64" t="n">
        <v>1</v>
      </c>
      <c r="P64" t="n">
        <v>0</v>
      </c>
      <c r="Q64" t="n">
        <v>1</v>
      </c>
      <c r="R64" s="2" t="inlineStr">
        <is>
          <t>Solvända</t>
        </is>
      </c>
      <c r="S64">
        <f>HYPERLINK("https://klasma.github.io/Logging_0580/artfynd/A 56112-2025 artfynd.xlsx", "A 56112-2025")</f>
        <v/>
      </c>
      <c r="T64">
        <f>HYPERLINK("https://klasma.github.io/Logging_0580/kartor/A 56112-2025 karta.png", "A 56112-2025")</f>
        <v/>
      </c>
      <c r="V64">
        <f>HYPERLINK("https://klasma.github.io/Logging_0580/klagomål/A 56112-2025 FSC-klagomål.docx", "A 56112-2025")</f>
        <v/>
      </c>
      <c r="W64">
        <f>HYPERLINK("https://klasma.github.io/Logging_0580/klagomålsmail/A 56112-2025 FSC-klagomål mail.docx", "A 56112-2025")</f>
        <v/>
      </c>
      <c r="X64">
        <f>HYPERLINK("https://klasma.github.io/Logging_0580/tillsyn/A 56112-2025 tillsynsbegäran.docx", "A 56112-2025")</f>
        <v/>
      </c>
      <c r="Y64">
        <f>HYPERLINK("https://klasma.github.io/Logging_0580/tillsynsmail/A 56112-2025 tillsynsbegäran mail.docx", "A 56112-2025")</f>
        <v/>
      </c>
    </row>
    <row r="65" ht="15" customHeight="1">
      <c r="A65" t="inlineStr">
        <is>
          <t>A 15290-2025</t>
        </is>
      </c>
      <c r="B65" s="1" t="n">
        <v>45745.45288194445</v>
      </c>
      <c r="C65" s="1" t="n">
        <v>46010</v>
      </c>
      <c r="D65" t="inlineStr">
        <is>
          <t>ÖSTERGÖTLANDS LÄN</t>
        </is>
      </c>
      <c r="E65" t="inlineStr">
        <is>
          <t>LINKÖPING</t>
        </is>
      </c>
      <c r="G65" t="n">
        <v>18.4</v>
      </c>
      <c r="H65" t="n">
        <v>1</v>
      </c>
      <c r="I65" t="n">
        <v>0</v>
      </c>
      <c r="J65" t="n">
        <v>1</v>
      </c>
      <c r="K65" t="n">
        <v>0</v>
      </c>
      <c r="L65" t="n">
        <v>0</v>
      </c>
      <c r="M65" t="n">
        <v>0</v>
      </c>
      <c r="N65" t="n">
        <v>0</v>
      </c>
      <c r="O65" t="n">
        <v>1</v>
      </c>
      <c r="P65" t="n">
        <v>0</v>
      </c>
      <c r="Q65" t="n">
        <v>1</v>
      </c>
      <c r="R65" s="2" t="inlineStr">
        <is>
          <t>Havsörn</t>
        </is>
      </c>
      <c r="S65">
        <f>HYPERLINK("https://klasma.github.io/Logging_0580/artfynd/A 15290-2025 artfynd.xlsx", "A 15290-2025")</f>
        <v/>
      </c>
      <c r="T65">
        <f>HYPERLINK("https://klasma.github.io/Logging_0580/kartor/A 15290-2025 karta.png", "A 15290-2025")</f>
        <v/>
      </c>
      <c r="V65">
        <f>HYPERLINK("https://klasma.github.io/Logging_0580/klagomål/A 15290-2025 FSC-klagomål.docx", "A 15290-2025")</f>
        <v/>
      </c>
      <c r="W65">
        <f>HYPERLINK("https://klasma.github.io/Logging_0580/klagomålsmail/A 15290-2025 FSC-klagomål mail.docx", "A 15290-2025")</f>
        <v/>
      </c>
      <c r="X65">
        <f>HYPERLINK("https://klasma.github.io/Logging_0580/tillsyn/A 15290-2025 tillsynsbegäran.docx", "A 15290-2025")</f>
        <v/>
      </c>
      <c r="Y65">
        <f>HYPERLINK("https://klasma.github.io/Logging_0580/tillsynsmail/A 15290-2025 tillsynsbegäran mail.docx", "A 15290-2025")</f>
        <v/>
      </c>
      <c r="Z65">
        <f>HYPERLINK("https://klasma.github.io/Logging_0580/fåglar/A 15290-2025 prioriterade fågelarter.docx", "A 15290-2025")</f>
        <v/>
      </c>
    </row>
    <row r="66" ht="15" customHeight="1">
      <c r="A66" t="inlineStr">
        <is>
          <t>A 48347-2025</t>
        </is>
      </c>
      <c r="B66" s="1" t="n">
        <v>45932</v>
      </c>
      <c r="C66" s="1" t="n">
        <v>46010</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48353-2025</t>
        </is>
      </c>
      <c r="B67" s="1" t="n">
        <v>45932</v>
      </c>
      <c r="C67" s="1" t="n">
        <v>46010</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48273-2025</t>
        </is>
      </c>
      <c r="B68" s="1" t="n">
        <v>45932</v>
      </c>
      <c r="C68" s="1" t="n">
        <v>46010</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34881-2023</t>
        </is>
      </c>
      <c r="B69" s="1" t="n">
        <v>45140</v>
      </c>
      <c r="C69" s="1" t="n">
        <v>46010</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Tallticka</t>
        </is>
      </c>
      <c r="S69">
        <f>HYPERLINK("https://klasma.github.io/Logging_0580/artfynd/A 34881-2023 artfynd.xlsx", "A 34881-2023")</f>
        <v/>
      </c>
      <c r="T69">
        <f>HYPERLINK("https://klasma.github.io/Logging_0580/kartor/A 34881-2023 karta.png", "A 34881-2023")</f>
        <v/>
      </c>
      <c r="U69">
        <f>HYPERLINK("https://klasma.github.io/Logging_0580/knärot/A 34881-2023 karta knärot.png", "A 34881-2023")</f>
        <v/>
      </c>
      <c r="V69">
        <f>HYPERLINK("https://klasma.github.io/Logging_0580/klagomål/A 34881-2023 FSC-klagomål.docx", "A 34881-2023")</f>
        <v/>
      </c>
      <c r="W69">
        <f>HYPERLINK("https://klasma.github.io/Logging_0580/klagomålsmail/A 34881-2023 FSC-klagomål mail.docx", "A 34881-2023")</f>
        <v/>
      </c>
      <c r="X69">
        <f>HYPERLINK("https://klasma.github.io/Logging_0580/tillsyn/A 34881-2023 tillsynsbegäran.docx", "A 34881-2023")</f>
        <v/>
      </c>
      <c r="Y69">
        <f>HYPERLINK("https://klasma.github.io/Logging_0580/tillsynsmail/A 34881-2023 tillsynsbegäran mail.docx", "A 34881-2023")</f>
        <v/>
      </c>
    </row>
    <row r="70" ht="15" customHeight="1">
      <c r="A70" t="inlineStr">
        <is>
          <t>A 48298-2025</t>
        </is>
      </c>
      <c r="B70" s="1" t="n">
        <v>45932</v>
      </c>
      <c r="C70" s="1" t="n">
        <v>46010</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50471-2024</t>
        </is>
      </c>
      <c r="B71" s="1" t="n">
        <v>45601.47166666666</v>
      </c>
      <c r="C71" s="1" t="n">
        <v>46010</v>
      </c>
      <c r="D71" t="inlineStr">
        <is>
          <t>ÖSTERGÖTLANDS LÄN</t>
        </is>
      </c>
      <c r="E71" t="inlineStr">
        <is>
          <t>LINKÖPING</t>
        </is>
      </c>
      <c r="F71" t="inlineStr">
        <is>
          <t>Övriga Aktiebolag</t>
        </is>
      </c>
      <c r="G71" t="n">
        <v>2</v>
      </c>
      <c r="H71" t="n">
        <v>0</v>
      </c>
      <c r="I71" t="n">
        <v>1</v>
      </c>
      <c r="J71" t="n">
        <v>0</v>
      </c>
      <c r="K71" t="n">
        <v>0</v>
      </c>
      <c r="L71" t="n">
        <v>0</v>
      </c>
      <c r="M71" t="n">
        <v>0</v>
      </c>
      <c r="N71" t="n">
        <v>0</v>
      </c>
      <c r="O71" t="n">
        <v>0</v>
      </c>
      <c r="P71" t="n">
        <v>0</v>
      </c>
      <c r="Q71" t="n">
        <v>1</v>
      </c>
      <c r="R71" s="2" t="inlineStr">
        <is>
          <t>Västlig hakmossa</t>
        </is>
      </c>
      <c r="S71">
        <f>HYPERLINK("https://klasma.github.io/Logging_0580/artfynd/A 50471-2024 artfynd.xlsx", "A 50471-2024")</f>
        <v/>
      </c>
      <c r="T71">
        <f>HYPERLINK("https://klasma.github.io/Logging_0580/kartor/A 50471-2024 karta.png", "A 50471-2024")</f>
        <v/>
      </c>
      <c r="V71">
        <f>HYPERLINK("https://klasma.github.io/Logging_0580/klagomål/A 50471-2024 FSC-klagomål.docx", "A 50471-2024")</f>
        <v/>
      </c>
      <c r="W71">
        <f>HYPERLINK("https://klasma.github.io/Logging_0580/klagomålsmail/A 50471-2024 FSC-klagomål mail.docx", "A 50471-2024")</f>
        <v/>
      </c>
      <c r="X71">
        <f>HYPERLINK("https://klasma.github.io/Logging_0580/tillsyn/A 50471-2024 tillsynsbegäran.docx", "A 50471-2024")</f>
        <v/>
      </c>
      <c r="Y71">
        <f>HYPERLINK("https://klasma.github.io/Logging_0580/tillsynsmail/A 50471-2024 tillsynsbegäran mail.docx", "A 50471-2024")</f>
        <v/>
      </c>
    </row>
    <row r="72" ht="15" customHeight="1">
      <c r="A72" t="inlineStr">
        <is>
          <t>A 17389-2021</t>
        </is>
      </c>
      <c r="B72" s="1" t="n">
        <v>44298.96792824074</v>
      </c>
      <c r="C72" s="1" t="n">
        <v>46010</v>
      </c>
      <c r="D72" t="inlineStr">
        <is>
          <t>ÖSTERGÖTLANDS LÄN</t>
        </is>
      </c>
      <c r="E72" t="inlineStr">
        <is>
          <t>LINKÖPING</t>
        </is>
      </c>
      <c r="G72" t="n">
        <v>5.1</v>
      </c>
      <c r="H72" t="n">
        <v>0</v>
      </c>
      <c r="I72" t="n">
        <v>1</v>
      </c>
      <c r="J72" t="n">
        <v>0</v>
      </c>
      <c r="K72" t="n">
        <v>0</v>
      </c>
      <c r="L72" t="n">
        <v>0</v>
      </c>
      <c r="M72" t="n">
        <v>0</v>
      </c>
      <c r="N72" t="n">
        <v>0</v>
      </c>
      <c r="O72" t="n">
        <v>0</v>
      </c>
      <c r="P72" t="n">
        <v>0</v>
      </c>
      <c r="Q72" t="n">
        <v>1</v>
      </c>
      <c r="R72" s="2" t="inlineStr">
        <is>
          <t>Blomkålssvamp</t>
        </is>
      </c>
      <c r="S72">
        <f>HYPERLINK("https://klasma.github.io/Logging_0580/artfynd/A 17389-2021 artfynd.xlsx", "A 17389-2021")</f>
        <v/>
      </c>
      <c r="T72">
        <f>HYPERLINK("https://klasma.github.io/Logging_0580/kartor/A 17389-2021 karta.png", "A 17389-2021")</f>
        <v/>
      </c>
      <c r="V72">
        <f>HYPERLINK("https://klasma.github.io/Logging_0580/klagomål/A 17389-2021 FSC-klagomål.docx", "A 17389-2021")</f>
        <v/>
      </c>
      <c r="W72">
        <f>HYPERLINK("https://klasma.github.io/Logging_0580/klagomålsmail/A 17389-2021 FSC-klagomål mail.docx", "A 17389-2021")</f>
        <v/>
      </c>
      <c r="X72">
        <f>HYPERLINK("https://klasma.github.io/Logging_0580/tillsyn/A 17389-2021 tillsynsbegäran.docx", "A 17389-2021")</f>
        <v/>
      </c>
      <c r="Y72">
        <f>HYPERLINK("https://klasma.github.io/Logging_0580/tillsynsmail/A 17389-2021 tillsynsbegäran mail.docx", "A 17389-2021")</f>
        <v/>
      </c>
    </row>
    <row r="73" ht="15" customHeight="1">
      <c r="A73" t="inlineStr">
        <is>
          <t>A 56128-2022</t>
        </is>
      </c>
      <c r="B73" s="1" t="n">
        <v>44889</v>
      </c>
      <c r="C73" s="1" t="n">
        <v>46010</v>
      </c>
      <c r="D73" t="inlineStr">
        <is>
          <t>ÖSTERGÖTLANDS LÄN</t>
        </is>
      </c>
      <c r="E73" t="inlineStr">
        <is>
          <t>LINKÖPING</t>
        </is>
      </c>
      <c r="G73" t="n">
        <v>2</v>
      </c>
      <c r="H73" t="n">
        <v>0</v>
      </c>
      <c r="I73" t="n">
        <v>1</v>
      </c>
      <c r="J73" t="n">
        <v>0</v>
      </c>
      <c r="K73" t="n">
        <v>0</v>
      </c>
      <c r="L73" t="n">
        <v>0</v>
      </c>
      <c r="M73" t="n">
        <v>0</v>
      </c>
      <c r="N73" t="n">
        <v>0</v>
      </c>
      <c r="O73" t="n">
        <v>0</v>
      </c>
      <c r="P73" t="n">
        <v>0</v>
      </c>
      <c r="Q73" t="n">
        <v>1</v>
      </c>
      <c r="R73" s="2" t="inlineStr">
        <is>
          <t>Tibast</t>
        </is>
      </c>
      <c r="S73">
        <f>HYPERLINK("https://klasma.github.io/Logging_0580/artfynd/A 56128-2022 artfynd.xlsx", "A 56128-2022")</f>
        <v/>
      </c>
      <c r="T73">
        <f>HYPERLINK("https://klasma.github.io/Logging_0580/kartor/A 56128-2022 karta.png", "A 56128-2022")</f>
        <v/>
      </c>
      <c r="V73">
        <f>HYPERLINK("https://klasma.github.io/Logging_0580/klagomål/A 56128-2022 FSC-klagomål.docx", "A 56128-2022")</f>
        <v/>
      </c>
      <c r="W73">
        <f>HYPERLINK("https://klasma.github.io/Logging_0580/klagomålsmail/A 56128-2022 FSC-klagomål mail.docx", "A 56128-2022")</f>
        <v/>
      </c>
      <c r="X73">
        <f>HYPERLINK("https://klasma.github.io/Logging_0580/tillsyn/A 56128-2022 tillsynsbegäran.docx", "A 56128-2022")</f>
        <v/>
      </c>
      <c r="Y73">
        <f>HYPERLINK("https://klasma.github.io/Logging_0580/tillsynsmail/A 56128-2022 tillsynsbegäran mail.docx", "A 56128-2022")</f>
        <v/>
      </c>
    </row>
    <row r="74" ht="15" customHeight="1">
      <c r="A74" t="inlineStr">
        <is>
          <t>A 40309-2024</t>
        </is>
      </c>
      <c r="B74" s="1" t="n">
        <v>45554.724375</v>
      </c>
      <c r="C74" s="1" t="n">
        <v>46010</v>
      </c>
      <c r="D74" t="inlineStr">
        <is>
          <t>ÖSTERGÖTLANDS LÄN</t>
        </is>
      </c>
      <c r="E74" t="inlineStr">
        <is>
          <t>LINKÖPING</t>
        </is>
      </c>
      <c r="F74" t="inlineStr">
        <is>
          <t>Allmännings- och besparingsskogar</t>
        </is>
      </c>
      <c r="G74" t="n">
        <v>6</v>
      </c>
      <c r="H74" t="n">
        <v>0</v>
      </c>
      <c r="I74" t="n">
        <v>0</v>
      </c>
      <c r="J74" t="n">
        <v>1</v>
      </c>
      <c r="K74" t="n">
        <v>0</v>
      </c>
      <c r="L74" t="n">
        <v>0</v>
      </c>
      <c r="M74" t="n">
        <v>0</v>
      </c>
      <c r="N74" t="n">
        <v>0</v>
      </c>
      <c r="O74" t="n">
        <v>1</v>
      </c>
      <c r="P74" t="n">
        <v>0</v>
      </c>
      <c r="Q74" t="n">
        <v>1</v>
      </c>
      <c r="R74" s="2" t="inlineStr">
        <is>
          <t>Garnlav</t>
        </is>
      </c>
      <c r="S74">
        <f>HYPERLINK("https://klasma.github.io/Logging_0580/artfynd/A 40309-2024 artfynd.xlsx", "A 40309-2024")</f>
        <v/>
      </c>
      <c r="T74">
        <f>HYPERLINK("https://klasma.github.io/Logging_0580/kartor/A 40309-2024 karta.png", "A 40309-2024")</f>
        <v/>
      </c>
      <c r="V74">
        <f>HYPERLINK("https://klasma.github.io/Logging_0580/klagomål/A 40309-2024 FSC-klagomål.docx", "A 40309-2024")</f>
        <v/>
      </c>
      <c r="W74">
        <f>HYPERLINK("https://klasma.github.io/Logging_0580/klagomålsmail/A 40309-2024 FSC-klagomål mail.docx", "A 40309-2024")</f>
        <v/>
      </c>
      <c r="X74">
        <f>HYPERLINK("https://klasma.github.io/Logging_0580/tillsyn/A 40309-2024 tillsynsbegäran.docx", "A 40309-2024")</f>
        <v/>
      </c>
      <c r="Y74">
        <f>HYPERLINK("https://klasma.github.io/Logging_0580/tillsynsmail/A 40309-2024 tillsynsbegäran mail.docx", "A 40309-2024")</f>
        <v/>
      </c>
    </row>
    <row r="75" ht="15" customHeight="1">
      <c r="A75" t="inlineStr">
        <is>
          <t>A 50034-2025</t>
        </is>
      </c>
      <c r="B75" s="1" t="n">
        <v>45941</v>
      </c>
      <c r="C75" s="1" t="n">
        <v>46010</v>
      </c>
      <c r="D75" t="inlineStr">
        <is>
          <t>ÖSTERGÖTLANDS LÄN</t>
        </is>
      </c>
      <c r="E75" t="inlineStr">
        <is>
          <t>LINKÖPING</t>
        </is>
      </c>
      <c r="G75" t="n">
        <v>6.2</v>
      </c>
      <c r="H75" t="n">
        <v>0</v>
      </c>
      <c r="I75" t="n">
        <v>0</v>
      </c>
      <c r="J75" t="n">
        <v>0</v>
      </c>
      <c r="K75" t="n">
        <v>0</v>
      </c>
      <c r="L75" t="n">
        <v>0</v>
      </c>
      <c r="M75" t="n">
        <v>1</v>
      </c>
      <c r="N75" t="n">
        <v>0</v>
      </c>
      <c r="O75" t="n">
        <v>1</v>
      </c>
      <c r="P75" t="n">
        <v>1</v>
      </c>
      <c r="Q75" t="n">
        <v>1</v>
      </c>
      <c r="R75" s="2" t="inlineStr">
        <is>
          <t>Skogsalm</t>
        </is>
      </c>
      <c r="S75">
        <f>HYPERLINK("https://klasma.github.io/Logging_0580/artfynd/A 50034-2025 artfynd.xlsx", "A 50034-2025")</f>
        <v/>
      </c>
      <c r="T75">
        <f>HYPERLINK("https://klasma.github.io/Logging_0580/kartor/A 50034-2025 karta.png", "A 50034-2025")</f>
        <v/>
      </c>
      <c r="V75">
        <f>HYPERLINK("https://klasma.github.io/Logging_0580/klagomål/A 50034-2025 FSC-klagomål.docx", "A 50034-2025")</f>
        <v/>
      </c>
      <c r="W75">
        <f>HYPERLINK("https://klasma.github.io/Logging_0580/klagomålsmail/A 50034-2025 FSC-klagomål mail.docx", "A 50034-2025")</f>
        <v/>
      </c>
      <c r="X75">
        <f>HYPERLINK("https://klasma.github.io/Logging_0580/tillsyn/A 50034-2025 tillsynsbegäran.docx", "A 50034-2025")</f>
        <v/>
      </c>
      <c r="Y75">
        <f>HYPERLINK("https://klasma.github.io/Logging_0580/tillsynsmail/A 50034-2025 tillsynsbegäran mail.docx", "A 50034-2025")</f>
        <v/>
      </c>
    </row>
    <row r="76" ht="15" customHeight="1">
      <c r="A76" t="inlineStr">
        <is>
          <t>A 54835-2023</t>
        </is>
      </c>
      <c r="B76" s="1" t="n">
        <v>45236</v>
      </c>
      <c r="C76" s="1" t="n">
        <v>46010</v>
      </c>
      <c r="D76" t="inlineStr">
        <is>
          <t>ÖSTERGÖTLANDS LÄN</t>
        </is>
      </c>
      <c r="E76" t="inlineStr">
        <is>
          <t>LINKÖPING</t>
        </is>
      </c>
      <c r="G76" t="n">
        <v>2</v>
      </c>
      <c r="H76" t="n">
        <v>1</v>
      </c>
      <c r="I76" t="n">
        <v>0</v>
      </c>
      <c r="J76" t="n">
        <v>0</v>
      </c>
      <c r="K76" t="n">
        <v>0</v>
      </c>
      <c r="L76" t="n">
        <v>0</v>
      </c>
      <c r="M76" t="n">
        <v>0</v>
      </c>
      <c r="N76" t="n">
        <v>0</v>
      </c>
      <c r="O76" t="n">
        <v>0</v>
      </c>
      <c r="P76" t="n">
        <v>0</v>
      </c>
      <c r="Q76" t="n">
        <v>1</v>
      </c>
      <c r="R76" s="2" t="inlineStr">
        <is>
          <t>Sparvuggla</t>
        </is>
      </c>
      <c r="S76">
        <f>HYPERLINK("https://klasma.github.io/Logging_0580/artfynd/A 54835-2023 artfynd.xlsx", "A 54835-2023")</f>
        <v/>
      </c>
      <c r="T76">
        <f>HYPERLINK("https://klasma.github.io/Logging_0580/kartor/A 54835-2023 karta.png", "A 54835-2023")</f>
        <v/>
      </c>
      <c r="V76">
        <f>HYPERLINK("https://klasma.github.io/Logging_0580/klagomål/A 54835-2023 FSC-klagomål.docx", "A 54835-2023")</f>
        <v/>
      </c>
      <c r="W76">
        <f>HYPERLINK("https://klasma.github.io/Logging_0580/klagomålsmail/A 54835-2023 FSC-klagomål mail.docx", "A 54835-2023")</f>
        <v/>
      </c>
      <c r="X76">
        <f>HYPERLINK("https://klasma.github.io/Logging_0580/tillsyn/A 54835-2023 tillsynsbegäran.docx", "A 54835-2023")</f>
        <v/>
      </c>
      <c r="Y76">
        <f>HYPERLINK("https://klasma.github.io/Logging_0580/tillsynsmail/A 54835-2023 tillsynsbegäran mail.docx", "A 54835-2023")</f>
        <v/>
      </c>
      <c r="Z76">
        <f>HYPERLINK("https://klasma.github.io/Logging_0580/fåglar/A 54835-2023 prioriterade fågelarter.docx", "A 54835-2023")</f>
        <v/>
      </c>
    </row>
    <row r="77" ht="15" customHeight="1">
      <c r="A77" t="inlineStr">
        <is>
          <t>A 59474-2025</t>
        </is>
      </c>
      <c r="B77" s="1" t="n">
        <v>45989.58512731481</v>
      </c>
      <c r="C77" s="1" t="n">
        <v>46010</v>
      </c>
      <c r="D77" t="inlineStr">
        <is>
          <t>ÖSTERGÖTLANDS LÄN</t>
        </is>
      </c>
      <c r="E77" t="inlineStr">
        <is>
          <t>LINKÖPING</t>
        </is>
      </c>
      <c r="G77" t="n">
        <v>8</v>
      </c>
      <c r="H77" t="n">
        <v>0</v>
      </c>
      <c r="I77" t="n">
        <v>1</v>
      </c>
      <c r="J77" t="n">
        <v>0</v>
      </c>
      <c r="K77" t="n">
        <v>0</v>
      </c>
      <c r="L77" t="n">
        <v>0</v>
      </c>
      <c r="M77" t="n">
        <v>0</v>
      </c>
      <c r="N77" t="n">
        <v>0</v>
      </c>
      <c r="O77" t="n">
        <v>0</v>
      </c>
      <c r="P77" t="n">
        <v>0</v>
      </c>
      <c r="Q77" t="n">
        <v>1</v>
      </c>
      <c r="R77" s="2" t="inlineStr">
        <is>
          <t>Fällmossa</t>
        </is>
      </c>
      <c r="S77">
        <f>HYPERLINK("https://klasma.github.io/Logging_0580/artfynd/A 59474-2025 artfynd.xlsx", "A 59474-2025")</f>
        <v/>
      </c>
      <c r="T77">
        <f>HYPERLINK("https://klasma.github.io/Logging_0580/kartor/A 59474-2025 karta.png", "A 59474-2025")</f>
        <v/>
      </c>
      <c r="V77">
        <f>HYPERLINK("https://klasma.github.io/Logging_0580/klagomål/A 59474-2025 FSC-klagomål.docx", "A 59474-2025")</f>
        <v/>
      </c>
      <c r="W77">
        <f>HYPERLINK("https://klasma.github.io/Logging_0580/klagomålsmail/A 59474-2025 FSC-klagomål mail.docx", "A 59474-2025")</f>
        <v/>
      </c>
      <c r="X77">
        <f>HYPERLINK("https://klasma.github.io/Logging_0580/tillsyn/A 59474-2025 tillsynsbegäran.docx", "A 59474-2025")</f>
        <v/>
      </c>
      <c r="Y77">
        <f>HYPERLINK("https://klasma.github.io/Logging_0580/tillsynsmail/A 59474-2025 tillsynsbegäran mail.docx", "A 59474-2025")</f>
        <v/>
      </c>
    </row>
    <row r="78" ht="15" customHeight="1">
      <c r="A78" t="inlineStr">
        <is>
          <t>A 126-2024</t>
        </is>
      </c>
      <c r="B78" s="1" t="n">
        <v>45294</v>
      </c>
      <c r="C78" s="1" t="n">
        <v>46010</v>
      </c>
      <c r="D78" t="inlineStr">
        <is>
          <t>ÖSTERGÖTLANDS LÄN</t>
        </is>
      </c>
      <c r="E78" t="inlineStr">
        <is>
          <t>LINKÖPING</t>
        </is>
      </c>
      <c r="G78" t="n">
        <v>1</v>
      </c>
      <c r="H78" t="n">
        <v>0</v>
      </c>
      <c r="I78" t="n">
        <v>1</v>
      </c>
      <c r="J78" t="n">
        <v>0</v>
      </c>
      <c r="K78" t="n">
        <v>0</v>
      </c>
      <c r="L78" t="n">
        <v>0</v>
      </c>
      <c r="M78" t="n">
        <v>0</v>
      </c>
      <c r="N78" t="n">
        <v>0</v>
      </c>
      <c r="O78" t="n">
        <v>0</v>
      </c>
      <c r="P78" t="n">
        <v>0</v>
      </c>
      <c r="Q78" t="n">
        <v>1</v>
      </c>
      <c r="R78" s="2" t="inlineStr">
        <is>
          <t>Blåmossa</t>
        </is>
      </c>
      <c r="S78">
        <f>HYPERLINK("https://klasma.github.io/Logging_0580/artfynd/A 126-2024 artfynd.xlsx", "A 126-2024")</f>
        <v/>
      </c>
      <c r="T78">
        <f>HYPERLINK("https://klasma.github.io/Logging_0580/kartor/A 126-2024 karta.png", "A 126-2024")</f>
        <v/>
      </c>
      <c r="V78">
        <f>HYPERLINK("https://klasma.github.io/Logging_0580/klagomål/A 126-2024 FSC-klagomål.docx", "A 126-2024")</f>
        <v/>
      </c>
      <c r="W78">
        <f>HYPERLINK("https://klasma.github.io/Logging_0580/klagomålsmail/A 126-2024 FSC-klagomål mail.docx", "A 126-2024")</f>
        <v/>
      </c>
      <c r="X78">
        <f>HYPERLINK("https://klasma.github.io/Logging_0580/tillsyn/A 126-2024 tillsynsbegäran.docx", "A 126-2024")</f>
        <v/>
      </c>
      <c r="Y78">
        <f>HYPERLINK("https://klasma.github.io/Logging_0580/tillsynsmail/A 126-2024 tillsynsbegäran mail.docx", "A 126-2024")</f>
        <v/>
      </c>
    </row>
    <row r="79" ht="15" customHeight="1">
      <c r="A79" t="inlineStr">
        <is>
          <t>A 60311-2025</t>
        </is>
      </c>
      <c r="B79" s="1" t="n">
        <v>45994</v>
      </c>
      <c r="C79" s="1" t="n">
        <v>46010</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Gammelekslav</t>
        </is>
      </c>
      <c r="S79">
        <f>HYPERLINK("https://klasma.github.io/Logging_0580/artfynd/A 60311-2025 artfynd.xlsx", "A 60311-2025")</f>
        <v/>
      </c>
      <c r="T79">
        <f>HYPERLINK("https://klasma.github.io/Logging_0580/kartor/A 60311-2025 karta.png", "A 60311-2025")</f>
        <v/>
      </c>
      <c r="V79">
        <f>HYPERLINK("https://klasma.github.io/Logging_0580/klagomål/A 60311-2025 FSC-klagomål.docx", "A 60311-2025")</f>
        <v/>
      </c>
      <c r="W79">
        <f>HYPERLINK("https://klasma.github.io/Logging_0580/klagomålsmail/A 60311-2025 FSC-klagomål mail.docx", "A 60311-2025")</f>
        <v/>
      </c>
      <c r="X79">
        <f>HYPERLINK("https://klasma.github.io/Logging_0580/tillsyn/A 60311-2025 tillsynsbegäran.docx", "A 60311-2025")</f>
        <v/>
      </c>
      <c r="Y79">
        <f>HYPERLINK("https://klasma.github.io/Logging_0580/tillsynsmail/A 60311-2025 tillsynsbegäran mail.docx", "A 60311-2025")</f>
        <v/>
      </c>
    </row>
    <row r="80" ht="15" customHeight="1">
      <c r="A80" t="inlineStr">
        <is>
          <t>A 3395-2023</t>
        </is>
      </c>
      <c r="B80" s="1" t="n">
        <v>44949</v>
      </c>
      <c r="C80" s="1" t="n">
        <v>46010</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19103-2021</t>
        </is>
      </c>
      <c r="B81" s="1" t="n">
        <v>44308</v>
      </c>
      <c r="C81" s="1" t="n">
        <v>46010</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50806-2023</t>
        </is>
      </c>
      <c r="B82" s="1" t="n">
        <v>45217</v>
      </c>
      <c r="C82" s="1" t="n">
        <v>46010</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39457-2023</t>
        </is>
      </c>
      <c r="B83" s="1" t="n">
        <v>45166</v>
      </c>
      <c r="C83" s="1" t="n">
        <v>46010</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35948-2023</t>
        </is>
      </c>
      <c r="B84" s="1" t="n">
        <v>45148</v>
      </c>
      <c r="C84" s="1" t="n">
        <v>46010</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46010</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46010</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46010</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60573-2021</t>
        </is>
      </c>
      <c r="B88" s="1" t="n">
        <v>44496</v>
      </c>
      <c r="C88" s="1" t="n">
        <v>46010</v>
      </c>
      <c r="D88" t="inlineStr">
        <is>
          <t>ÖSTERGÖTLANDS LÄN</t>
        </is>
      </c>
      <c r="E88" t="inlineStr">
        <is>
          <t>LINKÖPING</t>
        </is>
      </c>
      <c r="F88" t="inlineStr">
        <is>
          <t>Övriga Aktiebolag</t>
        </is>
      </c>
      <c r="G88" t="n">
        <v>5.6</v>
      </c>
      <c r="H88" t="n">
        <v>0</v>
      </c>
      <c r="I88" t="n">
        <v>0</v>
      </c>
      <c r="J88" t="n">
        <v>1</v>
      </c>
      <c r="K88" t="n">
        <v>0</v>
      </c>
      <c r="L88" t="n">
        <v>0</v>
      </c>
      <c r="M88" t="n">
        <v>0</v>
      </c>
      <c r="N88" t="n">
        <v>0</v>
      </c>
      <c r="O88" t="n">
        <v>1</v>
      </c>
      <c r="P88" t="n">
        <v>0</v>
      </c>
      <c r="Q88" t="n">
        <v>1</v>
      </c>
      <c r="R88" s="2" t="inlineStr">
        <is>
          <t>Sommarfibbla</t>
        </is>
      </c>
      <c r="S88">
        <f>HYPERLINK("https://klasma.github.io/Logging_0580/artfynd/A 60573-2021 artfynd.xlsx", "A 60573-2021")</f>
        <v/>
      </c>
      <c r="T88">
        <f>HYPERLINK("https://klasma.github.io/Logging_0580/kartor/A 60573-2021 karta.png", "A 60573-2021")</f>
        <v/>
      </c>
      <c r="V88">
        <f>HYPERLINK("https://klasma.github.io/Logging_0580/klagomål/A 60573-2021 FSC-klagomål.docx", "A 60573-2021")</f>
        <v/>
      </c>
      <c r="W88">
        <f>HYPERLINK("https://klasma.github.io/Logging_0580/klagomålsmail/A 60573-2021 FSC-klagomål mail.docx", "A 60573-2021")</f>
        <v/>
      </c>
      <c r="X88">
        <f>HYPERLINK("https://klasma.github.io/Logging_0580/tillsyn/A 60573-2021 tillsynsbegäran.docx", "A 60573-2021")</f>
        <v/>
      </c>
      <c r="Y88">
        <f>HYPERLINK("https://klasma.github.io/Logging_0580/tillsynsmail/A 60573-2021 tillsynsbegäran mail.docx", "A 60573-2021")</f>
        <v/>
      </c>
    </row>
    <row r="89" ht="15" customHeight="1">
      <c r="A89" t="inlineStr">
        <is>
          <t>A 41749-2023</t>
        </is>
      </c>
      <c r="B89" s="1" t="n">
        <v>45176</v>
      </c>
      <c r="C89" s="1" t="n">
        <v>46010</v>
      </c>
      <c r="D89" t="inlineStr">
        <is>
          <t>ÖSTERGÖTLANDS LÄN</t>
        </is>
      </c>
      <c r="E89" t="inlineStr">
        <is>
          <t>LINKÖPING</t>
        </is>
      </c>
      <c r="G89" t="n">
        <v>3.6</v>
      </c>
      <c r="H89" t="n">
        <v>0</v>
      </c>
      <c r="I89" t="n">
        <v>0</v>
      </c>
      <c r="J89" t="n">
        <v>1</v>
      </c>
      <c r="K89" t="n">
        <v>0</v>
      </c>
      <c r="L89" t="n">
        <v>0</v>
      </c>
      <c r="M89" t="n">
        <v>0</v>
      </c>
      <c r="N89" t="n">
        <v>0</v>
      </c>
      <c r="O89" t="n">
        <v>1</v>
      </c>
      <c r="P89" t="n">
        <v>0</v>
      </c>
      <c r="Q89" t="n">
        <v>1</v>
      </c>
      <c r="R89" s="2" t="inlineStr">
        <is>
          <t>Svinrot</t>
        </is>
      </c>
      <c r="S89">
        <f>HYPERLINK("https://klasma.github.io/Logging_0580/artfynd/A 41749-2023 artfynd.xlsx", "A 41749-2023")</f>
        <v/>
      </c>
      <c r="T89">
        <f>HYPERLINK("https://klasma.github.io/Logging_0580/kartor/A 41749-2023 karta.png", "A 41749-2023")</f>
        <v/>
      </c>
      <c r="V89">
        <f>HYPERLINK("https://klasma.github.io/Logging_0580/klagomål/A 41749-2023 FSC-klagomål.docx", "A 41749-2023")</f>
        <v/>
      </c>
      <c r="W89">
        <f>HYPERLINK("https://klasma.github.io/Logging_0580/klagomålsmail/A 41749-2023 FSC-klagomål mail.docx", "A 41749-2023")</f>
        <v/>
      </c>
      <c r="X89">
        <f>HYPERLINK("https://klasma.github.io/Logging_0580/tillsyn/A 41749-2023 tillsynsbegäran.docx", "A 41749-2023")</f>
        <v/>
      </c>
      <c r="Y89">
        <f>HYPERLINK("https://klasma.github.io/Logging_0580/tillsynsmail/A 41749-2023 tillsynsbegäran mail.docx", "A 41749-2023")</f>
        <v/>
      </c>
    </row>
    <row r="90" ht="15" customHeight="1">
      <c r="A90" t="inlineStr">
        <is>
          <t>A 38881-2021</t>
        </is>
      </c>
      <c r="B90" s="1" t="n">
        <v>44411.46893518518</v>
      </c>
      <c r="C90" s="1" t="n">
        <v>46010</v>
      </c>
      <c r="D90" t="inlineStr">
        <is>
          <t>ÖSTERGÖTLANDS LÄN</t>
        </is>
      </c>
      <c r="E90" t="inlineStr">
        <is>
          <t>LINKÖPING</t>
        </is>
      </c>
      <c r="G90" t="n">
        <v>2.2</v>
      </c>
      <c r="H90" t="n">
        <v>0</v>
      </c>
      <c r="I90" t="n">
        <v>0</v>
      </c>
      <c r="J90" t="n">
        <v>0</v>
      </c>
      <c r="K90" t="n">
        <v>0</v>
      </c>
      <c r="L90" t="n">
        <v>0</v>
      </c>
      <c r="M90" t="n">
        <v>0</v>
      </c>
      <c r="N90" t="n">
        <v>0</v>
      </c>
      <c r="O90" t="n">
        <v>0</v>
      </c>
      <c r="P90" t="n">
        <v>0</v>
      </c>
      <c r="Q90" t="n">
        <v>0</v>
      </c>
      <c r="R90" s="2" t="inlineStr"/>
    </row>
    <row r="91" ht="15" customHeight="1">
      <c r="A91" t="inlineStr">
        <is>
          <t>A 38887-2021</t>
        </is>
      </c>
      <c r="B91" s="1" t="n">
        <v>44411</v>
      </c>
      <c r="C91" s="1" t="n">
        <v>46010</v>
      </c>
      <c r="D91" t="inlineStr">
        <is>
          <t>ÖSTERGÖTLANDS LÄN</t>
        </is>
      </c>
      <c r="E91" t="inlineStr">
        <is>
          <t>LINKÖPING</t>
        </is>
      </c>
      <c r="G91" t="n">
        <v>1.6</v>
      </c>
      <c r="H91" t="n">
        <v>0</v>
      </c>
      <c r="I91" t="n">
        <v>0</v>
      </c>
      <c r="J91" t="n">
        <v>0</v>
      </c>
      <c r="K91" t="n">
        <v>0</v>
      </c>
      <c r="L91" t="n">
        <v>0</v>
      </c>
      <c r="M91" t="n">
        <v>0</v>
      </c>
      <c r="N91" t="n">
        <v>0</v>
      </c>
      <c r="O91" t="n">
        <v>0</v>
      </c>
      <c r="P91" t="n">
        <v>0</v>
      </c>
      <c r="Q91" t="n">
        <v>0</v>
      </c>
      <c r="R91" s="2" t="inlineStr"/>
    </row>
    <row r="92" ht="15" customHeight="1">
      <c r="A92" t="inlineStr">
        <is>
          <t>A 5008-2021</t>
        </is>
      </c>
      <c r="B92" s="1" t="n">
        <v>44228</v>
      </c>
      <c r="C92" s="1" t="n">
        <v>46010</v>
      </c>
      <c r="D92" t="inlineStr">
        <is>
          <t>ÖSTERGÖTLANDS LÄN</t>
        </is>
      </c>
      <c r="E92" t="inlineStr">
        <is>
          <t>LINKÖPING</t>
        </is>
      </c>
      <c r="F92" t="inlineStr">
        <is>
          <t>Övriga Aktiebolag</t>
        </is>
      </c>
      <c r="G92" t="n">
        <v>0.3</v>
      </c>
      <c r="H92" t="n">
        <v>0</v>
      </c>
      <c r="I92" t="n">
        <v>0</v>
      </c>
      <c r="J92" t="n">
        <v>0</v>
      </c>
      <c r="K92" t="n">
        <v>0</v>
      </c>
      <c r="L92" t="n">
        <v>0</v>
      </c>
      <c r="M92" t="n">
        <v>0</v>
      </c>
      <c r="N92" t="n">
        <v>0</v>
      </c>
      <c r="O92" t="n">
        <v>0</v>
      </c>
      <c r="P92" t="n">
        <v>0</v>
      </c>
      <c r="Q92" t="n">
        <v>0</v>
      </c>
      <c r="R92" s="2" t="inlineStr"/>
    </row>
    <row r="93" ht="15" customHeight="1">
      <c r="A93" t="inlineStr">
        <is>
          <t>A 56239-2021</t>
        </is>
      </c>
      <c r="B93" s="1" t="n">
        <v>44478</v>
      </c>
      <c r="C93" s="1" t="n">
        <v>46010</v>
      </c>
      <c r="D93" t="inlineStr">
        <is>
          <t>ÖSTERGÖTLANDS LÄN</t>
        </is>
      </c>
      <c r="E93" t="inlineStr">
        <is>
          <t>LINKÖPING</t>
        </is>
      </c>
      <c r="F93" t="inlineStr">
        <is>
          <t>Övriga Aktiebolag</t>
        </is>
      </c>
      <c r="G93" t="n">
        <v>3</v>
      </c>
      <c r="H93" t="n">
        <v>0</v>
      </c>
      <c r="I93" t="n">
        <v>0</v>
      </c>
      <c r="J93" t="n">
        <v>0</v>
      </c>
      <c r="K93" t="n">
        <v>0</v>
      </c>
      <c r="L93" t="n">
        <v>0</v>
      </c>
      <c r="M93" t="n">
        <v>0</v>
      </c>
      <c r="N93" t="n">
        <v>0</v>
      </c>
      <c r="O93" t="n">
        <v>0</v>
      </c>
      <c r="P93" t="n">
        <v>0</v>
      </c>
      <c r="Q93" t="n">
        <v>0</v>
      </c>
      <c r="R93" s="2" t="inlineStr"/>
    </row>
    <row r="94" ht="15" customHeight="1">
      <c r="A94" t="inlineStr">
        <is>
          <t>A 7289-2021</t>
        </is>
      </c>
      <c r="B94" s="1" t="n">
        <v>44238</v>
      </c>
      <c r="C94" s="1" t="n">
        <v>46010</v>
      </c>
      <c r="D94" t="inlineStr">
        <is>
          <t>ÖSTERGÖTLANDS LÄN</t>
        </is>
      </c>
      <c r="E94" t="inlineStr">
        <is>
          <t>LINKÖPING</t>
        </is>
      </c>
      <c r="G94" t="n">
        <v>0.7</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46010</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398-2021</t>
        </is>
      </c>
      <c r="B96" s="1" t="n">
        <v>44201</v>
      </c>
      <c r="C96" s="1" t="n">
        <v>46010</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46010</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46010</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46010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46010</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46010</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46010</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46010</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46010</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46010</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46010</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46010</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46010</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46010</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46010</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46010</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46010</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46010</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46010</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46010</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46010</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46010</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46010</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46010</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46010</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46010</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46010</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46010</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46010</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46010</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46010</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46010</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46010</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46010</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46010</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46010</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46010</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46010</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46010</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46010</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46010</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46010</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46010</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46010</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46010</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46010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46416-2021</t>
        </is>
      </c>
      <c r="B142" s="1" t="n">
        <v>44442</v>
      </c>
      <c r="C142" s="1" t="n">
        <v>46010</v>
      </c>
      <c r="D142" t="inlineStr">
        <is>
          <t>ÖSTERGÖTLANDS LÄN</t>
        </is>
      </c>
      <c r="E142" t="inlineStr">
        <is>
          <t>LINKÖPING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46010</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46010</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46010</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46010</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46010</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46010</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46010</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46010</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46010</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46010</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46010</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46010</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9935-2021</t>
        </is>
      </c>
      <c r="B155" s="1" t="n">
        <v>44253</v>
      </c>
      <c r="C155" s="1" t="n">
        <v>46010</v>
      </c>
      <c r="D155" t="inlineStr">
        <is>
          <t>ÖSTERGÖTLANDS LÄN</t>
        </is>
      </c>
      <c r="E155" t="inlineStr">
        <is>
          <t>LINKÖPING</t>
        </is>
      </c>
      <c r="G155" t="n">
        <v>4.5</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46010</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19318-2022</t>
        </is>
      </c>
      <c r="B157" s="1" t="n">
        <v>44692.5827662037</v>
      </c>
      <c r="C157" s="1" t="n">
        <v>46010</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46010</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46010</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46010</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46010</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46010</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46010</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46010</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46010</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37014-2021</t>
        </is>
      </c>
      <c r="B166" s="1" t="n">
        <v>44393</v>
      </c>
      <c r="C166" s="1" t="n">
        <v>46010</v>
      </c>
      <c r="D166" t="inlineStr">
        <is>
          <t>ÖSTERGÖTLANDS LÄN</t>
        </is>
      </c>
      <c r="E166" t="inlineStr">
        <is>
          <t>LINKÖPING</t>
        </is>
      </c>
      <c r="F166" t="inlineStr">
        <is>
          <t>Allmännings- och besparingsskogar</t>
        </is>
      </c>
      <c r="G166" t="n">
        <v>7.7</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46010</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46010</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46010</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46010</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46010</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46010</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46010</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46010</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46010</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46010</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46010</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46010</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46010</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46010</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46010</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46010</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46010</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56688-2021</t>
        </is>
      </c>
      <c r="B184" s="1" t="n">
        <v>44481</v>
      </c>
      <c r="C184" s="1" t="n">
        <v>46010</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46010</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46010</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46010</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46010</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46010</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46010</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33885-2021</t>
        </is>
      </c>
      <c r="B191" s="1" t="n">
        <v>44378</v>
      </c>
      <c r="C191" s="1" t="n">
        <v>46010</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12413-2022</t>
        </is>
      </c>
      <c r="B192" s="1" t="n">
        <v>44638</v>
      </c>
      <c r="C192" s="1" t="n">
        <v>46010</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46010</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46010</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46010</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46010</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46010</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46010</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46010</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46010</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46010</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46010</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46010</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46010</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46010</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34558-2022</t>
        </is>
      </c>
      <c r="B206" s="1" t="n">
        <v>44794.57594907407</v>
      </c>
      <c r="C206" s="1" t="n">
        <v>46010</v>
      </c>
      <c r="D206" t="inlineStr">
        <is>
          <t>ÖSTERGÖTLANDS LÄN</t>
        </is>
      </c>
      <c r="E206" t="inlineStr">
        <is>
          <t>LINKÖPING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63489-2023</t>
        </is>
      </c>
      <c r="B207" s="1" t="n">
        <v>45274.66761574074</v>
      </c>
      <c r="C207" s="1" t="n">
        <v>46010</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54845-2023</t>
        </is>
      </c>
      <c r="B208" s="1" t="n">
        <v>45236</v>
      </c>
      <c r="C208" s="1" t="n">
        <v>46010</v>
      </c>
      <c r="D208" t="inlineStr">
        <is>
          <t>ÖSTERGÖTLANDS LÄN</t>
        </is>
      </c>
      <c r="E208" t="inlineStr">
        <is>
          <t>LINKÖPING</t>
        </is>
      </c>
      <c r="F208" t="inlineStr">
        <is>
          <t>Övriga Aktiebolag</t>
        </is>
      </c>
      <c r="G208" t="n">
        <v>5.7</v>
      </c>
      <c r="H208" t="n">
        <v>0</v>
      </c>
      <c r="I208" t="n">
        <v>0</v>
      </c>
      <c r="J208" t="n">
        <v>0</v>
      </c>
      <c r="K208" t="n">
        <v>0</v>
      </c>
      <c r="L208" t="n">
        <v>0</v>
      </c>
      <c r="M208" t="n">
        <v>0</v>
      </c>
      <c r="N208" t="n">
        <v>0</v>
      </c>
      <c r="O208" t="n">
        <v>0</v>
      </c>
      <c r="P208" t="n">
        <v>0</v>
      </c>
      <c r="Q208" t="n">
        <v>0</v>
      </c>
      <c r="R208" s="2" t="inlineStr"/>
    </row>
    <row r="209" ht="15" customHeight="1">
      <c r="A209" t="inlineStr">
        <is>
          <t>A 22772-2024</t>
        </is>
      </c>
      <c r="B209" s="1" t="n">
        <v>45448.46712962963</v>
      </c>
      <c r="C209" s="1" t="n">
        <v>46010</v>
      </c>
      <c r="D209" t="inlineStr">
        <is>
          <t>ÖSTERGÖTLANDS LÄN</t>
        </is>
      </c>
      <c r="E209" t="inlineStr">
        <is>
          <t>LINKÖPING</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62488-2023</t>
        </is>
      </c>
      <c r="B210" s="1" t="n">
        <v>45268.5847337963</v>
      </c>
      <c r="C210" s="1" t="n">
        <v>46010</v>
      </c>
      <c r="D210" t="inlineStr">
        <is>
          <t>ÖSTERGÖTLANDS LÄN</t>
        </is>
      </c>
      <c r="E210" t="inlineStr">
        <is>
          <t>LINKÖPING</t>
        </is>
      </c>
      <c r="G210" t="n">
        <v>4.1</v>
      </c>
      <c r="H210" t="n">
        <v>0</v>
      </c>
      <c r="I210" t="n">
        <v>0</v>
      </c>
      <c r="J210" t="n">
        <v>0</v>
      </c>
      <c r="K210" t="n">
        <v>0</v>
      </c>
      <c r="L210" t="n">
        <v>0</v>
      </c>
      <c r="M210" t="n">
        <v>0</v>
      </c>
      <c r="N210" t="n">
        <v>0</v>
      </c>
      <c r="O210" t="n">
        <v>0</v>
      </c>
      <c r="P210" t="n">
        <v>0</v>
      </c>
      <c r="Q210" t="n">
        <v>0</v>
      </c>
      <c r="R210" s="2" t="inlineStr"/>
    </row>
    <row r="211" ht="15" customHeight="1">
      <c r="A211" t="inlineStr">
        <is>
          <t>A 28266-2024</t>
        </is>
      </c>
      <c r="B211" s="1" t="n">
        <v>45477.43600694444</v>
      </c>
      <c r="C211" s="1" t="n">
        <v>46010</v>
      </c>
      <c r="D211" t="inlineStr">
        <is>
          <t>ÖSTERGÖTLANDS LÄN</t>
        </is>
      </c>
      <c r="E211" t="inlineStr">
        <is>
          <t>LINKÖPING</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24351-2024</t>
        </is>
      </c>
      <c r="B212" s="1" t="n">
        <v>45457.59011574074</v>
      </c>
      <c r="C212" s="1" t="n">
        <v>46010</v>
      </c>
      <c r="D212" t="inlineStr">
        <is>
          <t>ÖSTERGÖTLANDS LÄN</t>
        </is>
      </c>
      <c r="E212" t="inlineStr">
        <is>
          <t>LINKÖPING</t>
        </is>
      </c>
      <c r="G212" t="n">
        <v>11.9</v>
      </c>
      <c r="H212" t="n">
        <v>0</v>
      </c>
      <c r="I212" t="n">
        <v>0</v>
      </c>
      <c r="J212" t="n">
        <v>0</v>
      </c>
      <c r="K212" t="n">
        <v>0</v>
      </c>
      <c r="L212" t="n">
        <v>0</v>
      </c>
      <c r="M212" t="n">
        <v>0</v>
      </c>
      <c r="N212" t="n">
        <v>0</v>
      </c>
      <c r="O212" t="n">
        <v>0</v>
      </c>
      <c r="P212" t="n">
        <v>0</v>
      </c>
      <c r="Q212" t="n">
        <v>0</v>
      </c>
      <c r="R212" s="2" t="inlineStr"/>
    </row>
    <row r="213" ht="15" customHeight="1">
      <c r="A213" t="inlineStr">
        <is>
          <t>A 20455-2024</t>
        </is>
      </c>
      <c r="B213" s="1" t="n">
        <v>45435.65314814815</v>
      </c>
      <c r="C213" s="1" t="n">
        <v>46010</v>
      </c>
      <c r="D213" t="inlineStr">
        <is>
          <t>ÖSTERGÖTLANDS LÄN</t>
        </is>
      </c>
      <c r="E213" t="inlineStr">
        <is>
          <t>LINKÖPING</t>
        </is>
      </c>
      <c r="G213" t="n">
        <v>2.6</v>
      </c>
      <c r="H213" t="n">
        <v>0</v>
      </c>
      <c r="I213" t="n">
        <v>0</v>
      </c>
      <c r="J213" t="n">
        <v>0</v>
      </c>
      <c r="K213" t="n">
        <v>0</v>
      </c>
      <c r="L213" t="n">
        <v>0</v>
      </c>
      <c r="M213" t="n">
        <v>0</v>
      </c>
      <c r="N213" t="n">
        <v>0</v>
      </c>
      <c r="O213" t="n">
        <v>0</v>
      </c>
      <c r="P213" t="n">
        <v>0</v>
      </c>
      <c r="Q213" t="n">
        <v>0</v>
      </c>
      <c r="R213" s="2" t="inlineStr"/>
    </row>
    <row r="214" ht="15" customHeight="1">
      <c r="A214" t="inlineStr">
        <is>
          <t>A 224-2024</t>
        </is>
      </c>
      <c r="B214" s="1" t="n">
        <v>45294</v>
      </c>
      <c r="C214" s="1" t="n">
        <v>46010</v>
      </c>
      <c r="D214" t="inlineStr">
        <is>
          <t>ÖSTERGÖTLANDS LÄN</t>
        </is>
      </c>
      <c r="E214" t="inlineStr">
        <is>
          <t>LINKÖPING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25418-2023</t>
        </is>
      </c>
      <c r="B215" s="1" t="n">
        <v>45089</v>
      </c>
      <c r="C215" s="1" t="n">
        <v>46010</v>
      </c>
      <c r="D215" t="inlineStr">
        <is>
          <t>ÖSTERGÖTLANDS LÄN</t>
        </is>
      </c>
      <c r="E215" t="inlineStr">
        <is>
          <t>LINKÖPING</t>
        </is>
      </c>
      <c r="F215" t="inlineStr">
        <is>
          <t>Övriga Aktiebolag</t>
        </is>
      </c>
      <c r="G215" t="n">
        <v>2.4</v>
      </c>
      <c r="H215" t="n">
        <v>0</v>
      </c>
      <c r="I215" t="n">
        <v>0</v>
      </c>
      <c r="J215" t="n">
        <v>0</v>
      </c>
      <c r="K215" t="n">
        <v>0</v>
      </c>
      <c r="L215" t="n">
        <v>0</v>
      </c>
      <c r="M215" t="n">
        <v>0</v>
      </c>
      <c r="N215" t="n">
        <v>0</v>
      </c>
      <c r="O215" t="n">
        <v>0</v>
      </c>
      <c r="P215" t="n">
        <v>0</v>
      </c>
      <c r="Q215" t="n">
        <v>0</v>
      </c>
      <c r="R215" s="2" t="inlineStr"/>
    </row>
    <row r="216" ht="15" customHeight="1">
      <c r="A216" t="inlineStr">
        <is>
          <t>A 34877-2023</t>
        </is>
      </c>
      <c r="B216" s="1" t="n">
        <v>45140</v>
      </c>
      <c r="C216" s="1" t="n">
        <v>46010</v>
      </c>
      <c r="D216" t="inlineStr">
        <is>
          <t>ÖSTERGÖTLANDS LÄN</t>
        </is>
      </c>
      <c r="E216" t="inlineStr">
        <is>
          <t>LINKÖPING</t>
        </is>
      </c>
      <c r="G216" t="n">
        <v>1.9</v>
      </c>
      <c r="H216" t="n">
        <v>0</v>
      </c>
      <c r="I216" t="n">
        <v>0</v>
      </c>
      <c r="J216" t="n">
        <v>0</v>
      </c>
      <c r="K216" t="n">
        <v>0</v>
      </c>
      <c r="L216" t="n">
        <v>0</v>
      </c>
      <c r="M216" t="n">
        <v>0</v>
      </c>
      <c r="N216" t="n">
        <v>0</v>
      </c>
      <c r="O216" t="n">
        <v>0</v>
      </c>
      <c r="P216" t="n">
        <v>0</v>
      </c>
      <c r="Q216" t="n">
        <v>0</v>
      </c>
      <c r="R216" s="2" t="inlineStr"/>
    </row>
    <row r="217" ht="15" customHeight="1">
      <c r="A217" t="inlineStr">
        <is>
          <t>A 52796-2023</t>
        </is>
      </c>
      <c r="B217" s="1" t="n">
        <v>45219</v>
      </c>
      <c r="C217" s="1" t="n">
        <v>46010</v>
      </c>
      <c r="D217" t="inlineStr">
        <is>
          <t>ÖSTERGÖTLANDS LÄN</t>
        </is>
      </c>
      <c r="E217" t="inlineStr">
        <is>
          <t>LINKÖPING</t>
        </is>
      </c>
      <c r="F217" t="inlineStr">
        <is>
          <t>Övriga statliga verk och myndigheter</t>
        </is>
      </c>
      <c r="G217" t="n">
        <v>3.9</v>
      </c>
      <c r="H217" t="n">
        <v>0</v>
      </c>
      <c r="I217" t="n">
        <v>0</v>
      </c>
      <c r="J217" t="n">
        <v>0</v>
      </c>
      <c r="K217" t="n">
        <v>0</v>
      </c>
      <c r="L217" t="n">
        <v>0</v>
      </c>
      <c r="M217" t="n">
        <v>0</v>
      </c>
      <c r="N217" t="n">
        <v>0</v>
      </c>
      <c r="O217" t="n">
        <v>0</v>
      </c>
      <c r="P217" t="n">
        <v>0</v>
      </c>
      <c r="Q217" t="n">
        <v>0</v>
      </c>
      <c r="R217" s="2" t="inlineStr"/>
    </row>
    <row r="218" ht="15" customHeight="1">
      <c r="A218" t="inlineStr">
        <is>
          <t>A 3008-2023</t>
        </is>
      </c>
      <c r="B218" s="1" t="n">
        <v>44945.79784722222</v>
      </c>
      <c r="C218" s="1" t="n">
        <v>46010</v>
      </c>
      <c r="D218" t="inlineStr">
        <is>
          <t>ÖSTERGÖTLANDS LÄN</t>
        </is>
      </c>
      <c r="E218" t="inlineStr">
        <is>
          <t>LINKÖPING</t>
        </is>
      </c>
      <c r="G218" t="n">
        <v>19.3</v>
      </c>
      <c r="H218" t="n">
        <v>0</v>
      </c>
      <c r="I218" t="n">
        <v>0</v>
      </c>
      <c r="J218" t="n">
        <v>0</v>
      </c>
      <c r="K218" t="n">
        <v>0</v>
      </c>
      <c r="L218" t="n">
        <v>0</v>
      </c>
      <c r="M218" t="n">
        <v>0</v>
      </c>
      <c r="N218" t="n">
        <v>0</v>
      </c>
      <c r="O218" t="n">
        <v>0</v>
      </c>
      <c r="P218" t="n">
        <v>0</v>
      </c>
      <c r="Q218" t="n">
        <v>0</v>
      </c>
      <c r="R218" s="2" t="inlineStr"/>
    </row>
    <row r="219" ht="15" customHeight="1">
      <c r="A219" t="inlineStr">
        <is>
          <t>A 30856-2022</t>
        </is>
      </c>
      <c r="B219" s="1" t="n">
        <v>44767</v>
      </c>
      <c r="C219" s="1" t="n">
        <v>46010</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30855-2022</t>
        </is>
      </c>
      <c r="B220" s="1" t="n">
        <v>44767</v>
      </c>
      <c r="C220" s="1" t="n">
        <v>46010</v>
      </c>
      <c r="D220" t="inlineStr">
        <is>
          <t>ÖSTERGÖTLANDS LÄN</t>
        </is>
      </c>
      <c r="E220" t="inlineStr">
        <is>
          <t>LINKÖPING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12035-2025</t>
        </is>
      </c>
      <c r="B221" s="1" t="n">
        <v>45728.64946759259</v>
      </c>
      <c r="C221" s="1" t="n">
        <v>46010</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57745-2022</t>
        </is>
      </c>
      <c r="B222" s="1" t="n">
        <v>44897.58119212963</v>
      </c>
      <c r="C222" s="1" t="n">
        <v>46010</v>
      </c>
      <c r="D222" t="inlineStr">
        <is>
          <t>ÖSTERGÖTLANDS LÄN</t>
        </is>
      </c>
      <c r="E222" t="inlineStr">
        <is>
          <t>LINKÖPING</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1993-2023</t>
        </is>
      </c>
      <c r="B223" s="1" t="n">
        <v>44939</v>
      </c>
      <c r="C223" s="1" t="n">
        <v>46010</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34889-2023</t>
        </is>
      </c>
      <c r="B224" s="1" t="n">
        <v>45140</v>
      </c>
      <c r="C224" s="1" t="n">
        <v>46010</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52220-2023</t>
        </is>
      </c>
      <c r="B225" s="1" t="n">
        <v>45217</v>
      </c>
      <c r="C225" s="1" t="n">
        <v>46010</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52225-2023</t>
        </is>
      </c>
      <c r="B226" s="1" t="n">
        <v>45217</v>
      </c>
      <c r="C226" s="1" t="n">
        <v>46010</v>
      </c>
      <c r="D226" t="inlineStr">
        <is>
          <t>ÖSTERGÖTLANDS LÄN</t>
        </is>
      </c>
      <c r="E226" t="inlineStr">
        <is>
          <t>LINKÖPING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22771-2024</t>
        </is>
      </c>
      <c r="B227" s="1" t="n">
        <v>45448.46574074074</v>
      </c>
      <c r="C227" s="1" t="n">
        <v>46010</v>
      </c>
      <c r="D227" t="inlineStr">
        <is>
          <t>ÖSTERGÖTLANDS LÄN</t>
        </is>
      </c>
      <c r="E227" t="inlineStr">
        <is>
          <t>LINKÖPING</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42832-2023</t>
        </is>
      </c>
      <c r="B228" s="1" t="n">
        <v>45182.38091435185</v>
      </c>
      <c r="C228" s="1" t="n">
        <v>46010</v>
      </c>
      <c r="D228" t="inlineStr">
        <is>
          <t>ÖSTERGÖTLANDS LÄN</t>
        </is>
      </c>
      <c r="E228" t="inlineStr">
        <is>
          <t>LINKÖPING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56560-2023</t>
        </is>
      </c>
      <c r="B229" s="1" t="n">
        <v>45238</v>
      </c>
      <c r="C229" s="1" t="n">
        <v>46010</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52412-2023</t>
        </is>
      </c>
      <c r="B230" s="1" t="n">
        <v>45225.27888888889</v>
      </c>
      <c r="C230" s="1" t="n">
        <v>46010</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52413-2023</t>
        </is>
      </c>
      <c r="B231" s="1" t="n">
        <v>45225.27950231481</v>
      </c>
      <c r="C231" s="1" t="n">
        <v>46010</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7354-2025</t>
        </is>
      </c>
      <c r="B232" s="1" t="n">
        <v>45704.41174768518</v>
      </c>
      <c r="C232" s="1" t="n">
        <v>46010</v>
      </c>
      <c r="D232" t="inlineStr">
        <is>
          <t>ÖSTERGÖTLANDS LÄN</t>
        </is>
      </c>
      <c r="E232" t="inlineStr">
        <is>
          <t>LINKÖPING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34928-2023</t>
        </is>
      </c>
      <c r="B233" s="1" t="n">
        <v>45142</v>
      </c>
      <c r="C233" s="1" t="n">
        <v>46010</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1263-2024</t>
        </is>
      </c>
      <c r="B234" s="1" t="n">
        <v>45302</v>
      </c>
      <c r="C234" s="1" t="n">
        <v>46010</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55945-2024</t>
        </is>
      </c>
      <c r="B235" s="1" t="n">
        <v>45623.61754629629</v>
      </c>
      <c r="C235" s="1" t="n">
        <v>46010</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52531-2023</t>
        </is>
      </c>
      <c r="B236" s="1" t="n">
        <v>45225</v>
      </c>
      <c r="C236" s="1" t="n">
        <v>46010</v>
      </c>
      <c r="D236" t="inlineStr">
        <is>
          <t>ÖSTERGÖTLANDS LÄN</t>
        </is>
      </c>
      <c r="E236" t="inlineStr">
        <is>
          <t>LINKÖPING</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20291-2025</t>
        </is>
      </c>
      <c r="B237" s="1" t="n">
        <v>45774.74288194445</v>
      </c>
      <c r="C237" s="1" t="n">
        <v>46010</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20293-2025</t>
        </is>
      </c>
      <c r="B238" s="1" t="n">
        <v>45774.74611111111</v>
      </c>
      <c r="C238" s="1" t="n">
        <v>46010</v>
      </c>
      <c r="D238" t="inlineStr">
        <is>
          <t>ÖSTERGÖTLANDS LÄN</t>
        </is>
      </c>
      <c r="E238" t="inlineStr">
        <is>
          <t>LINKÖPING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63665-2023</t>
        </is>
      </c>
      <c r="B239" s="1" t="n">
        <v>45275</v>
      </c>
      <c r="C239" s="1" t="n">
        <v>46010</v>
      </c>
      <c r="D239" t="inlineStr">
        <is>
          <t>ÖSTERGÖTLANDS LÄN</t>
        </is>
      </c>
      <c r="E239" t="inlineStr">
        <is>
          <t>LINKÖPING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33867-2023</t>
        </is>
      </c>
      <c r="B240" s="1" t="n">
        <v>45133.94640046296</v>
      </c>
      <c r="C240" s="1" t="n">
        <v>46010</v>
      </c>
      <c r="D240" t="inlineStr">
        <is>
          <t>ÖSTERGÖTLANDS LÄN</t>
        </is>
      </c>
      <c r="E240" t="inlineStr">
        <is>
          <t>LINKÖPING</t>
        </is>
      </c>
      <c r="G240" t="n">
        <v>2.3</v>
      </c>
      <c r="H240" t="n">
        <v>0</v>
      </c>
      <c r="I240" t="n">
        <v>0</v>
      </c>
      <c r="J240" t="n">
        <v>0</v>
      </c>
      <c r="K240" t="n">
        <v>0</v>
      </c>
      <c r="L240" t="n">
        <v>0</v>
      </c>
      <c r="M240" t="n">
        <v>0</v>
      </c>
      <c r="N240" t="n">
        <v>0</v>
      </c>
      <c r="O240" t="n">
        <v>0</v>
      </c>
      <c r="P240" t="n">
        <v>0</v>
      </c>
      <c r="Q240" t="n">
        <v>0</v>
      </c>
      <c r="R240" s="2" t="inlineStr"/>
    </row>
    <row r="241" ht="15" customHeight="1">
      <c r="A241" t="inlineStr">
        <is>
          <t>A 3041-2024</t>
        </is>
      </c>
      <c r="B241" s="1" t="n">
        <v>45316.34875</v>
      </c>
      <c r="C241" s="1" t="n">
        <v>46010</v>
      </c>
      <c r="D241" t="inlineStr">
        <is>
          <t>ÖSTERGÖTLANDS LÄN</t>
        </is>
      </c>
      <c r="E241" t="inlineStr">
        <is>
          <t>LINKÖPING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50963-2021</t>
        </is>
      </c>
      <c r="B242" s="1" t="n">
        <v>44460</v>
      </c>
      <c r="C242" s="1" t="n">
        <v>46010</v>
      </c>
      <c r="D242" t="inlineStr">
        <is>
          <t>ÖSTERGÖTLANDS LÄN</t>
        </is>
      </c>
      <c r="E242" t="inlineStr">
        <is>
          <t>LINKÖPING</t>
        </is>
      </c>
      <c r="G242" t="n">
        <v>4.4</v>
      </c>
      <c r="H242" t="n">
        <v>0</v>
      </c>
      <c r="I242" t="n">
        <v>0</v>
      </c>
      <c r="J242" t="n">
        <v>0</v>
      </c>
      <c r="K242" t="n">
        <v>0</v>
      </c>
      <c r="L242" t="n">
        <v>0</v>
      </c>
      <c r="M242" t="n">
        <v>0</v>
      </c>
      <c r="N242" t="n">
        <v>0</v>
      </c>
      <c r="O242" t="n">
        <v>0</v>
      </c>
      <c r="P242" t="n">
        <v>0</v>
      </c>
      <c r="Q242" t="n">
        <v>0</v>
      </c>
      <c r="R242" s="2" t="inlineStr"/>
    </row>
    <row r="243" ht="15" customHeight="1">
      <c r="A243" t="inlineStr">
        <is>
          <t>A 61307-2021</t>
        </is>
      </c>
      <c r="B243" s="1" t="n">
        <v>44498.63928240741</v>
      </c>
      <c r="C243" s="1" t="n">
        <v>46010</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61325-2021</t>
        </is>
      </c>
      <c r="B244" s="1" t="n">
        <v>44498.66814814815</v>
      </c>
      <c r="C244" s="1" t="n">
        <v>46010</v>
      </c>
      <c r="D244" t="inlineStr">
        <is>
          <t>ÖSTERGÖTLANDS LÄN</t>
        </is>
      </c>
      <c r="E244" t="inlineStr">
        <is>
          <t>LINKÖPING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29312-2024</t>
        </is>
      </c>
      <c r="B245" s="1" t="n">
        <v>45483</v>
      </c>
      <c r="C245" s="1" t="n">
        <v>46010</v>
      </c>
      <c r="D245" t="inlineStr">
        <is>
          <t>ÖSTERGÖTLANDS LÄN</t>
        </is>
      </c>
      <c r="E245" t="inlineStr">
        <is>
          <t>LINKÖPING</t>
        </is>
      </c>
      <c r="G245" t="n">
        <v>2.1</v>
      </c>
      <c r="H245" t="n">
        <v>0</v>
      </c>
      <c r="I245" t="n">
        <v>0</v>
      </c>
      <c r="J245" t="n">
        <v>0</v>
      </c>
      <c r="K245" t="n">
        <v>0</v>
      </c>
      <c r="L245" t="n">
        <v>0</v>
      </c>
      <c r="M245" t="n">
        <v>0</v>
      </c>
      <c r="N245" t="n">
        <v>0</v>
      </c>
      <c r="O245" t="n">
        <v>0</v>
      </c>
      <c r="P245" t="n">
        <v>0</v>
      </c>
      <c r="Q245" t="n">
        <v>0</v>
      </c>
      <c r="R245" s="2" t="inlineStr"/>
    </row>
    <row r="246" ht="15" customHeight="1">
      <c r="A246" t="inlineStr">
        <is>
          <t>A 23120-2025</t>
        </is>
      </c>
      <c r="B246" s="1" t="n">
        <v>45791.37481481482</v>
      </c>
      <c r="C246" s="1" t="n">
        <v>46010</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30985-2022</t>
        </is>
      </c>
      <c r="B247" s="1" t="n">
        <v>44768</v>
      </c>
      <c r="C247" s="1" t="n">
        <v>46010</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38317-2024</t>
        </is>
      </c>
      <c r="B248" s="1" t="n">
        <v>45545.65766203704</v>
      </c>
      <c r="C248" s="1" t="n">
        <v>46010</v>
      </c>
      <c r="D248" t="inlineStr">
        <is>
          <t>ÖSTERGÖTLANDS LÄN</t>
        </is>
      </c>
      <c r="E248" t="inlineStr">
        <is>
          <t>LINKÖPING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23768-2025</t>
        </is>
      </c>
      <c r="B249" s="1" t="n">
        <v>45793.47493055555</v>
      </c>
      <c r="C249" s="1" t="n">
        <v>46010</v>
      </c>
      <c r="D249" t="inlineStr">
        <is>
          <t>ÖSTERGÖTLANDS LÄN</t>
        </is>
      </c>
      <c r="E249" t="inlineStr">
        <is>
          <t>LINKÖPING</t>
        </is>
      </c>
      <c r="G249" t="n">
        <v>3.4</v>
      </c>
      <c r="H249" t="n">
        <v>0</v>
      </c>
      <c r="I249" t="n">
        <v>0</v>
      </c>
      <c r="J249" t="n">
        <v>0</v>
      </c>
      <c r="K249" t="n">
        <v>0</v>
      </c>
      <c r="L249" t="n">
        <v>0</v>
      </c>
      <c r="M249" t="n">
        <v>0</v>
      </c>
      <c r="N249" t="n">
        <v>0</v>
      </c>
      <c r="O249" t="n">
        <v>0</v>
      </c>
      <c r="P249" t="n">
        <v>0</v>
      </c>
      <c r="Q249" t="n">
        <v>0</v>
      </c>
      <c r="R249" s="2" t="inlineStr"/>
    </row>
    <row r="250" ht="15" customHeight="1">
      <c r="A250" t="inlineStr">
        <is>
          <t>A 3008-2023</t>
        </is>
      </c>
      <c r="B250" s="1" t="n">
        <v>44945.79784722222</v>
      </c>
      <c r="C250" s="1" t="n">
        <v>46010</v>
      </c>
      <c r="D250" t="inlineStr">
        <is>
          <t>ÖSTERGÖTLANDS LÄN</t>
        </is>
      </c>
      <c r="E250" t="inlineStr">
        <is>
          <t>LINKÖPING</t>
        </is>
      </c>
      <c r="G250" t="n">
        <v>19.3</v>
      </c>
      <c r="H250" t="n">
        <v>0</v>
      </c>
      <c r="I250" t="n">
        <v>0</v>
      </c>
      <c r="J250" t="n">
        <v>0</v>
      </c>
      <c r="K250" t="n">
        <v>0</v>
      </c>
      <c r="L250" t="n">
        <v>0</v>
      </c>
      <c r="M250" t="n">
        <v>0</v>
      </c>
      <c r="N250" t="n">
        <v>0</v>
      </c>
      <c r="O250" t="n">
        <v>0</v>
      </c>
      <c r="P250" t="n">
        <v>0</v>
      </c>
      <c r="Q250" t="n">
        <v>0</v>
      </c>
      <c r="R250" s="2" t="inlineStr"/>
    </row>
    <row r="251" ht="15" customHeight="1">
      <c r="A251" t="inlineStr">
        <is>
          <t>A 58947-2022</t>
        </is>
      </c>
      <c r="B251" s="1" t="n">
        <v>44903.64769675926</v>
      </c>
      <c r="C251" s="1" t="n">
        <v>46010</v>
      </c>
      <c r="D251" t="inlineStr">
        <is>
          <t>ÖSTERGÖTLANDS LÄN</t>
        </is>
      </c>
      <c r="E251" t="inlineStr">
        <is>
          <t>LINKÖPING</t>
        </is>
      </c>
      <c r="G251" t="n">
        <v>4</v>
      </c>
      <c r="H251" t="n">
        <v>0</v>
      </c>
      <c r="I251" t="n">
        <v>0</v>
      </c>
      <c r="J251" t="n">
        <v>0</v>
      </c>
      <c r="K251" t="n">
        <v>0</v>
      </c>
      <c r="L251" t="n">
        <v>0</v>
      </c>
      <c r="M251" t="n">
        <v>0</v>
      </c>
      <c r="N251" t="n">
        <v>0</v>
      </c>
      <c r="O251" t="n">
        <v>0</v>
      </c>
      <c r="P251" t="n">
        <v>0</v>
      </c>
      <c r="Q251" t="n">
        <v>0</v>
      </c>
      <c r="R251" s="2" t="inlineStr"/>
    </row>
    <row r="252" ht="15" customHeight="1">
      <c r="A252" t="inlineStr">
        <is>
          <t>A 39438-2025</t>
        </is>
      </c>
      <c r="B252" s="1" t="n">
        <v>45889.68641203704</v>
      </c>
      <c r="C252" s="1" t="n">
        <v>46010</v>
      </c>
      <c r="D252" t="inlineStr">
        <is>
          <t>ÖSTERGÖTLANDS LÄN</t>
        </is>
      </c>
      <c r="E252" t="inlineStr">
        <is>
          <t>LINKÖPING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27264-2025</t>
        </is>
      </c>
      <c r="B253" s="1" t="n">
        <v>45812.4794212963</v>
      </c>
      <c r="C253" s="1" t="n">
        <v>46010</v>
      </c>
      <c r="D253" t="inlineStr">
        <is>
          <t>ÖSTERGÖTLANDS LÄN</t>
        </is>
      </c>
      <c r="E253" t="inlineStr">
        <is>
          <t>LINKÖPING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16665-2023</t>
        </is>
      </c>
      <c r="B254" s="1" t="n">
        <v>45030.5583912037</v>
      </c>
      <c r="C254" s="1" t="n">
        <v>46010</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39074-2025</t>
        </is>
      </c>
      <c r="B255" s="1" t="n">
        <v>45888</v>
      </c>
      <c r="C255" s="1" t="n">
        <v>46010</v>
      </c>
      <c r="D255" t="inlineStr">
        <is>
          <t>ÖSTERGÖTLANDS LÄN</t>
        </is>
      </c>
      <c r="E255" t="inlineStr">
        <is>
          <t>LINKÖPING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72567-2021</t>
        </is>
      </c>
      <c r="B256" s="1" t="n">
        <v>44546.45023148148</v>
      </c>
      <c r="C256" s="1" t="n">
        <v>46010</v>
      </c>
      <c r="D256" t="inlineStr">
        <is>
          <t>ÖSTERGÖTLANDS LÄN</t>
        </is>
      </c>
      <c r="E256" t="inlineStr">
        <is>
          <t>LINKÖPING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48699-2024</t>
        </is>
      </c>
      <c r="B257" s="1" t="n">
        <v>45593.52091435185</v>
      </c>
      <c r="C257" s="1" t="n">
        <v>46010</v>
      </c>
      <c r="D257" t="inlineStr">
        <is>
          <t>ÖSTERGÖTLANDS LÄN</t>
        </is>
      </c>
      <c r="E257" t="inlineStr">
        <is>
          <t>LINKÖPING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60001-2022</t>
        </is>
      </c>
      <c r="B258" s="1" t="n">
        <v>44909.47087962963</v>
      </c>
      <c r="C258" s="1" t="n">
        <v>46010</v>
      </c>
      <c r="D258" t="inlineStr">
        <is>
          <t>ÖSTERGÖTLANDS LÄN</t>
        </is>
      </c>
      <c r="E258" t="inlineStr">
        <is>
          <t>LINKÖPING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60013-2022</t>
        </is>
      </c>
      <c r="B259" s="1" t="n">
        <v>44909.47482638889</v>
      </c>
      <c r="C259" s="1" t="n">
        <v>46010</v>
      </c>
      <c r="D259" t="inlineStr">
        <is>
          <t>ÖSTERGÖTLANDS LÄN</t>
        </is>
      </c>
      <c r="E259" t="inlineStr">
        <is>
          <t>LINKÖPING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1211-2023</t>
        </is>
      </c>
      <c r="B260" s="1" t="n">
        <v>44930</v>
      </c>
      <c r="C260" s="1" t="n">
        <v>46010</v>
      </c>
      <c r="D260" t="inlineStr">
        <is>
          <t>ÖSTERGÖTLANDS LÄN</t>
        </is>
      </c>
      <c r="E260" t="inlineStr">
        <is>
          <t>LINKÖPING</t>
        </is>
      </c>
      <c r="F260" t="inlineStr">
        <is>
          <t>Övriga statliga verk och myndigheter</t>
        </is>
      </c>
      <c r="G260" t="n">
        <v>7.9</v>
      </c>
      <c r="H260" t="n">
        <v>0</v>
      </c>
      <c r="I260" t="n">
        <v>0</v>
      </c>
      <c r="J260" t="n">
        <v>0</v>
      </c>
      <c r="K260" t="n">
        <v>0</v>
      </c>
      <c r="L260" t="n">
        <v>0</v>
      </c>
      <c r="M260" t="n">
        <v>0</v>
      </c>
      <c r="N260" t="n">
        <v>0</v>
      </c>
      <c r="O260" t="n">
        <v>0</v>
      </c>
      <c r="P260" t="n">
        <v>0</v>
      </c>
      <c r="Q260" t="n">
        <v>0</v>
      </c>
      <c r="R260" s="2" t="inlineStr"/>
    </row>
    <row r="261" ht="15" customHeight="1">
      <c r="A261" t="inlineStr">
        <is>
          <t>A 38136-2023</t>
        </is>
      </c>
      <c r="B261" s="1" t="n">
        <v>45161.37310185185</v>
      </c>
      <c r="C261" s="1" t="n">
        <v>46010</v>
      </c>
      <c r="D261" t="inlineStr">
        <is>
          <t>ÖSTERGÖTLANDS LÄN</t>
        </is>
      </c>
      <c r="E261" t="inlineStr">
        <is>
          <t>LINKÖPING</t>
        </is>
      </c>
      <c r="G261" t="n">
        <v>5.6</v>
      </c>
      <c r="H261" t="n">
        <v>0</v>
      </c>
      <c r="I261" t="n">
        <v>0</v>
      </c>
      <c r="J261" t="n">
        <v>0</v>
      </c>
      <c r="K261" t="n">
        <v>0</v>
      </c>
      <c r="L261" t="n">
        <v>0</v>
      </c>
      <c r="M261" t="n">
        <v>0</v>
      </c>
      <c r="N261" t="n">
        <v>0</v>
      </c>
      <c r="O261" t="n">
        <v>0</v>
      </c>
      <c r="P261" t="n">
        <v>0</v>
      </c>
      <c r="Q261" t="n">
        <v>0</v>
      </c>
      <c r="R261" s="2" t="inlineStr"/>
    </row>
    <row r="262" ht="15" customHeight="1">
      <c r="A262" t="inlineStr">
        <is>
          <t>A 13911-2025</t>
        </is>
      </c>
      <c r="B262" s="1" t="n">
        <v>45737.64784722222</v>
      </c>
      <c r="C262" s="1" t="n">
        <v>46010</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44280-2024</t>
        </is>
      </c>
      <c r="B263" s="1" t="n">
        <v>45573.49461805556</v>
      </c>
      <c r="C263" s="1" t="n">
        <v>46010</v>
      </c>
      <c r="D263" t="inlineStr">
        <is>
          <t>ÖSTERGÖTLANDS LÄN</t>
        </is>
      </c>
      <c r="E263" t="inlineStr">
        <is>
          <t>LINKÖPING</t>
        </is>
      </c>
      <c r="G263" t="n">
        <v>5.3</v>
      </c>
      <c r="H263" t="n">
        <v>0</v>
      </c>
      <c r="I263" t="n">
        <v>0</v>
      </c>
      <c r="J263" t="n">
        <v>0</v>
      </c>
      <c r="K263" t="n">
        <v>0</v>
      </c>
      <c r="L263" t="n">
        <v>0</v>
      </c>
      <c r="M263" t="n">
        <v>0</v>
      </c>
      <c r="N263" t="n">
        <v>0</v>
      </c>
      <c r="O263" t="n">
        <v>0</v>
      </c>
      <c r="P263" t="n">
        <v>0</v>
      </c>
      <c r="Q263" t="n">
        <v>0</v>
      </c>
      <c r="R263" s="2" t="inlineStr"/>
    </row>
    <row r="264" ht="15" customHeight="1">
      <c r="A264" t="inlineStr">
        <is>
          <t>A 12317-2025</t>
        </is>
      </c>
      <c r="B264" s="1" t="n">
        <v>45729.8487037037</v>
      </c>
      <c r="C264" s="1" t="n">
        <v>46010</v>
      </c>
      <c r="D264" t="inlineStr">
        <is>
          <t>ÖSTERGÖTLANDS LÄN</t>
        </is>
      </c>
      <c r="E264" t="inlineStr">
        <is>
          <t>LINKÖPING</t>
        </is>
      </c>
      <c r="G264" t="n">
        <v>8</v>
      </c>
      <c r="H264" t="n">
        <v>0</v>
      </c>
      <c r="I264" t="n">
        <v>0</v>
      </c>
      <c r="J264" t="n">
        <v>0</v>
      </c>
      <c r="K264" t="n">
        <v>0</v>
      </c>
      <c r="L264" t="n">
        <v>0</v>
      </c>
      <c r="M264" t="n">
        <v>0</v>
      </c>
      <c r="N264" t="n">
        <v>0</v>
      </c>
      <c r="O264" t="n">
        <v>0</v>
      </c>
      <c r="P264" t="n">
        <v>0</v>
      </c>
      <c r="Q264" t="n">
        <v>0</v>
      </c>
      <c r="R264" s="2" t="inlineStr"/>
    </row>
    <row r="265" ht="15" customHeight="1">
      <c r="A265" t="inlineStr">
        <is>
          <t>A 36557-2023</t>
        </is>
      </c>
      <c r="B265" s="1" t="n">
        <v>45153</v>
      </c>
      <c r="C265" s="1" t="n">
        <v>46010</v>
      </c>
      <c r="D265" t="inlineStr">
        <is>
          <t>ÖSTERGÖTLANDS LÄN</t>
        </is>
      </c>
      <c r="E265" t="inlineStr">
        <is>
          <t>LINKÖPING</t>
        </is>
      </c>
      <c r="F265" t="inlineStr">
        <is>
          <t>Övriga Aktiebolag</t>
        </is>
      </c>
      <c r="G265" t="n">
        <v>3.1</v>
      </c>
      <c r="H265" t="n">
        <v>0</v>
      </c>
      <c r="I265" t="n">
        <v>0</v>
      </c>
      <c r="J265" t="n">
        <v>0</v>
      </c>
      <c r="K265" t="n">
        <v>0</v>
      </c>
      <c r="L265" t="n">
        <v>0</v>
      </c>
      <c r="M265" t="n">
        <v>0</v>
      </c>
      <c r="N265" t="n">
        <v>0</v>
      </c>
      <c r="O265" t="n">
        <v>0</v>
      </c>
      <c r="P265" t="n">
        <v>0</v>
      </c>
      <c r="Q265" t="n">
        <v>0</v>
      </c>
      <c r="R265" s="2" t="inlineStr"/>
    </row>
    <row r="266" ht="15" customHeight="1">
      <c r="A266" t="inlineStr">
        <is>
          <t>A 2085-2024</t>
        </is>
      </c>
      <c r="B266" s="1" t="n">
        <v>45309</v>
      </c>
      <c r="C266" s="1" t="n">
        <v>46010</v>
      </c>
      <c r="D266" t="inlineStr">
        <is>
          <t>ÖSTERGÖTLANDS LÄN</t>
        </is>
      </c>
      <c r="E266" t="inlineStr">
        <is>
          <t>LINKÖPING</t>
        </is>
      </c>
      <c r="G266" t="n">
        <v>4.5</v>
      </c>
      <c r="H266" t="n">
        <v>0</v>
      </c>
      <c r="I266" t="n">
        <v>0</v>
      </c>
      <c r="J266" t="n">
        <v>0</v>
      </c>
      <c r="K266" t="n">
        <v>0</v>
      </c>
      <c r="L266" t="n">
        <v>0</v>
      </c>
      <c r="M266" t="n">
        <v>0</v>
      </c>
      <c r="N266" t="n">
        <v>0</v>
      </c>
      <c r="O266" t="n">
        <v>0</v>
      </c>
      <c r="P266" t="n">
        <v>0</v>
      </c>
      <c r="Q266" t="n">
        <v>0</v>
      </c>
      <c r="R266" s="2" t="inlineStr"/>
    </row>
    <row r="267" ht="15" customHeight="1">
      <c r="A267" t="inlineStr">
        <is>
          <t>A 40169-2025</t>
        </is>
      </c>
      <c r="B267" s="1" t="n">
        <v>45894.62824074074</v>
      </c>
      <c r="C267" s="1" t="n">
        <v>46010</v>
      </c>
      <c r="D267" t="inlineStr">
        <is>
          <t>ÖSTERGÖTLANDS LÄN</t>
        </is>
      </c>
      <c r="E267" t="inlineStr">
        <is>
          <t>LINKÖPING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30468-2023</t>
        </is>
      </c>
      <c r="B268" s="1" t="n">
        <v>45111.58732638889</v>
      </c>
      <c r="C268" s="1" t="n">
        <v>46010</v>
      </c>
      <c r="D268" t="inlineStr">
        <is>
          <t>ÖSTERGÖTLANDS LÄN</t>
        </is>
      </c>
      <c r="E268" t="inlineStr">
        <is>
          <t>LINKÖPING</t>
        </is>
      </c>
      <c r="G268" t="n">
        <v>10.1</v>
      </c>
      <c r="H268" t="n">
        <v>0</v>
      </c>
      <c r="I268" t="n">
        <v>0</v>
      </c>
      <c r="J268" t="n">
        <v>0</v>
      </c>
      <c r="K268" t="n">
        <v>0</v>
      </c>
      <c r="L268" t="n">
        <v>0</v>
      </c>
      <c r="M268" t="n">
        <v>0</v>
      </c>
      <c r="N268" t="n">
        <v>0</v>
      </c>
      <c r="O268" t="n">
        <v>0</v>
      </c>
      <c r="P268" t="n">
        <v>0</v>
      </c>
      <c r="Q268" t="n">
        <v>0</v>
      </c>
      <c r="R268" s="2" t="inlineStr"/>
    </row>
    <row r="269" ht="15" customHeight="1">
      <c r="A269" t="inlineStr">
        <is>
          <t>A 38715-2023</t>
        </is>
      </c>
      <c r="B269" s="1" t="n">
        <v>45160</v>
      </c>
      <c r="C269" s="1" t="n">
        <v>46010</v>
      </c>
      <c r="D269" t="inlineStr">
        <is>
          <t>ÖSTERGÖTLANDS LÄN</t>
        </is>
      </c>
      <c r="E269" t="inlineStr">
        <is>
          <t>LINKÖPING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34864-2023</t>
        </is>
      </c>
      <c r="B270" s="1" t="n">
        <v>45141</v>
      </c>
      <c r="C270" s="1" t="n">
        <v>46010</v>
      </c>
      <c r="D270" t="inlineStr">
        <is>
          <t>ÖSTERGÖTLANDS LÄN</t>
        </is>
      </c>
      <c r="E270" t="inlineStr">
        <is>
          <t>LINKÖPING</t>
        </is>
      </c>
      <c r="G270" t="n">
        <v>3.3</v>
      </c>
      <c r="H270" t="n">
        <v>0</v>
      </c>
      <c r="I270" t="n">
        <v>0</v>
      </c>
      <c r="J270" t="n">
        <v>0</v>
      </c>
      <c r="K270" t="n">
        <v>0</v>
      </c>
      <c r="L270" t="n">
        <v>0</v>
      </c>
      <c r="M270" t="n">
        <v>0</v>
      </c>
      <c r="N270" t="n">
        <v>0</v>
      </c>
      <c r="O270" t="n">
        <v>0</v>
      </c>
      <c r="P270" t="n">
        <v>0</v>
      </c>
      <c r="Q270" t="n">
        <v>0</v>
      </c>
      <c r="R270" s="2" t="inlineStr"/>
    </row>
    <row r="271" ht="15" customHeight="1">
      <c r="A271" t="inlineStr">
        <is>
          <t>A 46687-2021</t>
        </is>
      </c>
      <c r="B271" s="1" t="n">
        <v>44445</v>
      </c>
      <c r="C271" s="1" t="n">
        <v>46010</v>
      </c>
      <c r="D271" t="inlineStr">
        <is>
          <t>ÖSTERGÖTLANDS LÄN</t>
        </is>
      </c>
      <c r="E271" t="inlineStr">
        <is>
          <t>LINKÖPING</t>
        </is>
      </c>
      <c r="F271" t="inlineStr">
        <is>
          <t>Övriga statliga verk och myndigheter</t>
        </is>
      </c>
      <c r="G271" t="n">
        <v>2.3</v>
      </c>
      <c r="H271" t="n">
        <v>0</v>
      </c>
      <c r="I271" t="n">
        <v>0</v>
      </c>
      <c r="J271" t="n">
        <v>0</v>
      </c>
      <c r="K271" t="n">
        <v>0</v>
      </c>
      <c r="L271" t="n">
        <v>0</v>
      </c>
      <c r="M271" t="n">
        <v>0</v>
      </c>
      <c r="N271" t="n">
        <v>0</v>
      </c>
      <c r="O271" t="n">
        <v>0</v>
      </c>
      <c r="P271" t="n">
        <v>0</v>
      </c>
      <c r="Q271" t="n">
        <v>0</v>
      </c>
      <c r="R271" s="2" t="inlineStr"/>
    </row>
    <row r="272" ht="15" customHeight="1">
      <c r="A272" t="inlineStr">
        <is>
          <t>A 17103-2025</t>
        </is>
      </c>
      <c r="B272" s="1" t="n">
        <v>45755.66143518518</v>
      </c>
      <c r="C272" s="1" t="n">
        <v>46010</v>
      </c>
      <c r="D272" t="inlineStr">
        <is>
          <t>ÖSTERGÖTLANDS LÄN</t>
        </is>
      </c>
      <c r="E272" t="inlineStr">
        <is>
          <t>LINKÖPING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26002-2025</t>
        </is>
      </c>
      <c r="B273" s="1" t="n">
        <v>45804.66534722222</v>
      </c>
      <c r="C273" s="1" t="n">
        <v>46010</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40618-2021</t>
        </is>
      </c>
      <c r="B274" s="1" t="n">
        <v>44420.49575231481</v>
      </c>
      <c r="C274" s="1" t="n">
        <v>46010</v>
      </c>
      <c r="D274" t="inlineStr">
        <is>
          <t>ÖSTERGÖTLANDS LÄN</t>
        </is>
      </c>
      <c r="E274" t="inlineStr">
        <is>
          <t>LINKÖPING</t>
        </is>
      </c>
      <c r="G274" t="n">
        <v>2.3</v>
      </c>
      <c r="H274" t="n">
        <v>0</v>
      </c>
      <c r="I274" t="n">
        <v>0</v>
      </c>
      <c r="J274" t="n">
        <v>0</v>
      </c>
      <c r="K274" t="n">
        <v>0</v>
      </c>
      <c r="L274" t="n">
        <v>0</v>
      </c>
      <c r="M274" t="n">
        <v>0</v>
      </c>
      <c r="N274" t="n">
        <v>0</v>
      </c>
      <c r="O274" t="n">
        <v>0</v>
      </c>
      <c r="P274" t="n">
        <v>0</v>
      </c>
      <c r="Q274" t="n">
        <v>0</v>
      </c>
      <c r="R274" s="2" t="inlineStr"/>
    </row>
    <row r="275" ht="15" customHeight="1">
      <c r="A275" t="inlineStr">
        <is>
          <t>A 56180-2024</t>
        </is>
      </c>
      <c r="B275" s="1" t="n">
        <v>45624.56611111111</v>
      </c>
      <c r="C275" s="1" t="n">
        <v>46010</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25996-2025</t>
        </is>
      </c>
      <c r="B276" s="1" t="n">
        <v>45804.65851851852</v>
      </c>
      <c r="C276" s="1" t="n">
        <v>46010</v>
      </c>
      <c r="D276" t="inlineStr">
        <is>
          <t>ÖSTERGÖTLANDS LÄN</t>
        </is>
      </c>
      <c r="E276" t="inlineStr">
        <is>
          <t>LINKÖPING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30471-2023</t>
        </is>
      </c>
      <c r="B277" s="1" t="n">
        <v>45111.58931712963</v>
      </c>
      <c r="C277" s="1" t="n">
        <v>46010</v>
      </c>
      <c r="D277" t="inlineStr">
        <is>
          <t>ÖSTERGÖTLANDS LÄN</t>
        </is>
      </c>
      <c r="E277" t="inlineStr">
        <is>
          <t>LINKÖPING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227-2024</t>
        </is>
      </c>
      <c r="B278" s="1" t="n">
        <v>45294.73603009259</v>
      </c>
      <c r="C278" s="1" t="n">
        <v>46010</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44155-2024</t>
        </is>
      </c>
      <c r="B279" s="1" t="n">
        <v>45572.68226851852</v>
      </c>
      <c r="C279" s="1" t="n">
        <v>46010</v>
      </c>
      <c r="D279" t="inlineStr">
        <is>
          <t>ÖSTERGÖTLANDS LÄN</t>
        </is>
      </c>
      <c r="E279" t="inlineStr">
        <is>
          <t>LINKÖPING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30434-2024</t>
        </is>
      </c>
      <c r="B280" s="1" t="n">
        <v>45491.69811342593</v>
      </c>
      <c r="C280" s="1" t="n">
        <v>46010</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56917-2022</t>
        </is>
      </c>
      <c r="B281" s="1" t="n">
        <v>44894</v>
      </c>
      <c r="C281" s="1" t="n">
        <v>46010</v>
      </c>
      <c r="D281" t="inlineStr">
        <is>
          <t>ÖSTERGÖTLANDS LÄN</t>
        </is>
      </c>
      <c r="E281" t="inlineStr">
        <is>
          <t>LINKÖPING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57766-2023</t>
        </is>
      </c>
      <c r="B282" s="1" t="n">
        <v>45246</v>
      </c>
      <c r="C282" s="1" t="n">
        <v>46010</v>
      </c>
      <c r="D282" t="inlineStr">
        <is>
          <t>ÖSTERGÖTLANDS LÄN</t>
        </is>
      </c>
      <c r="E282" t="inlineStr">
        <is>
          <t>LINKÖPING</t>
        </is>
      </c>
      <c r="F282" t="inlineStr">
        <is>
          <t>Allmännings- och besparingsskogar</t>
        </is>
      </c>
      <c r="G282" t="n">
        <v>12.8</v>
      </c>
      <c r="H282" t="n">
        <v>0</v>
      </c>
      <c r="I282" t="n">
        <v>0</v>
      </c>
      <c r="J282" t="n">
        <v>0</v>
      </c>
      <c r="K282" t="n">
        <v>0</v>
      </c>
      <c r="L282" t="n">
        <v>0</v>
      </c>
      <c r="M282" t="n">
        <v>0</v>
      </c>
      <c r="N282" t="n">
        <v>0</v>
      </c>
      <c r="O282" t="n">
        <v>0</v>
      </c>
      <c r="P282" t="n">
        <v>0</v>
      </c>
      <c r="Q282" t="n">
        <v>0</v>
      </c>
      <c r="R282" s="2" t="inlineStr"/>
    </row>
    <row r="283" ht="15" customHeight="1">
      <c r="A283" t="inlineStr">
        <is>
          <t>A 25568-2024</t>
        </is>
      </c>
      <c r="B283" s="1" t="n">
        <v>45463.58699074074</v>
      </c>
      <c r="C283" s="1" t="n">
        <v>46010</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22833-2023</t>
        </is>
      </c>
      <c r="B284" s="1" t="n">
        <v>45071</v>
      </c>
      <c r="C284" s="1" t="n">
        <v>46010</v>
      </c>
      <c r="D284" t="inlineStr">
        <is>
          <t>ÖSTERGÖTLANDS LÄN</t>
        </is>
      </c>
      <c r="E284" t="inlineStr">
        <is>
          <t>LINKÖPING</t>
        </is>
      </c>
      <c r="F284" t="inlineStr">
        <is>
          <t>Kommuner</t>
        </is>
      </c>
      <c r="G284" t="n">
        <v>1</v>
      </c>
      <c r="H284" t="n">
        <v>0</v>
      </c>
      <c r="I284" t="n">
        <v>0</v>
      </c>
      <c r="J284" t="n">
        <v>0</v>
      </c>
      <c r="K284" t="n">
        <v>0</v>
      </c>
      <c r="L284" t="n">
        <v>0</v>
      </c>
      <c r="M284" t="n">
        <v>0</v>
      </c>
      <c r="N284" t="n">
        <v>0</v>
      </c>
      <c r="O284" t="n">
        <v>0</v>
      </c>
      <c r="P284" t="n">
        <v>0</v>
      </c>
      <c r="Q284" t="n">
        <v>0</v>
      </c>
      <c r="R284" s="2" t="inlineStr"/>
    </row>
    <row r="285" ht="15" customHeight="1">
      <c r="A285" t="inlineStr">
        <is>
          <t>A 41511-2025</t>
        </is>
      </c>
      <c r="B285" s="1" t="n">
        <v>45901.53839120371</v>
      </c>
      <c r="C285" s="1" t="n">
        <v>46010</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27950-2025</t>
        </is>
      </c>
      <c r="B286" s="1" t="n">
        <v>45817.52960648148</v>
      </c>
      <c r="C286" s="1" t="n">
        <v>46010</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2997-2025</t>
        </is>
      </c>
      <c r="B287" s="1" t="n">
        <v>45678.54631944445</v>
      </c>
      <c r="C287" s="1" t="n">
        <v>46010</v>
      </c>
      <c r="D287" t="inlineStr">
        <is>
          <t>ÖSTERGÖTLANDS LÄN</t>
        </is>
      </c>
      <c r="E287" t="inlineStr">
        <is>
          <t>LINKÖPING</t>
        </is>
      </c>
      <c r="G287" t="n">
        <v>2.7</v>
      </c>
      <c r="H287" t="n">
        <v>0</v>
      </c>
      <c r="I287" t="n">
        <v>0</v>
      </c>
      <c r="J287" t="n">
        <v>0</v>
      </c>
      <c r="K287" t="n">
        <v>0</v>
      </c>
      <c r="L287" t="n">
        <v>0</v>
      </c>
      <c r="M287" t="n">
        <v>0</v>
      </c>
      <c r="N287" t="n">
        <v>0</v>
      </c>
      <c r="O287" t="n">
        <v>0</v>
      </c>
      <c r="P287" t="n">
        <v>0</v>
      </c>
      <c r="Q287" t="n">
        <v>0</v>
      </c>
      <c r="R287" s="2" t="inlineStr"/>
    </row>
    <row r="288" ht="15" customHeight="1">
      <c r="A288" t="inlineStr">
        <is>
          <t>A 27797-2025</t>
        </is>
      </c>
      <c r="B288" s="1" t="n">
        <v>45816.80521990741</v>
      </c>
      <c r="C288" s="1" t="n">
        <v>46010</v>
      </c>
      <c r="D288" t="inlineStr">
        <is>
          <t>ÖSTERGÖTLANDS LÄN</t>
        </is>
      </c>
      <c r="E288" t="inlineStr">
        <is>
          <t>LINKÖPING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27798-2025</t>
        </is>
      </c>
      <c r="B289" s="1" t="n">
        <v>45816.81532407407</v>
      </c>
      <c r="C289" s="1" t="n">
        <v>46010</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28200-2025</t>
        </is>
      </c>
      <c r="B290" s="1" t="n">
        <v>45818.4428125</v>
      </c>
      <c r="C290" s="1" t="n">
        <v>46010</v>
      </c>
      <c r="D290" t="inlineStr">
        <is>
          <t>ÖSTERGÖTLANDS LÄN</t>
        </is>
      </c>
      <c r="E290" t="inlineStr">
        <is>
          <t>LINKÖPING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41345-2021</t>
        </is>
      </c>
      <c r="B291" s="1" t="n">
        <v>44424.61851851852</v>
      </c>
      <c r="C291" s="1" t="n">
        <v>46010</v>
      </c>
      <c r="D291" t="inlineStr">
        <is>
          <t>ÖSTERGÖTLANDS LÄN</t>
        </is>
      </c>
      <c r="E291" t="inlineStr">
        <is>
          <t>LINKÖPING</t>
        </is>
      </c>
      <c r="F291" t="inlineStr">
        <is>
          <t>Sveaskog</t>
        </is>
      </c>
      <c r="G291" t="n">
        <v>6.3</v>
      </c>
      <c r="H291" t="n">
        <v>0</v>
      </c>
      <c r="I291" t="n">
        <v>0</v>
      </c>
      <c r="J291" t="n">
        <v>0</v>
      </c>
      <c r="K291" t="n">
        <v>0</v>
      </c>
      <c r="L291" t="n">
        <v>0</v>
      </c>
      <c r="M291" t="n">
        <v>0</v>
      </c>
      <c r="N291" t="n">
        <v>0</v>
      </c>
      <c r="O291" t="n">
        <v>0</v>
      </c>
      <c r="P291" t="n">
        <v>0</v>
      </c>
      <c r="Q291" t="n">
        <v>0</v>
      </c>
      <c r="R291" s="2" t="inlineStr"/>
    </row>
    <row r="292" ht="15" customHeight="1">
      <c r="A292" t="inlineStr">
        <is>
          <t>A 28204-2025</t>
        </is>
      </c>
      <c r="B292" s="1" t="n">
        <v>45818.4477662037</v>
      </c>
      <c r="C292" s="1" t="n">
        <v>46010</v>
      </c>
      <c r="D292" t="inlineStr">
        <is>
          <t>ÖSTERGÖTLANDS LÄN</t>
        </is>
      </c>
      <c r="E292" t="inlineStr">
        <is>
          <t>LINKÖPING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13266-2025</t>
        </is>
      </c>
      <c r="B293" s="1" t="n">
        <v>45735.53318287037</v>
      </c>
      <c r="C293" s="1" t="n">
        <v>46010</v>
      </c>
      <c r="D293" t="inlineStr">
        <is>
          <t>ÖSTERGÖTLANDS LÄN</t>
        </is>
      </c>
      <c r="E293" t="inlineStr">
        <is>
          <t>LINKÖPING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28416-2025</t>
        </is>
      </c>
      <c r="B294" s="1" t="n">
        <v>45819.35346064815</v>
      </c>
      <c r="C294" s="1" t="n">
        <v>46010</v>
      </c>
      <c r="D294" t="inlineStr">
        <is>
          <t>ÖSTERGÖTLANDS LÄN</t>
        </is>
      </c>
      <c r="E294" t="inlineStr">
        <is>
          <t>LINKÖPING</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16213-2025</t>
        </is>
      </c>
      <c r="B295" s="1" t="n">
        <v>45750.62740740741</v>
      </c>
      <c r="C295" s="1" t="n">
        <v>46010</v>
      </c>
      <c r="D295" t="inlineStr">
        <is>
          <t>ÖSTERGÖTLANDS LÄN</t>
        </is>
      </c>
      <c r="E295" t="inlineStr">
        <is>
          <t>LINKÖPING</t>
        </is>
      </c>
      <c r="G295" t="n">
        <v>3.4</v>
      </c>
      <c r="H295" t="n">
        <v>0</v>
      </c>
      <c r="I295" t="n">
        <v>0</v>
      </c>
      <c r="J295" t="n">
        <v>0</v>
      </c>
      <c r="K295" t="n">
        <v>0</v>
      </c>
      <c r="L295" t="n">
        <v>0</v>
      </c>
      <c r="M295" t="n">
        <v>0</v>
      </c>
      <c r="N295" t="n">
        <v>0</v>
      </c>
      <c r="O295" t="n">
        <v>0</v>
      </c>
      <c r="P295" t="n">
        <v>0</v>
      </c>
      <c r="Q295" t="n">
        <v>0</v>
      </c>
      <c r="R295" s="2" t="inlineStr"/>
    </row>
    <row r="296" ht="15" customHeight="1">
      <c r="A296" t="inlineStr">
        <is>
          <t>A 41706-2025</t>
        </is>
      </c>
      <c r="B296" s="1" t="n">
        <v>45902.42209490741</v>
      </c>
      <c r="C296" s="1" t="n">
        <v>46010</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28398-2025</t>
        </is>
      </c>
      <c r="B297" s="1" t="n">
        <v>45819.34208333334</v>
      </c>
      <c r="C297" s="1" t="n">
        <v>46010</v>
      </c>
      <c r="D297" t="inlineStr">
        <is>
          <t>ÖSTERGÖTLANDS LÄN</t>
        </is>
      </c>
      <c r="E297" t="inlineStr">
        <is>
          <t>LINKÖPING</t>
        </is>
      </c>
      <c r="F297" t="inlineStr">
        <is>
          <t>Sveaskog</t>
        </is>
      </c>
      <c r="G297" t="n">
        <v>7.9</v>
      </c>
      <c r="H297" t="n">
        <v>0</v>
      </c>
      <c r="I297" t="n">
        <v>0</v>
      </c>
      <c r="J297" t="n">
        <v>0</v>
      </c>
      <c r="K297" t="n">
        <v>0</v>
      </c>
      <c r="L297" t="n">
        <v>0</v>
      </c>
      <c r="M297" t="n">
        <v>0</v>
      </c>
      <c r="N297" t="n">
        <v>0</v>
      </c>
      <c r="O297" t="n">
        <v>0</v>
      </c>
      <c r="P297" t="n">
        <v>0</v>
      </c>
      <c r="Q297" t="n">
        <v>0</v>
      </c>
      <c r="R297" s="2" t="inlineStr"/>
    </row>
    <row r="298" ht="15" customHeight="1">
      <c r="A298" t="inlineStr">
        <is>
          <t>A 28209-2025</t>
        </is>
      </c>
      <c r="B298" s="1" t="n">
        <v>45818.45112268518</v>
      </c>
      <c r="C298" s="1" t="n">
        <v>46010</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3042-2024</t>
        </is>
      </c>
      <c r="B299" s="1" t="n">
        <v>45316.35028935185</v>
      </c>
      <c r="C299" s="1" t="n">
        <v>46010</v>
      </c>
      <c r="D299" t="inlineStr">
        <is>
          <t>ÖSTERGÖTLANDS LÄN</t>
        </is>
      </c>
      <c r="E299" t="inlineStr">
        <is>
          <t>LINKÖPING</t>
        </is>
      </c>
      <c r="G299" t="n">
        <v>3.1</v>
      </c>
      <c r="H299" t="n">
        <v>0</v>
      </c>
      <c r="I299" t="n">
        <v>0</v>
      </c>
      <c r="J299" t="n">
        <v>0</v>
      </c>
      <c r="K299" t="n">
        <v>0</v>
      </c>
      <c r="L299" t="n">
        <v>0</v>
      </c>
      <c r="M299" t="n">
        <v>0</v>
      </c>
      <c r="N299" t="n">
        <v>0</v>
      </c>
      <c r="O299" t="n">
        <v>0</v>
      </c>
      <c r="P299" t="n">
        <v>0</v>
      </c>
      <c r="Q299" t="n">
        <v>0</v>
      </c>
      <c r="R299" s="2" t="inlineStr"/>
    </row>
    <row r="300" ht="15" customHeight="1">
      <c r="A300" t="inlineStr">
        <is>
          <t>A 29027-2025</t>
        </is>
      </c>
      <c r="B300" s="1" t="n">
        <v>45821.4375462963</v>
      </c>
      <c r="C300" s="1" t="n">
        <v>46010</v>
      </c>
      <c r="D300" t="inlineStr">
        <is>
          <t>ÖSTERGÖTLANDS LÄN</t>
        </is>
      </c>
      <c r="E300" t="inlineStr">
        <is>
          <t>LINKÖPING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46225-2021</t>
        </is>
      </c>
      <c r="B301" s="1" t="n">
        <v>44442</v>
      </c>
      <c r="C301" s="1" t="n">
        <v>46010</v>
      </c>
      <c r="D301" t="inlineStr">
        <is>
          <t>ÖSTERGÖTLANDS LÄN</t>
        </is>
      </c>
      <c r="E301" t="inlineStr">
        <is>
          <t>LINKÖPING</t>
        </is>
      </c>
      <c r="G301" t="n">
        <v>2.9</v>
      </c>
      <c r="H301" t="n">
        <v>0</v>
      </c>
      <c r="I301" t="n">
        <v>0</v>
      </c>
      <c r="J301" t="n">
        <v>0</v>
      </c>
      <c r="K301" t="n">
        <v>0</v>
      </c>
      <c r="L301" t="n">
        <v>0</v>
      </c>
      <c r="M301" t="n">
        <v>0</v>
      </c>
      <c r="N301" t="n">
        <v>0</v>
      </c>
      <c r="O301" t="n">
        <v>0</v>
      </c>
      <c r="P301" t="n">
        <v>0</v>
      </c>
      <c r="Q301" t="n">
        <v>0</v>
      </c>
      <c r="R301" s="2" t="inlineStr"/>
    </row>
    <row r="302" ht="15" customHeight="1">
      <c r="A302" t="inlineStr">
        <is>
          <t>A 25776-2021</t>
        </is>
      </c>
      <c r="B302" s="1" t="n">
        <v>44343</v>
      </c>
      <c r="C302" s="1" t="n">
        <v>46010</v>
      </c>
      <c r="D302" t="inlineStr">
        <is>
          <t>ÖSTERGÖTLANDS LÄN</t>
        </is>
      </c>
      <c r="E302" t="inlineStr">
        <is>
          <t>LINKÖPING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29411-2025</t>
        </is>
      </c>
      <c r="B303" s="1" t="n">
        <v>45824.6219212963</v>
      </c>
      <c r="C303" s="1" t="n">
        <v>46010</v>
      </c>
      <c r="D303" t="inlineStr">
        <is>
          <t>ÖSTERGÖTLANDS LÄN</t>
        </is>
      </c>
      <c r="E303" t="inlineStr">
        <is>
          <t>LINKÖPING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51484-2023</t>
        </is>
      </c>
      <c r="B304" s="1" t="n">
        <v>45222</v>
      </c>
      <c r="C304" s="1" t="n">
        <v>46010</v>
      </c>
      <c r="D304" t="inlineStr">
        <is>
          <t>ÖSTERGÖTLANDS LÄN</t>
        </is>
      </c>
      <c r="E304" t="inlineStr">
        <is>
          <t>LINKÖPING</t>
        </is>
      </c>
      <c r="F304" t="inlineStr">
        <is>
          <t>Övriga Aktiebolag</t>
        </is>
      </c>
      <c r="G304" t="n">
        <v>7.7</v>
      </c>
      <c r="H304" t="n">
        <v>0</v>
      </c>
      <c r="I304" t="n">
        <v>0</v>
      </c>
      <c r="J304" t="n">
        <v>0</v>
      </c>
      <c r="K304" t="n">
        <v>0</v>
      </c>
      <c r="L304" t="n">
        <v>0</v>
      </c>
      <c r="M304" t="n">
        <v>0</v>
      </c>
      <c r="N304" t="n">
        <v>0</v>
      </c>
      <c r="O304" t="n">
        <v>0</v>
      </c>
      <c r="P304" t="n">
        <v>0</v>
      </c>
      <c r="Q304" t="n">
        <v>0</v>
      </c>
      <c r="R304" s="2" t="inlineStr"/>
    </row>
    <row r="305" ht="15" customHeight="1">
      <c r="A305" t="inlineStr">
        <is>
          <t>A 29393-2025</t>
        </is>
      </c>
      <c r="B305" s="1" t="n">
        <v>45824.6057175926</v>
      </c>
      <c r="C305" s="1" t="n">
        <v>46010</v>
      </c>
      <c r="D305" t="inlineStr">
        <is>
          <t>ÖSTERGÖTLANDS LÄN</t>
        </is>
      </c>
      <c r="E305" t="inlineStr">
        <is>
          <t>LINKÖPING</t>
        </is>
      </c>
      <c r="F305" t="inlineStr">
        <is>
          <t>Sveaskog</t>
        </is>
      </c>
      <c r="G305" t="n">
        <v>24.6</v>
      </c>
      <c r="H305" t="n">
        <v>0</v>
      </c>
      <c r="I305" t="n">
        <v>0</v>
      </c>
      <c r="J305" t="n">
        <v>0</v>
      </c>
      <c r="K305" t="n">
        <v>0</v>
      </c>
      <c r="L305" t="n">
        <v>0</v>
      </c>
      <c r="M305" t="n">
        <v>0</v>
      </c>
      <c r="N305" t="n">
        <v>0</v>
      </c>
      <c r="O305" t="n">
        <v>0</v>
      </c>
      <c r="P305" t="n">
        <v>0</v>
      </c>
      <c r="Q305" t="n">
        <v>0</v>
      </c>
      <c r="R305" s="2" t="inlineStr"/>
    </row>
    <row r="306" ht="15" customHeight="1">
      <c r="A306" t="inlineStr">
        <is>
          <t>A 17898-2022</t>
        </is>
      </c>
      <c r="B306" s="1" t="n">
        <v>44683</v>
      </c>
      <c r="C306" s="1" t="n">
        <v>46010</v>
      </c>
      <c r="D306" t="inlineStr">
        <is>
          <t>ÖSTERGÖTLANDS LÄN</t>
        </is>
      </c>
      <c r="E306" t="inlineStr">
        <is>
          <t>LINKÖPING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29293-2025</t>
        </is>
      </c>
      <c r="B307" s="1" t="n">
        <v>45824</v>
      </c>
      <c r="C307" s="1" t="n">
        <v>46010</v>
      </c>
      <c r="D307" t="inlineStr">
        <is>
          <t>ÖSTERGÖTLANDS LÄN</t>
        </is>
      </c>
      <c r="E307" t="inlineStr">
        <is>
          <t>LINKÖPING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29599-2025</t>
        </is>
      </c>
      <c r="B308" s="1" t="n">
        <v>45825.41101851852</v>
      </c>
      <c r="C308" s="1" t="n">
        <v>46010</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42624-2025</t>
        </is>
      </c>
      <c r="B309" s="1" t="n">
        <v>45905</v>
      </c>
      <c r="C309" s="1" t="n">
        <v>46010</v>
      </c>
      <c r="D309" t="inlineStr">
        <is>
          <t>ÖSTERGÖTLANDS LÄN</t>
        </is>
      </c>
      <c r="E309" t="inlineStr">
        <is>
          <t>LINKÖPING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42626-2025</t>
        </is>
      </c>
      <c r="B310" s="1" t="n">
        <v>45905</v>
      </c>
      <c r="C310" s="1" t="n">
        <v>46010</v>
      </c>
      <c r="D310" t="inlineStr">
        <is>
          <t>ÖSTERGÖTLANDS LÄN</t>
        </is>
      </c>
      <c r="E310" t="inlineStr">
        <is>
          <t>LINKÖPING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63487-2023</t>
        </is>
      </c>
      <c r="B311" s="1" t="n">
        <v>45274.66712962963</v>
      </c>
      <c r="C311" s="1" t="n">
        <v>46010</v>
      </c>
      <c r="D311" t="inlineStr">
        <is>
          <t>ÖSTERGÖTLANDS LÄN</t>
        </is>
      </c>
      <c r="E311" t="inlineStr">
        <is>
          <t>LINKÖPING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35463-2023</t>
        </is>
      </c>
      <c r="B312" s="1" t="n">
        <v>45146</v>
      </c>
      <c r="C312" s="1" t="n">
        <v>46010</v>
      </c>
      <c r="D312" t="inlineStr">
        <is>
          <t>ÖSTERGÖTLANDS LÄN</t>
        </is>
      </c>
      <c r="E312" t="inlineStr">
        <is>
          <t>LINKÖPING</t>
        </is>
      </c>
      <c r="F312" t="inlineStr">
        <is>
          <t>Övriga Aktiebolag</t>
        </is>
      </c>
      <c r="G312" t="n">
        <v>1.8</v>
      </c>
      <c r="H312" t="n">
        <v>0</v>
      </c>
      <c r="I312" t="n">
        <v>0</v>
      </c>
      <c r="J312" t="n">
        <v>0</v>
      </c>
      <c r="K312" t="n">
        <v>0</v>
      </c>
      <c r="L312" t="n">
        <v>0</v>
      </c>
      <c r="M312" t="n">
        <v>0</v>
      </c>
      <c r="N312" t="n">
        <v>0</v>
      </c>
      <c r="O312" t="n">
        <v>0</v>
      </c>
      <c r="P312" t="n">
        <v>0</v>
      </c>
      <c r="Q312" t="n">
        <v>0</v>
      </c>
      <c r="R312" s="2" t="inlineStr"/>
    </row>
    <row r="313" ht="15" customHeight="1">
      <c r="A313" t="inlineStr">
        <is>
          <t>A 42623-2025</t>
        </is>
      </c>
      <c r="B313" s="1" t="n">
        <v>45905</v>
      </c>
      <c r="C313" s="1" t="n">
        <v>46010</v>
      </c>
      <c r="D313" t="inlineStr">
        <is>
          <t>ÖSTERGÖTLANDS LÄN</t>
        </is>
      </c>
      <c r="E313" t="inlineStr">
        <is>
          <t>LINKÖPING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30355-2025</t>
        </is>
      </c>
      <c r="B314" s="1" t="n">
        <v>45827</v>
      </c>
      <c r="C314" s="1" t="n">
        <v>46010</v>
      </c>
      <c r="D314" t="inlineStr">
        <is>
          <t>ÖSTERGÖTLANDS LÄN</t>
        </is>
      </c>
      <c r="E314" t="inlineStr">
        <is>
          <t>LINKÖPING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30353-2025</t>
        </is>
      </c>
      <c r="B315" s="1" t="n">
        <v>45827</v>
      </c>
      <c r="C315" s="1" t="n">
        <v>46010</v>
      </c>
      <c r="D315" t="inlineStr">
        <is>
          <t>ÖSTERGÖTLANDS LÄN</t>
        </is>
      </c>
      <c r="E315" t="inlineStr">
        <is>
          <t>LINKÖPING</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55632-2022</t>
        </is>
      </c>
      <c r="B316" s="1" t="n">
        <v>44888</v>
      </c>
      <c r="C316" s="1" t="n">
        <v>46010</v>
      </c>
      <c r="D316" t="inlineStr">
        <is>
          <t>ÖSTERGÖTLANDS LÄN</t>
        </is>
      </c>
      <c r="E316" t="inlineStr">
        <is>
          <t>LINKÖPING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63559-2023</t>
        </is>
      </c>
      <c r="B317" s="1" t="n">
        <v>45275.35924768518</v>
      </c>
      <c r="C317" s="1" t="n">
        <v>46010</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58114-2021</t>
        </is>
      </c>
      <c r="B318" s="1" t="n">
        <v>44487</v>
      </c>
      <c r="C318" s="1" t="n">
        <v>46010</v>
      </c>
      <c r="D318" t="inlineStr">
        <is>
          <t>ÖSTERGÖTLANDS LÄN</t>
        </is>
      </c>
      <c r="E318" t="inlineStr">
        <is>
          <t>LINKÖPING</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55944-2024</t>
        </is>
      </c>
      <c r="B319" s="1" t="n">
        <v>45623.61640046296</v>
      </c>
      <c r="C319" s="1" t="n">
        <v>46010</v>
      </c>
      <c r="D319" t="inlineStr">
        <is>
          <t>ÖSTERGÖTLANDS LÄN</t>
        </is>
      </c>
      <c r="E319" t="inlineStr">
        <is>
          <t>LINKÖPING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55947-2024</t>
        </is>
      </c>
      <c r="B320" s="1" t="n">
        <v>45623</v>
      </c>
      <c r="C320" s="1" t="n">
        <v>46010</v>
      </c>
      <c r="D320" t="inlineStr">
        <is>
          <t>ÖSTERGÖTLANDS LÄN</t>
        </is>
      </c>
      <c r="E320" t="inlineStr">
        <is>
          <t>LINKÖPING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3374-2023</t>
        </is>
      </c>
      <c r="B321" s="1" t="n">
        <v>44949</v>
      </c>
      <c r="C321" s="1" t="n">
        <v>46010</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24151-2024</t>
        </is>
      </c>
      <c r="B322" s="1" t="n">
        <v>45456.67717592593</v>
      </c>
      <c r="C322" s="1" t="n">
        <v>46010</v>
      </c>
      <c r="D322" t="inlineStr">
        <is>
          <t>ÖSTERGÖTLANDS LÄN</t>
        </is>
      </c>
      <c r="E322" t="inlineStr">
        <is>
          <t>LINKÖPING</t>
        </is>
      </c>
      <c r="G322" t="n">
        <v>2.1</v>
      </c>
      <c r="H322" t="n">
        <v>0</v>
      </c>
      <c r="I322" t="n">
        <v>0</v>
      </c>
      <c r="J322" t="n">
        <v>0</v>
      </c>
      <c r="K322" t="n">
        <v>0</v>
      </c>
      <c r="L322" t="n">
        <v>0</v>
      </c>
      <c r="M322" t="n">
        <v>0</v>
      </c>
      <c r="N322" t="n">
        <v>0</v>
      </c>
      <c r="O322" t="n">
        <v>0</v>
      </c>
      <c r="P322" t="n">
        <v>0</v>
      </c>
      <c r="Q322" t="n">
        <v>0</v>
      </c>
      <c r="R322" s="2" t="inlineStr"/>
    </row>
    <row r="323" ht="15" customHeight="1">
      <c r="A323" t="inlineStr">
        <is>
          <t>A 31581-2025</t>
        </is>
      </c>
      <c r="B323" s="1" t="n">
        <v>45833.6840162037</v>
      </c>
      <c r="C323" s="1" t="n">
        <v>46010</v>
      </c>
      <c r="D323" t="inlineStr">
        <is>
          <t>ÖSTERGÖTLANDS LÄN</t>
        </is>
      </c>
      <c r="E323" t="inlineStr">
        <is>
          <t>LINKÖPING</t>
        </is>
      </c>
      <c r="G323" t="n">
        <v>2.6</v>
      </c>
      <c r="H323" t="n">
        <v>0</v>
      </c>
      <c r="I323" t="n">
        <v>0</v>
      </c>
      <c r="J323" t="n">
        <v>0</v>
      </c>
      <c r="K323" t="n">
        <v>0</v>
      </c>
      <c r="L323" t="n">
        <v>0</v>
      </c>
      <c r="M323" t="n">
        <v>0</v>
      </c>
      <c r="N323" t="n">
        <v>0</v>
      </c>
      <c r="O323" t="n">
        <v>0</v>
      </c>
      <c r="P323" t="n">
        <v>0</v>
      </c>
      <c r="Q323" t="n">
        <v>0</v>
      </c>
      <c r="R323" s="2" t="inlineStr"/>
    </row>
    <row r="324" ht="15" customHeight="1">
      <c r="A324" t="inlineStr">
        <is>
          <t>A 31585-2025</t>
        </is>
      </c>
      <c r="B324" s="1" t="n">
        <v>45833.68815972222</v>
      </c>
      <c r="C324" s="1" t="n">
        <v>46010</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14576-2023</t>
        </is>
      </c>
      <c r="B325" s="1" t="n">
        <v>45013</v>
      </c>
      <c r="C325" s="1" t="n">
        <v>46010</v>
      </c>
      <c r="D325" t="inlineStr">
        <is>
          <t>ÖSTERGÖTLANDS LÄN</t>
        </is>
      </c>
      <c r="E325" t="inlineStr">
        <is>
          <t>LINKÖPING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44170-2025</t>
        </is>
      </c>
      <c r="B326" s="1" t="n">
        <v>45915.59864583334</v>
      </c>
      <c r="C326" s="1" t="n">
        <v>46010</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74160-2021</t>
        </is>
      </c>
      <c r="B327" s="1" t="n">
        <v>44558</v>
      </c>
      <c r="C327" s="1" t="n">
        <v>46010</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43755-2025</t>
        </is>
      </c>
      <c r="B328" s="1" t="n">
        <v>45912.47329861111</v>
      </c>
      <c r="C328" s="1" t="n">
        <v>46010</v>
      </c>
      <c r="D328" t="inlineStr">
        <is>
          <t>ÖSTERGÖTLANDS LÄN</t>
        </is>
      </c>
      <c r="E328" t="inlineStr">
        <is>
          <t>LINKÖPING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43758-2025</t>
        </is>
      </c>
      <c r="B329" s="1" t="n">
        <v>45912.47711805555</v>
      </c>
      <c r="C329" s="1" t="n">
        <v>46010</v>
      </c>
      <c r="D329" t="inlineStr">
        <is>
          <t>ÖSTERGÖTLANDS LÄN</t>
        </is>
      </c>
      <c r="E329" t="inlineStr">
        <is>
          <t>LINKÖPING</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43753-2025</t>
        </is>
      </c>
      <c r="B330" s="1" t="n">
        <v>45912.4715625</v>
      </c>
      <c r="C330" s="1" t="n">
        <v>46010</v>
      </c>
      <c r="D330" t="inlineStr">
        <is>
          <t>ÖSTERGÖTLANDS LÄN</t>
        </is>
      </c>
      <c r="E330" t="inlineStr">
        <is>
          <t>LINKÖPING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32723-2025</t>
        </is>
      </c>
      <c r="B331" s="1" t="n">
        <v>45838</v>
      </c>
      <c r="C331" s="1" t="n">
        <v>46010</v>
      </c>
      <c r="D331" t="inlineStr">
        <is>
          <t>ÖSTERGÖTLANDS LÄN</t>
        </is>
      </c>
      <c r="E331" t="inlineStr">
        <is>
          <t>LINKÖPING</t>
        </is>
      </c>
      <c r="G331" t="n">
        <v>2.1</v>
      </c>
      <c r="H331" t="n">
        <v>0</v>
      </c>
      <c r="I331" t="n">
        <v>0</v>
      </c>
      <c r="J331" t="n">
        <v>0</v>
      </c>
      <c r="K331" t="n">
        <v>0</v>
      </c>
      <c r="L331" t="n">
        <v>0</v>
      </c>
      <c r="M331" t="n">
        <v>0</v>
      </c>
      <c r="N331" t="n">
        <v>0</v>
      </c>
      <c r="O331" t="n">
        <v>0</v>
      </c>
      <c r="P331" t="n">
        <v>0</v>
      </c>
      <c r="Q331" t="n">
        <v>0</v>
      </c>
      <c r="R331" s="2" t="inlineStr"/>
    </row>
    <row r="332" ht="15" customHeight="1">
      <c r="A332" t="inlineStr">
        <is>
          <t>A 44759-2025</t>
        </is>
      </c>
      <c r="B332" s="1" t="n">
        <v>45917.7152662037</v>
      </c>
      <c r="C332" s="1" t="n">
        <v>46010</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27766-2022</t>
        </is>
      </c>
      <c r="B333" s="1" t="n">
        <v>44743.53112268518</v>
      </c>
      <c r="C333" s="1" t="n">
        <v>46010</v>
      </c>
      <c r="D333" t="inlineStr">
        <is>
          <t>ÖSTERGÖTLANDS LÄN</t>
        </is>
      </c>
      <c r="E333" t="inlineStr">
        <is>
          <t>LINKÖPING</t>
        </is>
      </c>
      <c r="G333" t="n">
        <v>2</v>
      </c>
      <c r="H333" t="n">
        <v>0</v>
      </c>
      <c r="I333" t="n">
        <v>0</v>
      </c>
      <c r="J333" t="n">
        <v>0</v>
      </c>
      <c r="K333" t="n">
        <v>0</v>
      </c>
      <c r="L333" t="n">
        <v>0</v>
      </c>
      <c r="M333" t="n">
        <v>0</v>
      </c>
      <c r="N333" t="n">
        <v>0</v>
      </c>
      <c r="O333" t="n">
        <v>0</v>
      </c>
      <c r="P333" t="n">
        <v>0</v>
      </c>
      <c r="Q333" t="n">
        <v>0</v>
      </c>
      <c r="R333" s="2" t="inlineStr"/>
    </row>
    <row r="334" ht="15" customHeight="1">
      <c r="A334" t="inlineStr">
        <is>
          <t>A 53641-2023</t>
        </is>
      </c>
      <c r="B334" s="1" t="n">
        <v>45230</v>
      </c>
      <c r="C334" s="1" t="n">
        <v>46010</v>
      </c>
      <c r="D334" t="inlineStr">
        <is>
          <t>ÖSTERGÖTLANDS LÄN</t>
        </is>
      </c>
      <c r="E334" t="inlineStr">
        <is>
          <t>LINKÖPING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33000-2023</t>
        </is>
      </c>
      <c r="B335" s="1" t="n">
        <v>45125</v>
      </c>
      <c r="C335" s="1" t="n">
        <v>46010</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52892-2024</t>
        </is>
      </c>
      <c r="B336" s="1" t="n">
        <v>45610</v>
      </c>
      <c r="C336" s="1" t="n">
        <v>46010</v>
      </c>
      <c r="D336" t="inlineStr">
        <is>
          <t>ÖSTERGÖTLANDS LÄN</t>
        </is>
      </c>
      <c r="E336" t="inlineStr">
        <is>
          <t>LINKÖPING</t>
        </is>
      </c>
      <c r="G336" t="n">
        <v>4.2</v>
      </c>
      <c r="H336" t="n">
        <v>0</v>
      </c>
      <c r="I336" t="n">
        <v>0</v>
      </c>
      <c r="J336" t="n">
        <v>0</v>
      </c>
      <c r="K336" t="n">
        <v>0</v>
      </c>
      <c r="L336" t="n">
        <v>0</v>
      </c>
      <c r="M336" t="n">
        <v>0</v>
      </c>
      <c r="N336" t="n">
        <v>0</v>
      </c>
      <c r="O336" t="n">
        <v>0</v>
      </c>
      <c r="P336" t="n">
        <v>0</v>
      </c>
      <c r="Q336" t="n">
        <v>0</v>
      </c>
      <c r="R336" s="2" t="inlineStr"/>
    </row>
    <row r="337" ht="15" customHeight="1">
      <c r="A337" t="inlineStr">
        <is>
          <t>A 44764-2025</t>
        </is>
      </c>
      <c r="B337" s="1" t="n">
        <v>45917.72821759259</v>
      </c>
      <c r="C337" s="1" t="n">
        <v>46010</v>
      </c>
      <c r="D337" t="inlineStr">
        <is>
          <t>ÖSTERGÖTLANDS LÄN</t>
        </is>
      </c>
      <c r="E337" t="inlineStr">
        <is>
          <t>LINKÖPING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30521-2024</t>
        </is>
      </c>
      <c r="B338" s="1" t="n">
        <v>45492</v>
      </c>
      <c r="C338" s="1" t="n">
        <v>46010</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51191-2022</t>
        </is>
      </c>
      <c r="B339" s="1" t="n">
        <v>44865</v>
      </c>
      <c r="C339" s="1" t="n">
        <v>46010</v>
      </c>
      <c r="D339" t="inlineStr">
        <is>
          <t>ÖSTERGÖTLANDS LÄN</t>
        </is>
      </c>
      <c r="E339" t="inlineStr">
        <is>
          <t>LINKÖPING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12289-2025</t>
        </is>
      </c>
      <c r="B340" s="1" t="n">
        <v>45729</v>
      </c>
      <c r="C340" s="1" t="n">
        <v>46010</v>
      </c>
      <c r="D340" t="inlineStr">
        <is>
          <t>ÖSTERGÖTLANDS LÄN</t>
        </is>
      </c>
      <c r="E340" t="inlineStr">
        <is>
          <t>LINKÖPING</t>
        </is>
      </c>
      <c r="F340" t="inlineStr">
        <is>
          <t>Övriga statliga verk och myndigheter</t>
        </is>
      </c>
      <c r="G340" t="n">
        <v>6.5</v>
      </c>
      <c r="H340" t="n">
        <v>0</v>
      </c>
      <c r="I340" t="n">
        <v>0</v>
      </c>
      <c r="J340" t="n">
        <v>0</v>
      </c>
      <c r="K340" t="n">
        <v>0</v>
      </c>
      <c r="L340" t="n">
        <v>0</v>
      </c>
      <c r="M340" t="n">
        <v>0</v>
      </c>
      <c r="N340" t="n">
        <v>0</v>
      </c>
      <c r="O340" t="n">
        <v>0</v>
      </c>
      <c r="P340" t="n">
        <v>0</v>
      </c>
      <c r="Q340" t="n">
        <v>0</v>
      </c>
      <c r="R340" s="2" t="inlineStr"/>
    </row>
    <row r="341" ht="15" customHeight="1">
      <c r="A341" t="inlineStr">
        <is>
          <t>A 33947-2025</t>
        </is>
      </c>
      <c r="B341" s="1" t="n">
        <v>45842.65444444444</v>
      </c>
      <c r="C341" s="1" t="n">
        <v>46010</v>
      </c>
      <c r="D341" t="inlineStr">
        <is>
          <t>ÖSTERGÖTLANDS LÄN</t>
        </is>
      </c>
      <c r="E341" t="inlineStr">
        <is>
          <t>LINKÖPING</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53529-2024</t>
        </is>
      </c>
      <c r="B342" s="1" t="n">
        <v>45614</v>
      </c>
      <c r="C342" s="1" t="n">
        <v>46010</v>
      </c>
      <c r="D342" t="inlineStr">
        <is>
          <t>ÖSTERGÖTLANDS LÄN</t>
        </is>
      </c>
      <c r="E342" t="inlineStr">
        <is>
          <t>LINKÖPING</t>
        </is>
      </c>
      <c r="G342" t="n">
        <v>6.7</v>
      </c>
      <c r="H342" t="n">
        <v>0</v>
      </c>
      <c r="I342" t="n">
        <v>0</v>
      </c>
      <c r="J342" t="n">
        <v>0</v>
      </c>
      <c r="K342" t="n">
        <v>0</v>
      </c>
      <c r="L342" t="n">
        <v>0</v>
      </c>
      <c r="M342" t="n">
        <v>0</v>
      </c>
      <c r="N342" t="n">
        <v>0</v>
      </c>
      <c r="O342" t="n">
        <v>0</v>
      </c>
      <c r="P342" t="n">
        <v>0</v>
      </c>
      <c r="Q342" t="n">
        <v>0</v>
      </c>
      <c r="R342" s="2" t="inlineStr"/>
    </row>
    <row r="343" ht="15" customHeight="1">
      <c r="A343" t="inlineStr">
        <is>
          <t>A 62012-2024</t>
        </is>
      </c>
      <c r="B343" s="1" t="n">
        <v>45655.79679398148</v>
      </c>
      <c r="C343" s="1" t="n">
        <v>46010</v>
      </c>
      <c r="D343" t="inlineStr">
        <is>
          <t>ÖSTERGÖTLANDS LÄN</t>
        </is>
      </c>
      <c r="E343" t="inlineStr">
        <is>
          <t>LINKÖPING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9434-2024</t>
        </is>
      </c>
      <c r="B344" s="1" t="n">
        <v>45359</v>
      </c>
      <c r="C344" s="1" t="n">
        <v>46010</v>
      </c>
      <c r="D344" t="inlineStr">
        <is>
          <t>ÖSTERGÖTLANDS LÄN</t>
        </is>
      </c>
      <c r="E344" t="inlineStr">
        <is>
          <t>LINKÖPING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45112-2025</t>
        </is>
      </c>
      <c r="B345" s="1" t="n">
        <v>45919</v>
      </c>
      <c r="C345" s="1" t="n">
        <v>46010</v>
      </c>
      <c r="D345" t="inlineStr">
        <is>
          <t>ÖSTERGÖTLANDS LÄN</t>
        </is>
      </c>
      <c r="E345" t="inlineStr">
        <is>
          <t>LINKÖPING</t>
        </is>
      </c>
      <c r="G345" t="n">
        <v>3.5</v>
      </c>
      <c r="H345" t="n">
        <v>0</v>
      </c>
      <c r="I345" t="n">
        <v>0</v>
      </c>
      <c r="J345" t="n">
        <v>0</v>
      </c>
      <c r="K345" t="n">
        <v>0</v>
      </c>
      <c r="L345" t="n">
        <v>0</v>
      </c>
      <c r="M345" t="n">
        <v>0</v>
      </c>
      <c r="N345" t="n">
        <v>0</v>
      </c>
      <c r="O345" t="n">
        <v>0</v>
      </c>
      <c r="P345" t="n">
        <v>0</v>
      </c>
      <c r="Q345" t="n">
        <v>0</v>
      </c>
      <c r="R345" s="2" t="inlineStr"/>
    </row>
    <row r="346" ht="15" customHeight="1">
      <c r="A346" t="inlineStr">
        <is>
          <t>A 42054-2022</t>
        </is>
      </c>
      <c r="B346" s="1" t="n">
        <v>44830</v>
      </c>
      <c r="C346" s="1" t="n">
        <v>46010</v>
      </c>
      <c r="D346" t="inlineStr">
        <is>
          <t>ÖSTERGÖTLANDS LÄN</t>
        </is>
      </c>
      <c r="E346" t="inlineStr">
        <is>
          <t>LINKÖPING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50182-2023</t>
        </is>
      </c>
      <c r="B347" s="1" t="n">
        <v>45208</v>
      </c>
      <c r="C347" s="1" t="n">
        <v>46010</v>
      </c>
      <c r="D347" t="inlineStr">
        <is>
          <t>ÖSTERGÖTLANDS LÄN</t>
        </is>
      </c>
      <c r="E347" t="inlineStr">
        <is>
          <t>LINKÖPING</t>
        </is>
      </c>
      <c r="G347" t="n">
        <v>2.5</v>
      </c>
      <c r="H347" t="n">
        <v>0</v>
      </c>
      <c r="I347" t="n">
        <v>0</v>
      </c>
      <c r="J347" t="n">
        <v>0</v>
      </c>
      <c r="K347" t="n">
        <v>0</v>
      </c>
      <c r="L347" t="n">
        <v>0</v>
      </c>
      <c r="M347" t="n">
        <v>0</v>
      </c>
      <c r="N347" t="n">
        <v>0</v>
      </c>
      <c r="O347" t="n">
        <v>0</v>
      </c>
      <c r="P347" t="n">
        <v>0</v>
      </c>
      <c r="Q347" t="n">
        <v>0</v>
      </c>
      <c r="R347" s="2" t="inlineStr"/>
    </row>
    <row r="348" ht="15" customHeight="1">
      <c r="A348" t="inlineStr">
        <is>
          <t>A 20469-2025</t>
        </is>
      </c>
      <c r="B348" s="1" t="n">
        <v>45775</v>
      </c>
      <c r="C348" s="1" t="n">
        <v>46010</v>
      </c>
      <c r="D348" t="inlineStr">
        <is>
          <t>ÖSTERGÖTLANDS LÄN</t>
        </is>
      </c>
      <c r="E348" t="inlineStr">
        <is>
          <t>LINKÖPING</t>
        </is>
      </c>
      <c r="F348" t="inlineStr">
        <is>
          <t>Kyrkan</t>
        </is>
      </c>
      <c r="G348" t="n">
        <v>6.1</v>
      </c>
      <c r="H348" t="n">
        <v>0</v>
      </c>
      <c r="I348" t="n">
        <v>0</v>
      </c>
      <c r="J348" t="n">
        <v>0</v>
      </c>
      <c r="K348" t="n">
        <v>0</v>
      </c>
      <c r="L348" t="n">
        <v>0</v>
      </c>
      <c r="M348" t="n">
        <v>0</v>
      </c>
      <c r="N348" t="n">
        <v>0</v>
      </c>
      <c r="O348" t="n">
        <v>0</v>
      </c>
      <c r="P348" t="n">
        <v>0</v>
      </c>
      <c r="Q348" t="n">
        <v>0</v>
      </c>
      <c r="R348" s="2" t="inlineStr"/>
    </row>
    <row r="349" ht="15" customHeight="1">
      <c r="A349" t="inlineStr">
        <is>
          <t>A 35781-2023</t>
        </is>
      </c>
      <c r="B349" s="1" t="n">
        <v>45147</v>
      </c>
      <c r="C349" s="1" t="n">
        <v>46010</v>
      </c>
      <c r="D349" t="inlineStr">
        <is>
          <t>ÖSTERGÖTLANDS LÄN</t>
        </is>
      </c>
      <c r="E349" t="inlineStr">
        <is>
          <t>LINKÖPING</t>
        </is>
      </c>
      <c r="G349" t="n">
        <v>1.6</v>
      </c>
      <c r="H349" t="n">
        <v>0</v>
      </c>
      <c r="I349" t="n">
        <v>0</v>
      </c>
      <c r="J349" t="n">
        <v>0</v>
      </c>
      <c r="K349" t="n">
        <v>0</v>
      </c>
      <c r="L349" t="n">
        <v>0</v>
      </c>
      <c r="M349" t="n">
        <v>0</v>
      </c>
      <c r="N349" t="n">
        <v>0</v>
      </c>
      <c r="O349" t="n">
        <v>0</v>
      </c>
      <c r="P349" t="n">
        <v>0</v>
      </c>
      <c r="Q349" t="n">
        <v>0</v>
      </c>
      <c r="R349" s="2" t="inlineStr"/>
    </row>
    <row r="350" ht="15" customHeight="1">
      <c r="A350" t="inlineStr">
        <is>
          <t>A 6387-2022</t>
        </is>
      </c>
      <c r="B350" s="1" t="n">
        <v>44600</v>
      </c>
      <c r="C350" s="1" t="n">
        <v>46010</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48707-2023</t>
        </is>
      </c>
      <c r="B351" s="1" t="n">
        <v>45202</v>
      </c>
      <c r="C351" s="1" t="n">
        <v>46010</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33800-2023</t>
        </is>
      </c>
      <c r="B352" s="1" t="n">
        <v>45121</v>
      </c>
      <c r="C352" s="1" t="n">
        <v>46010</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26007-2025</t>
        </is>
      </c>
      <c r="B353" s="1" t="n">
        <v>45804.67081018518</v>
      </c>
      <c r="C353" s="1" t="n">
        <v>46010</v>
      </c>
      <c r="D353" t="inlineStr">
        <is>
          <t>ÖSTERGÖTLANDS LÄN</t>
        </is>
      </c>
      <c r="E353" t="inlineStr">
        <is>
          <t>LINKÖPING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35174-2025</t>
        </is>
      </c>
      <c r="B354" s="1" t="n">
        <v>45852.90648148148</v>
      </c>
      <c r="C354" s="1" t="n">
        <v>46010</v>
      </c>
      <c r="D354" t="inlineStr">
        <is>
          <t>ÖSTERGÖTLANDS LÄN</t>
        </is>
      </c>
      <c r="E354" t="inlineStr">
        <is>
          <t>LINKÖPING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47991-2023</t>
        </is>
      </c>
      <c r="B355" s="1" t="n">
        <v>45204.62655092592</v>
      </c>
      <c r="C355" s="1" t="n">
        <v>46010</v>
      </c>
      <c r="D355" t="inlineStr">
        <is>
          <t>ÖSTERGÖTLANDS LÄN</t>
        </is>
      </c>
      <c r="E355" t="inlineStr">
        <is>
          <t>LINKÖPING</t>
        </is>
      </c>
      <c r="F355" t="inlineStr">
        <is>
          <t>Allmännings- och besparingsskogar</t>
        </is>
      </c>
      <c r="G355" t="n">
        <v>7.3</v>
      </c>
      <c r="H355" t="n">
        <v>0</v>
      </c>
      <c r="I355" t="n">
        <v>0</v>
      </c>
      <c r="J355" t="n">
        <v>0</v>
      </c>
      <c r="K355" t="n">
        <v>0</v>
      </c>
      <c r="L355" t="n">
        <v>0</v>
      </c>
      <c r="M355" t="n">
        <v>0</v>
      </c>
      <c r="N355" t="n">
        <v>0</v>
      </c>
      <c r="O355" t="n">
        <v>0</v>
      </c>
      <c r="P355" t="n">
        <v>0</v>
      </c>
      <c r="Q355" t="n">
        <v>0</v>
      </c>
      <c r="R355" s="2" t="inlineStr"/>
    </row>
    <row r="356" ht="15" customHeight="1">
      <c r="A356" t="inlineStr">
        <is>
          <t>A 35179-2025</t>
        </is>
      </c>
      <c r="B356" s="1" t="n">
        <v>45852.93737268518</v>
      </c>
      <c r="C356" s="1" t="n">
        <v>46010</v>
      </c>
      <c r="D356" t="inlineStr">
        <is>
          <t>ÖSTERGÖTLANDS LÄN</t>
        </is>
      </c>
      <c r="E356" t="inlineStr">
        <is>
          <t>LINKÖPING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35180-2025</t>
        </is>
      </c>
      <c r="B357" s="1" t="n">
        <v>45852.9413425926</v>
      </c>
      <c r="C357" s="1" t="n">
        <v>46010</v>
      </c>
      <c r="D357" t="inlineStr">
        <is>
          <t>ÖSTERGÖTLANDS LÄN</t>
        </is>
      </c>
      <c r="E357" t="inlineStr">
        <is>
          <t>LINKÖPING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35178-2025</t>
        </is>
      </c>
      <c r="B358" s="1" t="n">
        <v>45852.91939814815</v>
      </c>
      <c r="C358" s="1" t="n">
        <v>46010</v>
      </c>
      <c r="D358" t="inlineStr">
        <is>
          <t>ÖSTERGÖTLANDS LÄN</t>
        </is>
      </c>
      <c r="E358" t="inlineStr">
        <is>
          <t>LINKÖPING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45634-2025</t>
        </is>
      </c>
      <c r="B359" s="1" t="n">
        <v>45922.85089120371</v>
      </c>
      <c r="C359" s="1" t="n">
        <v>46010</v>
      </c>
      <c r="D359" t="inlineStr">
        <is>
          <t>ÖSTERGÖTLANDS LÄN</t>
        </is>
      </c>
      <c r="E359" t="inlineStr">
        <is>
          <t>LINKÖPING</t>
        </is>
      </c>
      <c r="F359" t="inlineStr">
        <is>
          <t>Övriga Aktiebolag</t>
        </is>
      </c>
      <c r="G359" t="n">
        <v>0.3</v>
      </c>
      <c r="H359" t="n">
        <v>0</v>
      </c>
      <c r="I359" t="n">
        <v>0</v>
      </c>
      <c r="J359" t="n">
        <v>0</v>
      </c>
      <c r="K359" t="n">
        <v>0</v>
      </c>
      <c r="L359" t="n">
        <v>0</v>
      </c>
      <c r="M359" t="n">
        <v>0</v>
      </c>
      <c r="N359" t="n">
        <v>0</v>
      </c>
      <c r="O359" t="n">
        <v>0</v>
      </c>
      <c r="P359" t="n">
        <v>0</v>
      </c>
      <c r="Q359" t="n">
        <v>0</v>
      </c>
      <c r="R359" s="2" t="inlineStr"/>
    </row>
    <row r="360" ht="15" customHeight="1">
      <c r="A360" t="inlineStr">
        <is>
          <t>A 12089-2025</t>
        </is>
      </c>
      <c r="B360" s="1" t="n">
        <v>45729</v>
      </c>
      <c r="C360" s="1" t="n">
        <v>46010</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15658-2023</t>
        </is>
      </c>
      <c r="B361" s="1" t="n">
        <v>45021.41194444444</v>
      </c>
      <c r="C361" s="1" t="n">
        <v>46010</v>
      </c>
      <c r="D361" t="inlineStr">
        <is>
          <t>ÖSTERGÖTLANDS LÄN</t>
        </is>
      </c>
      <c r="E361" t="inlineStr">
        <is>
          <t>LINKÖPING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38886-2024</t>
        </is>
      </c>
      <c r="B362" s="1" t="n">
        <v>45547.66443287037</v>
      </c>
      <c r="C362" s="1" t="n">
        <v>46010</v>
      </c>
      <c r="D362" t="inlineStr">
        <is>
          <t>ÖSTERGÖTLANDS LÄN</t>
        </is>
      </c>
      <c r="E362" t="inlineStr">
        <is>
          <t>LINKÖPING</t>
        </is>
      </c>
      <c r="G362" t="n">
        <v>5.3</v>
      </c>
      <c r="H362" t="n">
        <v>0</v>
      </c>
      <c r="I362" t="n">
        <v>0</v>
      </c>
      <c r="J362" t="n">
        <v>0</v>
      </c>
      <c r="K362" t="n">
        <v>0</v>
      </c>
      <c r="L362" t="n">
        <v>0</v>
      </c>
      <c r="M362" t="n">
        <v>0</v>
      </c>
      <c r="N362" t="n">
        <v>0</v>
      </c>
      <c r="O362" t="n">
        <v>0</v>
      </c>
      <c r="P362" t="n">
        <v>0</v>
      </c>
      <c r="Q362" t="n">
        <v>0</v>
      </c>
      <c r="R362" s="2" t="inlineStr"/>
    </row>
    <row r="363" ht="15" customHeight="1">
      <c r="A363" t="inlineStr">
        <is>
          <t>A 51583-2024</t>
        </is>
      </c>
      <c r="B363" s="1" t="n">
        <v>45604.6397337963</v>
      </c>
      <c r="C363" s="1" t="n">
        <v>46010</v>
      </c>
      <c r="D363" t="inlineStr">
        <is>
          <t>ÖSTERGÖTLANDS LÄN</t>
        </is>
      </c>
      <c r="E363" t="inlineStr">
        <is>
          <t>LINKÖPING</t>
        </is>
      </c>
      <c r="F363" t="inlineStr">
        <is>
          <t>Övriga Aktiebolag</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35757-2025</t>
        </is>
      </c>
      <c r="B364" s="1" t="n">
        <v>45860.59876157407</v>
      </c>
      <c r="C364" s="1" t="n">
        <v>46010</v>
      </c>
      <c r="D364" t="inlineStr">
        <is>
          <t>ÖSTERGÖTLANDS LÄN</t>
        </is>
      </c>
      <c r="E364" t="inlineStr">
        <is>
          <t>LINKÖPING</t>
        </is>
      </c>
      <c r="G364" t="n">
        <v>5.7</v>
      </c>
      <c r="H364" t="n">
        <v>0</v>
      </c>
      <c r="I364" t="n">
        <v>0</v>
      </c>
      <c r="J364" t="n">
        <v>0</v>
      </c>
      <c r="K364" t="n">
        <v>0</v>
      </c>
      <c r="L364" t="n">
        <v>0</v>
      </c>
      <c r="M364" t="n">
        <v>0</v>
      </c>
      <c r="N364" t="n">
        <v>0</v>
      </c>
      <c r="O364" t="n">
        <v>0</v>
      </c>
      <c r="P364" t="n">
        <v>0</v>
      </c>
      <c r="Q364" t="n">
        <v>0</v>
      </c>
      <c r="R364" s="2" t="inlineStr"/>
    </row>
    <row r="365" ht="15" customHeight="1">
      <c r="A365" t="inlineStr">
        <is>
          <t>A 35745-2025</t>
        </is>
      </c>
      <c r="B365" s="1" t="n">
        <v>45860.54739583333</v>
      </c>
      <c r="C365" s="1" t="n">
        <v>46010</v>
      </c>
      <c r="D365" t="inlineStr">
        <is>
          <t>ÖSTERGÖTLANDS LÄN</t>
        </is>
      </c>
      <c r="E365" t="inlineStr">
        <is>
          <t>LINKÖPING</t>
        </is>
      </c>
      <c r="G365" t="n">
        <v>4.4</v>
      </c>
      <c r="H365" t="n">
        <v>0</v>
      </c>
      <c r="I365" t="n">
        <v>0</v>
      </c>
      <c r="J365" t="n">
        <v>0</v>
      </c>
      <c r="K365" t="n">
        <v>0</v>
      </c>
      <c r="L365" t="n">
        <v>0</v>
      </c>
      <c r="M365" t="n">
        <v>0</v>
      </c>
      <c r="N365" t="n">
        <v>0</v>
      </c>
      <c r="O365" t="n">
        <v>0</v>
      </c>
      <c r="P365" t="n">
        <v>0</v>
      </c>
      <c r="Q365" t="n">
        <v>0</v>
      </c>
      <c r="R365" s="2" t="inlineStr"/>
    </row>
    <row r="366" ht="15" customHeight="1">
      <c r="A366" t="inlineStr">
        <is>
          <t>A 64694-2023</t>
        </is>
      </c>
      <c r="B366" s="1" t="n">
        <v>45281</v>
      </c>
      <c r="C366" s="1" t="n">
        <v>46010</v>
      </c>
      <c r="D366" t="inlineStr">
        <is>
          <t>ÖSTERGÖTLANDS LÄN</t>
        </is>
      </c>
      <c r="E366" t="inlineStr">
        <is>
          <t>LINKÖPING</t>
        </is>
      </c>
      <c r="F366" t="inlineStr">
        <is>
          <t>Övriga statliga verk och myndigheter</t>
        </is>
      </c>
      <c r="G366" t="n">
        <v>4.9</v>
      </c>
      <c r="H366" t="n">
        <v>0</v>
      </c>
      <c r="I366" t="n">
        <v>0</v>
      </c>
      <c r="J366" t="n">
        <v>0</v>
      </c>
      <c r="K366" t="n">
        <v>0</v>
      </c>
      <c r="L366" t="n">
        <v>0</v>
      </c>
      <c r="M366" t="n">
        <v>0</v>
      </c>
      <c r="N366" t="n">
        <v>0</v>
      </c>
      <c r="O366" t="n">
        <v>0</v>
      </c>
      <c r="P366" t="n">
        <v>0</v>
      </c>
      <c r="Q366" t="n">
        <v>0</v>
      </c>
      <c r="R366" s="2" t="inlineStr"/>
    </row>
    <row r="367" ht="15" customHeight="1">
      <c r="A367" t="inlineStr">
        <is>
          <t>A 35747-2025</t>
        </is>
      </c>
      <c r="B367" s="1" t="n">
        <v>45860.56385416666</v>
      </c>
      <c r="C367" s="1" t="n">
        <v>46010</v>
      </c>
      <c r="D367" t="inlineStr">
        <is>
          <t>ÖSTERGÖTLANDS LÄN</t>
        </is>
      </c>
      <c r="E367" t="inlineStr">
        <is>
          <t>LINKÖPING</t>
        </is>
      </c>
      <c r="G367" t="n">
        <v>2.4</v>
      </c>
      <c r="H367" t="n">
        <v>0</v>
      </c>
      <c r="I367" t="n">
        <v>0</v>
      </c>
      <c r="J367" t="n">
        <v>0</v>
      </c>
      <c r="K367" t="n">
        <v>0</v>
      </c>
      <c r="L367" t="n">
        <v>0</v>
      </c>
      <c r="M367" t="n">
        <v>0</v>
      </c>
      <c r="N367" t="n">
        <v>0</v>
      </c>
      <c r="O367" t="n">
        <v>0</v>
      </c>
      <c r="P367" t="n">
        <v>0</v>
      </c>
      <c r="Q367" t="n">
        <v>0</v>
      </c>
      <c r="R367" s="2" t="inlineStr"/>
    </row>
    <row r="368" ht="15" customHeight="1">
      <c r="A368" t="inlineStr">
        <is>
          <t>A 32602-2022</t>
        </is>
      </c>
      <c r="B368" s="1" t="n">
        <v>44783.43192129629</v>
      </c>
      <c r="C368" s="1" t="n">
        <v>46010</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35759-2025</t>
        </is>
      </c>
      <c r="B369" s="1" t="n">
        <v>45860</v>
      </c>
      <c r="C369" s="1" t="n">
        <v>46010</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45792-2025</t>
        </is>
      </c>
      <c r="B370" s="1" t="n">
        <v>45923.56998842592</v>
      </c>
      <c r="C370" s="1" t="n">
        <v>46010</v>
      </c>
      <c r="D370" t="inlineStr">
        <is>
          <t>ÖSTERGÖTLANDS LÄN</t>
        </is>
      </c>
      <c r="E370" t="inlineStr">
        <is>
          <t>LINKÖPING</t>
        </is>
      </c>
      <c r="G370" t="n">
        <v>2.6</v>
      </c>
      <c r="H370" t="n">
        <v>0</v>
      </c>
      <c r="I370" t="n">
        <v>0</v>
      </c>
      <c r="J370" t="n">
        <v>0</v>
      </c>
      <c r="K370" t="n">
        <v>0</v>
      </c>
      <c r="L370" t="n">
        <v>0</v>
      </c>
      <c r="M370" t="n">
        <v>0</v>
      </c>
      <c r="N370" t="n">
        <v>0</v>
      </c>
      <c r="O370" t="n">
        <v>0</v>
      </c>
      <c r="P370" t="n">
        <v>0</v>
      </c>
      <c r="Q370" t="n">
        <v>0</v>
      </c>
      <c r="R370" s="2" t="inlineStr"/>
    </row>
    <row r="371" ht="15" customHeight="1">
      <c r="A371" t="inlineStr">
        <is>
          <t>A 45804-2025</t>
        </is>
      </c>
      <c r="B371" s="1" t="n">
        <v>45923.5819675926</v>
      </c>
      <c r="C371" s="1" t="n">
        <v>46010</v>
      </c>
      <c r="D371" t="inlineStr">
        <is>
          <t>ÖSTERGÖTLANDS LÄN</t>
        </is>
      </c>
      <c r="E371" t="inlineStr">
        <is>
          <t>LINKÖPING</t>
        </is>
      </c>
      <c r="G371" t="n">
        <v>3.3</v>
      </c>
      <c r="H371" t="n">
        <v>0</v>
      </c>
      <c r="I371" t="n">
        <v>0</v>
      </c>
      <c r="J371" t="n">
        <v>0</v>
      </c>
      <c r="K371" t="n">
        <v>0</v>
      </c>
      <c r="L371" t="n">
        <v>0</v>
      </c>
      <c r="M371" t="n">
        <v>0</v>
      </c>
      <c r="N371" t="n">
        <v>0</v>
      </c>
      <c r="O371" t="n">
        <v>0</v>
      </c>
      <c r="P371" t="n">
        <v>0</v>
      </c>
      <c r="Q371" t="n">
        <v>0</v>
      </c>
      <c r="R371" s="2" t="inlineStr"/>
    </row>
    <row r="372" ht="15" customHeight="1">
      <c r="A372" t="inlineStr">
        <is>
          <t>A 62321-2022</t>
        </is>
      </c>
      <c r="B372" s="1" t="n">
        <v>44916</v>
      </c>
      <c r="C372" s="1" t="n">
        <v>46010</v>
      </c>
      <c r="D372" t="inlineStr">
        <is>
          <t>ÖSTERGÖTLANDS LÄN</t>
        </is>
      </c>
      <c r="E372" t="inlineStr">
        <is>
          <t>LINKÖPING</t>
        </is>
      </c>
      <c r="F372" t="inlineStr">
        <is>
          <t>Kommuner</t>
        </is>
      </c>
      <c r="G372" t="n">
        <v>5.3</v>
      </c>
      <c r="H372" t="n">
        <v>0</v>
      </c>
      <c r="I372" t="n">
        <v>0</v>
      </c>
      <c r="J372" t="n">
        <v>0</v>
      </c>
      <c r="K372" t="n">
        <v>0</v>
      </c>
      <c r="L372" t="n">
        <v>0</v>
      </c>
      <c r="M372" t="n">
        <v>0</v>
      </c>
      <c r="N372" t="n">
        <v>0</v>
      </c>
      <c r="O372" t="n">
        <v>0</v>
      </c>
      <c r="P372" t="n">
        <v>0</v>
      </c>
      <c r="Q372" t="n">
        <v>0</v>
      </c>
      <c r="R372" s="2" t="inlineStr"/>
    </row>
    <row r="373" ht="15" customHeight="1">
      <c r="A373" t="inlineStr">
        <is>
          <t>A 46426-2025</t>
        </is>
      </c>
      <c r="B373" s="1" t="n">
        <v>45925.6012962963</v>
      </c>
      <c r="C373" s="1" t="n">
        <v>46010</v>
      </c>
      <c r="D373" t="inlineStr">
        <is>
          <t>ÖSTERGÖTLANDS LÄN</t>
        </is>
      </c>
      <c r="E373" t="inlineStr">
        <is>
          <t>LINKÖPING</t>
        </is>
      </c>
      <c r="G373" t="n">
        <v>4.4</v>
      </c>
      <c r="H373" t="n">
        <v>0</v>
      </c>
      <c r="I373" t="n">
        <v>0</v>
      </c>
      <c r="J373" t="n">
        <v>0</v>
      </c>
      <c r="K373" t="n">
        <v>0</v>
      </c>
      <c r="L373" t="n">
        <v>0</v>
      </c>
      <c r="M373" t="n">
        <v>0</v>
      </c>
      <c r="N373" t="n">
        <v>0</v>
      </c>
      <c r="O373" t="n">
        <v>0</v>
      </c>
      <c r="P373" t="n">
        <v>0</v>
      </c>
      <c r="Q373" t="n">
        <v>0</v>
      </c>
      <c r="R373" s="2" t="inlineStr"/>
    </row>
    <row r="374" ht="15" customHeight="1">
      <c r="A374" t="inlineStr">
        <is>
          <t>A 1084-2023</t>
        </is>
      </c>
      <c r="B374" s="1" t="n">
        <v>44929</v>
      </c>
      <c r="C374" s="1" t="n">
        <v>46010</v>
      </c>
      <c r="D374" t="inlineStr">
        <is>
          <t>ÖSTERGÖTLANDS LÄN</t>
        </is>
      </c>
      <c r="E374" t="inlineStr">
        <is>
          <t>LINKÖPING</t>
        </is>
      </c>
      <c r="G374" t="n">
        <v>10.4</v>
      </c>
      <c r="H374" t="n">
        <v>0</v>
      </c>
      <c r="I374" t="n">
        <v>0</v>
      </c>
      <c r="J374" t="n">
        <v>0</v>
      </c>
      <c r="K374" t="n">
        <v>0</v>
      </c>
      <c r="L374" t="n">
        <v>0</v>
      </c>
      <c r="M374" t="n">
        <v>0</v>
      </c>
      <c r="N374" t="n">
        <v>0</v>
      </c>
      <c r="O374" t="n">
        <v>0</v>
      </c>
      <c r="P374" t="n">
        <v>0</v>
      </c>
      <c r="Q374" t="n">
        <v>0</v>
      </c>
      <c r="R374" s="2" t="inlineStr"/>
    </row>
    <row r="375" ht="15" customHeight="1">
      <c r="A375" t="inlineStr">
        <is>
          <t>A 267-2023</t>
        </is>
      </c>
      <c r="B375" s="1" t="n">
        <v>44928.80907407407</v>
      </c>
      <c r="C375" s="1" t="n">
        <v>46010</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940-2023</t>
        </is>
      </c>
      <c r="B376" s="1" t="n">
        <v>44933</v>
      </c>
      <c r="C376" s="1" t="n">
        <v>46010</v>
      </c>
      <c r="D376" t="inlineStr">
        <is>
          <t>ÖSTERGÖTLANDS LÄN</t>
        </is>
      </c>
      <c r="E376" t="inlineStr">
        <is>
          <t>LINKÖPING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6369-2023</t>
        </is>
      </c>
      <c r="B377" s="1" t="n">
        <v>44965.61106481482</v>
      </c>
      <c r="C377" s="1" t="n">
        <v>46010</v>
      </c>
      <c r="D377" t="inlineStr">
        <is>
          <t>ÖSTERGÖTLANDS LÄN</t>
        </is>
      </c>
      <c r="E377" t="inlineStr">
        <is>
          <t>LINKÖPING</t>
        </is>
      </c>
      <c r="G377" t="n">
        <v>4</v>
      </c>
      <c r="H377" t="n">
        <v>0</v>
      </c>
      <c r="I377" t="n">
        <v>0</v>
      </c>
      <c r="J377" t="n">
        <v>0</v>
      </c>
      <c r="K377" t="n">
        <v>0</v>
      </c>
      <c r="L377" t="n">
        <v>0</v>
      </c>
      <c r="M377" t="n">
        <v>0</v>
      </c>
      <c r="N377" t="n">
        <v>0</v>
      </c>
      <c r="O377" t="n">
        <v>0</v>
      </c>
      <c r="P377" t="n">
        <v>0</v>
      </c>
      <c r="Q377" t="n">
        <v>0</v>
      </c>
      <c r="R377" s="2" t="inlineStr"/>
    </row>
    <row r="378" ht="15" customHeight="1">
      <c r="A378" t="inlineStr">
        <is>
          <t>A 30980-2022</t>
        </is>
      </c>
      <c r="B378" s="1" t="n">
        <v>44768</v>
      </c>
      <c r="C378" s="1" t="n">
        <v>46010</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60007-2022</t>
        </is>
      </c>
      <c r="B379" s="1" t="n">
        <v>44909.47282407407</v>
      </c>
      <c r="C379" s="1" t="n">
        <v>46010</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50799-2022</t>
        </is>
      </c>
      <c r="B380" s="1" t="n">
        <v>44862</v>
      </c>
      <c r="C380" s="1" t="n">
        <v>46010</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46428-2025</t>
        </is>
      </c>
      <c r="B381" s="1" t="n">
        <v>45925.60758101852</v>
      </c>
      <c r="C381" s="1" t="n">
        <v>46010</v>
      </c>
      <c r="D381" t="inlineStr">
        <is>
          <t>ÖSTERGÖTLANDS LÄN</t>
        </is>
      </c>
      <c r="E381" t="inlineStr">
        <is>
          <t>LINKÖPING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56064-2022</t>
        </is>
      </c>
      <c r="B382" s="1" t="n">
        <v>44889.59107638889</v>
      </c>
      <c r="C382" s="1" t="n">
        <v>46010</v>
      </c>
      <c r="D382" t="inlineStr">
        <is>
          <t>ÖSTERGÖTLANDS LÄN</t>
        </is>
      </c>
      <c r="E382" t="inlineStr">
        <is>
          <t>LINKÖPING</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47703-2023</t>
        </is>
      </c>
      <c r="B383" s="1" t="n">
        <v>45203</v>
      </c>
      <c r="C383" s="1" t="n">
        <v>46010</v>
      </c>
      <c r="D383" t="inlineStr">
        <is>
          <t>ÖSTERGÖTLANDS LÄN</t>
        </is>
      </c>
      <c r="E383" t="inlineStr">
        <is>
          <t>LINKÖPING</t>
        </is>
      </c>
      <c r="G383" t="n">
        <v>4.1</v>
      </c>
      <c r="H383" t="n">
        <v>0</v>
      </c>
      <c r="I383" t="n">
        <v>0</v>
      </c>
      <c r="J383" t="n">
        <v>0</v>
      </c>
      <c r="K383" t="n">
        <v>0</v>
      </c>
      <c r="L383" t="n">
        <v>0</v>
      </c>
      <c r="M383" t="n">
        <v>0</v>
      </c>
      <c r="N383" t="n">
        <v>0</v>
      </c>
      <c r="O383" t="n">
        <v>0</v>
      </c>
      <c r="P383" t="n">
        <v>0</v>
      </c>
      <c r="Q383" t="n">
        <v>0</v>
      </c>
      <c r="R383" s="2" t="inlineStr"/>
    </row>
    <row r="384" ht="15" customHeight="1">
      <c r="A384" t="inlineStr">
        <is>
          <t>A 46377-2025</t>
        </is>
      </c>
      <c r="B384" s="1" t="n">
        <v>45925.51773148148</v>
      </c>
      <c r="C384" s="1" t="n">
        <v>46010</v>
      </c>
      <c r="D384" t="inlineStr">
        <is>
          <t>ÖSTERGÖTLANDS LÄN</t>
        </is>
      </c>
      <c r="E384" t="inlineStr">
        <is>
          <t>LINKÖPING</t>
        </is>
      </c>
      <c r="G384" t="n">
        <v>3.1</v>
      </c>
      <c r="H384" t="n">
        <v>0</v>
      </c>
      <c r="I384" t="n">
        <v>0</v>
      </c>
      <c r="J384" t="n">
        <v>0</v>
      </c>
      <c r="K384" t="n">
        <v>0</v>
      </c>
      <c r="L384" t="n">
        <v>0</v>
      </c>
      <c r="M384" t="n">
        <v>0</v>
      </c>
      <c r="N384" t="n">
        <v>0</v>
      </c>
      <c r="O384" t="n">
        <v>0</v>
      </c>
      <c r="P384" t="n">
        <v>0</v>
      </c>
      <c r="Q384" t="n">
        <v>0</v>
      </c>
      <c r="R384" s="2" t="inlineStr"/>
    </row>
    <row r="385" ht="15" customHeight="1">
      <c r="A385" t="inlineStr">
        <is>
          <t>A 16111-2022</t>
        </is>
      </c>
      <c r="B385" s="1" t="n">
        <v>44665</v>
      </c>
      <c r="C385" s="1" t="n">
        <v>46010</v>
      </c>
      <c r="D385" t="inlineStr">
        <is>
          <t>ÖSTERGÖTLANDS LÄN</t>
        </is>
      </c>
      <c r="E385" t="inlineStr">
        <is>
          <t>LINKÖPING</t>
        </is>
      </c>
      <c r="F385" t="inlineStr">
        <is>
          <t>Övriga Aktiebolag</t>
        </is>
      </c>
      <c r="G385" t="n">
        <v>2.9</v>
      </c>
      <c r="H385" t="n">
        <v>0</v>
      </c>
      <c r="I385" t="n">
        <v>0</v>
      </c>
      <c r="J385" t="n">
        <v>0</v>
      </c>
      <c r="K385" t="n">
        <v>0</v>
      </c>
      <c r="L385" t="n">
        <v>0</v>
      </c>
      <c r="M385" t="n">
        <v>0</v>
      </c>
      <c r="N385" t="n">
        <v>0</v>
      </c>
      <c r="O385" t="n">
        <v>0</v>
      </c>
      <c r="P385" t="n">
        <v>0</v>
      </c>
      <c r="Q385" t="n">
        <v>0</v>
      </c>
      <c r="R385" s="2" t="inlineStr"/>
    </row>
    <row r="386" ht="15" customHeight="1">
      <c r="A386" t="inlineStr">
        <is>
          <t>A 55132-2025</t>
        </is>
      </c>
      <c r="B386" s="1" t="n">
        <v>45968.41912037037</v>
      </c>
      <c r="C386" s="1" t="n">
        <v>46010</v>
      </c>
      <c r="D386" t="inlineStr">
        <is>
          <t>ÖSTERGÖTLANDS LÄN</t>
        </is>
      </c>
      <c r="E386" t="inlineStr">
        <is>
          <t>LINKÖPING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48962-2022</t>
        </is>
      </c>
      <c r="B387" s="1" t="n">
        <v>44860.31635416667</v>
      </c>
      <c r="C387" s="1" t="n">
        <v>46010</v>
      </c>
      <c r="D387" t="inlineStr">
        <is>
          <t>ÖSTERGÖTLANDS LÄN</t>
        </is>
      </c>
      <c r="E387" t="inlineStr">
        <is>
          <t>LINKÖPING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37057-2025</t>
        </is>
      </c>
      <c r="B388" s="1" t="n">
        <v>45875.37489583333</v>
      </c>
      <c r="C388" s="1" t="n">
        <v>46010</v>
      </c>
      <c r="D388" t="inlineStr">
        <is>
          <t>ÖSTERGÖTLANDS LÄN</t>
        </is>
      </c>
      <c r="E388" t="inlineStr">
        <is>
          <t>LINKÖPING</t>
        </is>
      </c>
      <c r="G388" t="n">
        <v>3.3</v>
      </c>
      <c r="H388" t="n">
        <v>0</v>
      </c>
      <c r="I388" t="n">
        <v>0</v>
      </c>
      <c r="J388" t="n">
        <v>0</v>
      </c>
      <c r="K388" t="n">
        <v>0</v>
      </c>
      <c r="L388" t="n">
        <v>0</v>
      </c>
      <c r="M388" t="n">
        <v>0</v>
      </c>
      <c r="N388" t="n">
        <v>0</v>
      </c>
      <c r="O388" t="n">
        <v>0</v>
      </c>
      <c r="P388" t="n">
        <v>0</v>
      </c>
      <c r="Q388" t="n">
        <v>0</v>
      </c>
      <c r="R388" s="2" t="inlineStr"/>
    </row>
    <row r="389" ht="15" customHeight="1">
      <c r="A389" t="inlineStr">
        <is>
          <t>A 27891-2021</t>
        </is>
      </c>
      <c r="B389" s="1" t="n">
        <v>44354.65108796296</v>
      </c>
      <c r="C389" s="1" t="n">
        <v>46010</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1268-2023</t>
        </is>
      </c>
      <c r="B390" s="1" t="n">
        <v>44936</v>
      </c>
      <c r="C390" s="1" t="n">
        <v>46010</v>
      </c>
      <c r="D390" t="inlineStr">
        <is>
          <t>ÖSTERGÖTLANDS LÄN</t>
        </is>
      </c>
      <c r="E390" t="inlineStr">
        <is>
          <t>LINKÖPING</t>
        </is>
      </c>
      <c r="G390" t="n">
        <v>4.6</v>
      </c>
      <c r="H390" t="n">
        <v>0</v>
      </c>
      <c r="I390" t="n">
        <v>0</v>
      </c>
      <c r="J390" t="n">
        <v>0</v>
      </c>
      <c r="K390" t="n">
        <v>0</v>
      </c>
      <c r="L390" t="n">
        <v>0</v>
      </c>
      <c r="M390" t="n">
        <v>0</v>
      </c>
      <c r="N390" t="n">
        <v>0</v>
      </c>
      <c r="O390" t="n">
        <v>0</v>
      </c>
      <c r="P390" t="n">
        <v>0</v>
      </c>
      <c r="Q390" t="n">
        <v>0</v>
      </c>
      <c r="R390" s="2" t="inlineStr"/>
    </row>
    <row r="391" ht="15" customHeight="1">
      <c r="A391" t="inlineStr">
        <is>
          <t>A 62687-2023</t>
        </is>
      </c>
      <c r="B391" s="1" t="n">
        <v>45271</v>
      </c>
      <c r="C391" s="1" t="n">
        <v>46010</v>
      </c>
      <c r="D391" t="inlineStr">
        <is>
          <t>ÖSTERGÖTLANDS LÄN</t>
        </is>
      </c>
      <c r="E391" t="inlineStr">
        <is>
          <t>LINKÖPING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34641-2022</t>
        </is>
      </c>
      <c r="B392" s="1" t="n">
        <v>44795</v>
      </c>
      <c r="C392" s="1" t="n">
        <v>46010</v>
      </c>
      <c r="D392" t="inlineStr">
        <is>
          <t>ÖSTERGÖTLANDS LÄN</t>
        </is>
      </c>
      <c r="E392" t="inlineStr">
        <is>
          <t>LINKÖPING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938-2023</t>
        </is>
      </c>
      <c r="B393" s="1" t="n">
        <v>44933</v>
      </c>
      <c r="C393" s="1" t="n">
        <v>46010</v>
      </c>
      <c r="D393" t="inlineStr">
        <is>
          <t>ÖSTERGÖTLANDS LÄN</t>
        </is>
      </c>
      <c r="E393" t="inlineStr">
        <is>
          <t>LINKÖPING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2389-2023</t>
        </is>
      </c>
      <c r="B394" s="1" t="n">
        <v>44942</v>
      </c>
      <c r="C394" s="1" t="n">
        <v>46010</v>
      </c>
      <c r="D394" t="inlineStr">
        <is>
          <t>ÖSTERGÖTLANDS LÄN</t>
        </is>
      </c>
      <c r="E394" t="inlineStr">
        <is>
          <t>LINKÖPING</t>
        </is>
      </c>
      <c r="G394" t="n">
        <v>3.3</v>
      </c>
      <c r="H394" t="n">
        <v>0</v>
      </c>
      <c r="I394" t="n">
        <v>0</v>
      </c>
      <c r="J394" t="n">
        <v>0</v>
      </c>
      <c r="K394" t="n">
        <v>0</v>
      </c>
      <c r="L394" t="n">
        <v>0</v>
      </c>
      <c r="M394" t="n">
        <v>0</v>
      </c>
      <c r="N394" t="n">
        <v>0</v>
      </c>
      <c r="O394" t="n">
        <v>0</v>
      </c>
      <c r="P394" t="n">
        <v>0</v>
      </c>
      <c r="Q394" t="n">
        <v>0</v>
      </c>
      <c r="R394" s="2" t="inlineStr"/>
    </row>
    <row r="395" ht="15" customHeight="1">
      <c r="A395" t="inlineStr">
        <is>
          <t>A 48-2024</t>
        </is>
      </c>
      <c r="B395" s="1" t="n">
        <v>45293</v>
      </c>
      <c r="C395" s="1" t="n">
        <v>46010</v>
      </c>
      <c r="D395" t="inlineStr">
        <is>
          <t>ÖSTERGÖTLANDS LÄN</t>
        </is>
      </c>
      <c r="E395" t="inlineStr">
        <is>
          <t>LINKÖPING</t>
        </is>
      </c>
      <c r="G395" t="n">
        <v>4.6</v>
      </c>
      <c r="H395" t="n">
        <v>0</v>
      </c>
      <c r="I395" t="n">
        <v>0</v>
      </c>
      <c r="J395" t="n">
        <v>0</v>
      </c>
      <c r="K395" t="n">
        <v>0</v>
      </c>
      <c r="L395" t="n">
        <v>0</v>
      </c>
      <c r="M395" t="n">
        <v>0</v>
      </c>
      <c r="N395" t="n">
        <v>0</v>
      </c>
      <c r="O395" t="n">
        <v>0</v>
      </c>
      <c r="P395" t="n">
        <v>0</v>
      </c>
      <c r="Q395" t="n">
        <v>0</v>
      </c>
      <c r="R395" s="2" t="inlineStr"/>
    </row>
    <row r="396" ht="15" customHeight="1">
      <c r="A396" t="inlineStr">
        <is>
          <t>A 45771-2023</t>
        </is>
      </c>
      <c r="B396" s="1" t="n">
        <v>45195.4384375</v>
      </c>
      <c r="C396" s="1" t="n">
        <v>46010</v>
      </c>
      <c r="D396" t="inlineStr">
        <is>
          <t>ÖSTERGÖTLANDS LÄN</t>
        </is>
      </c>
      <c r="E396" t="inlineStr">
        <is>
          <t>LINKÖPING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30547-2023</t>
        </is>
      </c>
      <c r="B397" s="1" t="n">
        <v>45111.75905092592</v>
      </c>
      <c r="C397" s="1" t="n">
        <v>46010</v>
      </c>
      <c r="D397" t="inlineStr">
        <is>
          <t>ÖSTERGÖTLANDS LÄN</t>
        </is>
      </c>
      <c r="E397" t="inlineStr">
        <is>
          <t>LINKÖPING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40502-2024</t>
        </is>
      </c>
      <c r="B398" s="1" t="n">
        <v>45555.57263888889</v>
      </c>
      <c r="C398" s="1" t="n">
        <v>46010</v>
      </c>
      <c r="D398" t="inlineStr">
        <is>
          <t>ÖSTERGÖTLANDS LÄN</t>
        </is>
      </c>
      <c r="E398" t="inlineStr">
        <is>
          <t>LINKÖPING</t>
        </is>
      </c>
      <c r="F398" t="inlineStr">
        <is>
          <t>Allmännings- och besparingsskogar</t>
        </is>
      </c>
      <c r="G398" t="n">
        <v>17.5</v>
      </c>
      <c r="H398" t="n">
        <v>0</v>
      </c>
      <c r="I398" t="n">
        <v>0</v>
      </c>
      <c r="J398" t="n">
        <v>0</v>
      </c>
      <c r="K398" t="n">
        <v>0</v>
      </c>
      <c r="L398" t="n">
        <v>0</v>
      </c>
      <c r="M398" t="n">
        <v>0</v>
      </c>
      <c r="N398" t="n">
        <v>0</v>
      </c>
      <c r="O398" t="n">
        <v>0</v>
      </c>
      <c r="P398" t="n">
        <v>0</v>
      </c>
      <c r="Q398" t="n">
        <v>0</v>
      </c>
      <c r="R398" s="2" t="inlineStr"/>
    </row>
    <row r="399" ht="15" customHeight="1">
      <c r="A399" t="inlineStr">
        <is>
          <t>A 25829-2025</t>
        </is>
      </c>
      <c r="B399" s="1" t="n">
        <v>45804.44505787037</v>
      </c>
      <c r="C399" s="1" t="n">
        <v>46010</v>
      </c>
      <c r="D399" t="inlineStr">
        <is>
          <t>ÖSTERGÖTLANDS LÄN</t>
        </is>
      </c>
      <c r="E399" t="inlineStr">
        <is>
          <t>LINKÖPING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38046-2025</t>
        </is>
      </c>
      <c r="B400" s="1" t="n">
        <v>45882.39939814815</v>
      </c>
      <c r="C400" s="1" t="n">
        <v>46010</v>
      </c>
      <c r="D400" t="inlineStr">
        <is>
          <t>ÖSTERGÖTLANDS LÄN</t>
        </is>
      </c>
      <c r="E400" t="inlineStr">
        <is>
          <t>LINKÖPING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24464-2023</t>
        </is>
      </c>
      <c r="B401" s="1" t="n">
        <v>45082.58068287037</v>
      </c>
      <c r="C401" s="1" t="n">
        <v>46010</v>
      </c>
      <c r="D401" t="inlineStr">
        <is>
          <t>ÖSTERGÖTLANDS LÄN</t>
        </is>
      </c>
      <c r="E401" t="inlineStr">
        <is>
          <t>LINKÖPING</t>
        </is>
      </c>
      <c r="G401" t="n">
        <v>1.6</v>
      </c>
      <c r="H401" t="n">
        <v>0</v>
      </c>
      <c r="I401" t="n">
        <v>0</v>
      </c>
      <c r="J401" t="n">
        <v>0</v>
      </c>
      <c r="K401" t="n">
        <v>0</v>
      </c>
      <c r="L401" t="n">
        <v>0</v>
      </c>
      <c r="M401" t="n">
        <v>0</v>
      </c>
      <c r="N401" t="n">
        <v>0</v>
      </c>
      <c r="O401" t="n">
        <v>0</v>
      </c>
      <c r="P401" t="n">
        <v>0</v>
      </c>
      <c r="Q401" t="n">
        <v>0</v>
      </c>
      <c r="R401" s="2" t="inlineStr"/>
    </row>
    <row r="402" ht="15" customHeight="1">
      <c r="A402" t="inlineStr">
        <is>
          <t>A 24467-2023</t>
        </is>
      </c>
      <c r="B402" s="1" t="n">
        <v>45082</v>
      </c>
      <c r="C402" s="1" t="n">
        <v>46010</v>
      </c>
      <c r="D402" t="inlineStr">
        <is>
          <t>ÖSTERGÖTLANDS LÄN</t>
        </is>
      </c>
      <c r="E402" t="inlineStr">
        <is>
          <t>LINKÖPING</t>
        </is>
      </c>
      <c r="G402" t="n">
        <v>2.4</v>
      </c>
      <c r="H402" t="n">
        <v>0</v>
      </c>
      <c r="I402" t="n">
        <v>0</v>
      </c>
      <c r="J402" t="n">
        <v>0</v>
      </c>
      <c r="K402" t="n">
        <v>0</v>
      </c>
      <c r="L402" t="n">
        <v>0</v>
      </c>
      <c r="M402" t="n">
        <v>0</v>
      </c>
      <c r="N402" t="n">
        <v>0</v>
      </c>
      <c r="O402" t="n">
        <v>0</v>
      </c>
      <c r="P402" t="n">
        <v>0</v>
      </c>
      <c r="Q402" t="n">
        <v>0</v>
      </c>
      <c r="R402" s="2" t="inlineStr"/>
    </row>
    <row r="403" ht="15" customHeight="1">
      <c r="A403" t="inlineStr">
        <is>
          <t>A 48389-2024</t>
        </is>
      </c>
      <c r="B403" s="1" t="n">
        <v>45590.59991898148</v>
      </c>
      <c r="C403" s="1" t="n">
        <v>46010</v>
      </c>
      <c r="D403" t="inlineStr">
        <is>
          <t>ÖSTERGÖTLANDS LÄN</t>
        </is>
      </c>
      <c r="E403" t="inlineStr">
        <is>
          <t>LINKÖPING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56792-2023</t>
        </is>
      </c>
      <c r="B404" s="1" t="n">
        <v>45244</v>
      </c>
      <c r="C404" s="1" t="n">
        <v>46010</v>
      </c>
      <c r="D404" t="inlineStr">
        <is>
          <t>ÖSTERGÖTLANDS LÄN</t>
        </is>
      </c>
      <c r="E404" t="inlineStr">
        <is>
          <t>LINKÖPING</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55102-2025</t>
        </is>
      </c>
      <c r="B405" s="1" t="n">
        <v>45968.35410879629</v>
      </c>
      <c r="C405" s="1" t="n">
        <v>46010</v>
      </c>
      <c r="D405" t="inlineStr">
        <is>
          <t>ÖSTERGÖTLANDS LÄN</t>
        </is>
      </c>
      <c r="E405" t="inlineStr">
        <is>
          <t>LINKÖPING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55109-2025</t>
        </is>
      </c>
      <c r="B406" s="1" t="n">
        <v>45968.37731481482</v>
      </c>
      <c r="C406" s="1" t="n">
        <v>46010</v>
      </c>
      <c r="D406" t="inlineStr">
        <is>
          <t>ÖSTERGÖTLANDS LÄN</t>
        </is>
      </c>
      <c r="E406" t="inlineStr">
        <is>
          <t>LINKÖPING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55165-2025</t>
        </is>
      </c>
      <c r="B407" s="1" t="n">
        <v>45968.48194444444</v>
      </c>
      <c r="C407" s="1" t="n">
        <v>46010</v>
      </c>
      <c r="D407" t="inlineStr">
        <is>
          <t>ÖSTERGÖTLANDS LÄN</t>
        </is>
      </c>
      <c r="E407" t="inlineStr">
        <is>
          <t>LINKÖPING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39017-2021</t>
        </is>
      </c>
      <c r="B408" s="1" t="n">
        <v>44412</v>
      </c>
      <c r="C408" s="1" t="n">
        <v>46010</v>
      </c>
      <c r="D408" t="inlineStr">
        <is>
          <t>ÖSTERGÖTLANDS LÄN</t>
        </is>
      </c>
      <c r="E408" t="inlineStr">
        <is>
          <t>LINKÖPING</t>
        </is>
      </c>
      <c r="F408" t="inlineStr">
        <is>
          <t>Övriga statliga verk och myndigheter</t>
        </is>
      </c>
      <c r="G408" t="n">
        <v>0.8</v>
      </c>
      <c r="H408" t="n">
        <v>0</v>
      </c>
      <c r="I408" t="n">
        <v>0</v>
      </c>
      <c r="J408" t="n">
        <v>0</v>
      </c>
      <c r="K408" t="n">
        <v>0</v>
      </c>
      <c r="L408" t="n">
        <v>0</v>
      </c>
      <c r="M408" t="n">
        <v>0</v>
      </c>
      <c r="N408" t="n">
        <v>0</v>
      </c>
      <c r="O408" t="n">
        <v>0</v>
      </c>
      <c r="P408" t="n">
        <v>0</v>
      </c>
      <c r="Q408" t="n">
        <v>0</v>
      </c>
      <c r="R408" s="2" t="inlineStr"/>
    </row>
    <row r="409" ht="15" customHeight="1">
      <c r="A409" t="inlineStr">
        <is>
          <t>A 46847-2025</t>
        </is>
      </c>
      <c r="B409" s="1" t="n">
        <v>45928.69971064815</v>
      </c>
      <c r="C409" s="1" t="n">
        <v>46010</v>
      </c>
      <c r="D409" t="inlineStr">
        <is>
          <t>ÖSTERGÖTLANDS LÄN</t>
        </is>
      </c>
      <c r="E409" t="inlineStr">
        <is>
          <t>LINKÖPING</t>
        </is>
      </c>
      <c r="G409" t="n">
        <v>4.6</v>
      </c>
      <c r="H409" t="n">
        <v>0</v>
      </c>
      <c r="I409" t="n">
        <v>0</v>
      </c>
      <c r="J409" t="n">
        <v>0</v>
      </c>
      <c r="K409" t="n">
        <v>0</v>
      </c>
      <c r="L409" t="n">
        <v>0</v>
      </c>
      <c r="M409" t="n">
        <v>0</v>
      </c>
      <c r="N409" t="n">
        <v>0</v>
      </c>
      <c r="O409" t="n">
        <v>0</v>
      </c>
      <c r="P409" t="n">
        <v>0</v>
      </c>
      <c r="Q409" t="n">
        <v>0</v>
      </c>
      <c r="R409" s="2" t="inlineStr"/>
    </row>
    <row r="410" ht="15" customHeight="1">
      <c r="A410" t="inlineStr">
        <is>
          <t>A 1260-2023</t>
        </is>
      </c>
      <c r="B410" s="1" t="n">
        <v>44936</v>
      </c>
      <c r="C410" s="1" t="n">
        <v>46010</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1355-2023</t>
        </is>
      </c>
      <c r="B411" s="1" t="n">
        <v>44931</v>
      </c>
      <c r="C411" s="1" t="n">
        <v>46010</v>
      </c>
      <c r="D411" t="inlineStr">
        <is>
          <t>ÖSTERGÖTLANDS LÄN</t>
        </is>
      </c>
      <c r="E411" t="inlineStr">
        <is>
          <t>LINKÖPING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56113-2025</t>
        </is>
      </c>
      <c r="B412" s="1" t="n">
        <v>45973.73924768518</v>
      </c>
      <c r="C412" s="1" t="n">
        <v>46010</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3007-2025</t>
        </is>
      </c>
      <c r="B413" s="1" t="n">
        <v>45678.56328703704</v>
      </c>
      <c r="C413" s="1" t="n">
        <v>46010</v>
      </c>
      <c r="D413" t="inlineStr">
        <is>
          <t>ÖSTERGÖTLANDS LÄN</t>
        </is>
      </c>
      <c r="E413" t="inlineStr">
        <is>
          <t>LINKÖPING</t>
        </is>
      </c>
      <c r="G413" t="n">
        <v>3.1</v>
      </c>
      <c r="H413" t="n">
        <v>0</v>
      </c>
      <c r="I413" t="n">
        <v>0</v>
      </c>
      <c r="J413" t="n">
        <v>0</v>
      </c>
      <c r="K413" t="n">
        <v>0</v>
      </c>
      <c r="L413" t="n">
        <v>0</v>
      </c>
      <c r="M413" t="n">
        <v>0</v>
      </c>
      <c r="N413" t="n">
        <v>0</v>
      </c>
      <c r="O413" t="n">
        <v>0</v>
      </c>
      <c r="P413" t="n">
        <v>0</v>
      </c>
      <c r="Q413" t="n">
        <v>0</v>
      </c>
      <c r="R413" s="2" t="inlineStr"/>
    </row>
    <row r="414" ht="15" customHeight="1">
      <c r="A414" t="inlineStr">
        <is>
          <t>A 10492-2022</t>
        </is>
      </c>
      <c r="B414" s="1" t="n">
        <v>44623.6377199074</v>
      </c>
      <c r="C414" s="1" t="n">
        <v>46010</v>
      </c>
      <c r="D414" t="inlineStr">
        <is>
          <t>ÖSTERGÖTLANDS LÄN</t>
        </is>
      </c>
      <c r="E414" t="inlineStr">
        <is>
          <t>LINKÖPING</t>
        </is>
      </c>
      <c r="G414" t="n">
        <v>2.1</v>
      </c>
      <c r="H414" t="n">
        <v>0</v>
      </c>
      <c r="I414" t="n">
        <v>0</v>
      </c>
      <c r="J414" t="n">
        <v>0</v>
      </c>
      <c r="K414" t="n">
        <v>0</v>
      </c>
      <c r="L414" t="n">
        <v>0</v>
      </c>
      <c r="M414" t="n">
        <v>0</v>
      </c>
      <c r="N414" t="n">
        <v>0</v>
      </c>
      <c r="O414" t="n">
        <v>0</v>
      </c>
      <c r="P414" t="n">
        <v>0</v>
      </c>
      <c r="Q414" t="n">
        <v>0</v>
      </c>
      <c r="R414" s="2" t="inlineStr"/>
    </row>
    <row r="415" ht="15" customHeight="1">
      <c r="A415" t="inlineStr">
        <is>
          <t>A 47233-2025</t>
        </is>
      </c>
      <c r="B415" s="1" t="n">
        <v>45930.40612268518</v>
      </c>
      <c r="C415" s="1" t="n">
        <v>46010</v>
      </c>
      <c r="D415" t="inlineStr">
        <is>
          <t>ÖSTERGÖTLANDS LÄN</t>
        </is>
      </c>
      <c r="E415" t="inlineStr">
        <is>
          <t>LINKÖPING</t>
        </is>
      </c>
      <c r="G415" t="n">
        <v>4.3</v>
      </c>
      <c r="H415" t="n">
        <v>0</v>
      </c>
      <c r="I415" t="n">
        <v>0</v>
      </c>
      <c r="J415" t="n">
        <v>0</v>
      </c>
      <c r="K415" t="n">
        <v>0</v>
      </c>
      <c r="L415" t="n">
        <v>0</v>
      </c>
      <c r="M415" t="n">
        <v>0</v>
      </c>
      <c r="N415" t="n">
        <v>0</v>
      </c>
      <c r="O415" t="n">
        <v>0</v>
      </c>
      <c r="P415" t="n">
        <v>0</v>
      </c>
      <c r="Q415" t="n">
        <v>0</v>
      </c>
      <c r="R415" s="2" t="inlineStr"/>
    </row>
    <row r="416" ht="15" customHeight="1">
      <c r="A416" t="inlineStr">
        <is>
          <t>A 30465-2023</t>
        </is>
      </c>
      <c r="B416" s="1" t="n">
        <v>45111</v>
      </c>
      <c r="C416" s="1" t="n">
        <v>46010</v>
      </c>
      <c r="D416" t="inlineStr">
        <is>
          <t>ÖSTERGÖTLANDS LÄN</t>
        </is>
      </c>
      <c r="E416" t="inlineStr">
        <is>
          <t>LINKÖPING</t>
        </is>
      </c>
      <c r="F416" t="inlineStr">
        <is>
          <t>Övriga Aktiebolag</t>
        </is>
      </c>
      <c r="G416" t="n">
        <v>0.7</v>
      </c>
      <c r="H416" t="n">
        <v>0</v>
      </c>
      <c r="I416" t="n">
        <v>0</v>
      </c>
      <c r="J416" t="n">
        <v>0</v>
      </c>
      <c r="K416" t="n">
        <v>0</v>
      </c>
      <c r="L416" t="n">
        <v>0</v>
      </c>
      <c r="M416" t="n">
        <v>0</v>
      </c>
      <c r="N416" t="n">
        <v>0</v>
      </c>
      <c r="O416" t="n">
        <v>0</v>
      </c>
      <c r="P416" t="n">
        <v>0</v>
      </c>
      <c r="Q416" t="n">
        <v>0</v>
      </c>
      <c r="R416" s="2" t="inlineStr"/>
    </row>
    <row r="417" ht="15" customHeight="1">
      <c r="A417" t="inlineStr">
        <is>
          <t>A 47606-2025</t>
        </is>
      </c>
      <c r="B417" s="1" t="n">
        <v>45931.46402777778</v>
      </c>
      <c r="C417" s="1" t="n">
        <v>46010</v>
      </c>
      <c r="D417" t="inlineStr">
        <is>
          <t>ÖSTERGÖTLANDS LÄN</t>
        </is>
      </c>
      <c r="E417" t="inlineStr">
        <is>
          <t>LINKÖPING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39021-2021</t>
        </is>
      </c>
      <c r="B418" s="1" t="n">
        <v>44412</v>
      </c>
      <c r="C418" s="1" t="n">
        <v>46010</v>
      </c>
      <c r="D418" t="inlineStr">
        <is>
          <t>ÖSTERGÖTLANDS LÄN</t>
        </is>
      </c>
      <c r="E418" t="inlineStr">
        <is>
          <t>LINKÖPING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55683-2025</t>
        </is>
      </c>
      <c r="B419" s="1" t="n">
        <v>45972.4255324074</v>
      </c>
      <c r="C419" s="1" t="n">
        <v>46010</v>
      </c>
      <c r="D419" t="inlineStr">
        <is>
          <t>ÖSTERGÖTLANDS LÄN</t>
        </is>
      </c>
      <c r="E419" t="inlineStr">
        <is>
          <t>LINKÖPING</t>
        </is>
      </c>
      <c r="G419" t="n">
        <v>3.3</v>
      </c>
      <c r="H419" t="n">
        <v>0</v>
      </c>
      <c r="I419" t="n">
        <v>0</v>
      </c>
      <c r="J419" t="n">
        <v>0</v>
      </c>
      <c r="K419" t="n">
        <v>0</v>
      </c>
      <c r="L419" t="n">
        <v>0</v>
      </c>
      <c r="M419" t="n">
        <v>0</v>
      </c>
      <c r="N419" t="n">
        <v>0</v>
      </c>
      <c r="O419" t="n">
        <v>0</v>
      </c>
      <c r="P419" t="n">
        <v>0</v>
      </c>
      <c r="Q419" t="n">
        <v>0</v>
      </c>
      <c r="R419" s="2" t="inlineStr"/>
    </row>
    <row r="420" ht="15" customHeight="1">
      <c r="A420" t="inlineStr">
        <is>
          <t>A 47304-2025</t>
        </is>
      </c>
      <c r="B420" s="1" t="n">
        <v>45930.52037037037</v>
      </c>
      <c r="C420" s="1" t="n">
        <v>46010</v>
      </c>
      <c r="D420" t="inlineStr">
        <is>
          <t>ÖSTERGÖTLANDS LÄN</t>
        </is>
      </c>
      <c r="E420" t="inlineStr">
        <is>
          <t>LINKÖPING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62353-2022</t>
        </is>
      </c>
      <c r="B421" s="1" t="n">
        <v>44923</v>
      </c>
      <c r="C421" s="1" t="n">
        <v>46010</v>
      </c>
      <c r="D421" t="inlineStr">
        <is>
          <t>ÖSTERGÖTLANDS LÄN</t>
        </is>
      </c>
      <c r="E421" t="inlineStr">
        <is>
          <t>LINKÖPING</t>
        </is>
      </c>
      <c r="F421" t="inlineStr">
        <is>
          <t>Allmännings- och besparingsskogar</t>
        </is>
      </c>
      <c r="G421" t="n">
        <v>1.7</v>
      </c>
      <c r="H421" t="n">
        <v>0</v>
      </c>
      <c r="I421" t="n">
        <v>0</v>
      </c>
      <c r="J421" t="n">
        <v>0</v>
      </c>
      <c r="K421" t="n">
        <v>0</v>
      </c>
      <c r="L421" t="n">
        <v>0</v>
      </c>
      <c r="M421" t="n">
        <v>0</v>
      </c>
      <c r="N421" t="n">
        <v>0</v>
      </c>
      <c r="O421" t="n">
        <v>0</v>
      </c>
      <c r="P421" t="n">
        <v>0</v>
      </c>
      <c r="Q421" t="n">
        <v>0</v>
      </c>
      <c r="R421" s="2" t="inlineStr"/>
    </row>
    <row r="422" ht="15" customHeight="1">
      <c r="A422" t="inlineStr">
        <is>
          <t>A 30111-2024</t>
        </is>
      </c>
      <c r="B422" s="1" t="n">
        <v>45489.46947916667</v>
      </c>
      <c r="C422" s="1" t="n">
        <v>46010</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30119-2024</t>
        </is>
      </c>
      <c r="B423" s="1" t="n">
        <v>45489</v>
      </c>
      <c r="C423" s="1" t="n">
        <v>46010</v>
      </c>
      <c r="D423" t="inlineStr">
        <is>
          <t>ÖSTERGÖTLANDS LÄN</t>
        </is>
      </c>
      <c r="E423" t="inlineStr">
        <is>
          <t>LINKÖPING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56105-2025</t>
        </is>
      </c>
      <c r="B424" s="1" t="n">
        <v>45973.72855324074</v>
      </c>
      <c r="C424" s="1" t="n">
        <v>46010</v>
      </c>
      <c r="D424" t="inlineStr">
        <is>
          <t>ÖSTERGÖTLANDS LÄN</t>
        </is>
      </c>
      <c r="E424" t="inlineStr">
        <is>
          <t>LINKÖPING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29411-2023</t>
        </is>
      </c>
      <c r="B425" s="1" t="n">
        <v>45106.46225694445</v>
      </c>
      <c r="C425" s="1" t="n">
        <v>46010</v>
      </c>
      <c r="D425" t="inlineStr">
        <is>
          <t>ÖSTERGÖTLANDS LÄN</t>
        </is>
      </c>
      <c r="E425" t="inlineStr">
        <is>
          <t>LINKÖPING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29412-2023</t>
        </is>
      </c>
      <c r="B426" s="1" t="n">
        <v>45106.46359953703</v>
      </c>
      <c r="C426" s="1" t="n">
        <v>46010</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31792-2021</t>
        </is>
      </c>
      <c r="B427" s="1" t="n">
        <v>44369</v>
      </c>
      <c r="C427" s="1" t="n">
        <v>46010</v>
      </c>
      <c r="D427" t="inlineStr">
        <is>
          <t>ÖSTERGÖTLANDS LÄN</t>
        </is>
      </c>
      <c r="E427" t="inlineStr">
        <is>
          <t>LINKÖPING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421-2024</t>
        </is>
      </c>
      <c r="B428" s="1" t="n">
        <v>45296.51877314815</v>
      </c>
      <c r="C428" s="1" t="n">
        <v>46010</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22043-2023</t>
        </is>
      </c>
      <c r="B429" s="1" t="n">
        <v>45069.39050925926</v>
      </c>
      <c r="C429" s="1" t="n">
        <v>46010</v>
      </c>
      <c r="D429" t="inlineStr">
        <is>
          <t>ÖSTERGÖTLANDS LÄN</t>
        </is>
      </c>
      <c r="E429" t="inlineStr">
        <is>
          <t>LINKÖPING</t>
        </is>
      </c>
      <c r="G429" t="n">
        <v>5.9</v>
      </c>
      <c r="H429" t="n">
        <v>0</v>
      </c>
      <c r="I429" t="n">
        <v>0</v>
      </c>
      <c r="J429" t="n">
        <v>0</v>
      </c>
      <c r="K429" t="n">
        <v>0</v>
      </c>
      <c r="L429" t="n">
        <v>0</v>
      </c>
      <c r="M429" t="n">
        <v>0</v>
      </c>
      <c r="N429" t="n">
        <v>0</v>
      </c>
      <c r="O429" t="n">
        <v>0</v>
      </c>
      <c r="P429" t="n">
        <v>0</v>
      </c>
      <c r="Q429" t="n">
        <v>0</v>
      </c>
      <c r="R429" s="2" t="inlineStr"/>
    </row>
    <row r="430" ht="15" customHeight="1">
      <c r="A430" t="inlineStr">
        <is>
          <t>A 61281-2021</t>
        </is>
      </c>
      <c r="B430" s="1" t="n">
        <v>44498.60736111111</v>
      </c>
      <c r="C430" s="1" t="n">
        <v>46010</v>
      </c>
      <c r="D430" t="inlineStr">
        <is>
          <t>ÖSTERGÖTLANDS LÄN</t>
        </is>
      </c>
      <c r="E430" t="inlineStr">
        <is>
          <t>LINKÖPING</t>
        </is>
      </c>
      <c r="G430" t="n">
        <v>4.5</v>
      </c>
      <c r="H430" t="n">
        <v>0</v>
      </c>
      <c r="I430" t="n">
        <v>0</v>
      </c>
      <c r="J430" t="n">
        <v>0</v>
      </c>
      <c r="K430" t="n">
        <v>0</v>
      </c>
      <c r="L430" t="n">
        <v>0</v>
      </c>
      <c r="M430" t="n">
        <v>0</v>
      </c>
      <c r="N430" t="n">
        <v>0</v>
      </c>
      <c r="O430" t="n">
        <v>0</v>
      </c>
      <c r="P430" t="n">
        <v>0</v>
      </c>
      <c r="Q430" t="n">
        <v>0</v>
      </c>
      <c r="R430" s="2" t="inlineStr"/>
    </row>
    <row r="431" ht="15" customHeight="1">
      <c r="A431" t="inlineStr">
        <is>
          <t>A 25292-2021</t>
        </is>
      </c>
      <c r="B431" s="1" t="n">
        <v>44342</v>
      </c>
      <c r="C431" s="1" t="n">
        <v>46010</v>
      </c>
      <c r="D431" t="inlineStr">
        <is>
          <t>ÖSTERGÖTLANDS LÄN</t>
        </is>
      </c>
      <c r="E431" t="inlineStr">
        <is>
          <t>LINKÖPING</t>
        </is>
      </c>
      <c r="F431" t="inlineStr">
        <is>
          <t>Övriga Aktiebolag</t>
        </is>
      </c>
      <c r="G431" t="n">
        <v>12.8</v>
      </c>
      <c r="H431" t="n">
        <v>0</v>
      </c>
      <c r="I431" t="n">
        <v>0</v>
      </c>
      <c r="J431" t="n">
        <v>0</v>
      </c>
      <c r="K431" t="n">
        <v>0</v>
      </c>
      <c r="L431" t="n">
        <v>0</v>
      </c>
      <c r="M431" t="n">
        <v>0</v>
      </c>
      <c r="N431" t="n">
        <v>0</v>
      </c>
      <c r="O431" t="n">
        <v>0</v>
      </c>
      <c r="P431" t="n">
        <v>0</v>
      </c>
      <c r="Q431" t="n">
        <v>0</v>
      </c>
      <c r="R431" s="2" t="inlineStr"/>
    </row>
    <row r="432" ht="15" customHeight="1">
      <c r="A432" t="inlineStr">
        <is>
          <t>A 61532-2021</t>
        </is>
      </c>
      <c r="B432" s="1" t="n">
        <v>44501</v>
      </c>
      <c r="C432" s="1" t="n">
        <v>46010</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63935-2021</t>
        </is>
      </c>
      <c r="B433" s="1" t="n">
        <v>44509</v>
      </c>
      <c r="C433" s="1" t="n">
        <v>46010</v>
      </c>
      <c r="D433" t="inlineStr">
        <is>
          <t>ÖSTERGÖTLANDS LÄN</t>
        </is>
      </c>
      <c r="E433" t="inlineStr">
        <is>
          <t>LINKÖPING</t>
        </is>
      </c>
      <c r="F433" t="inlineStr">
        <is>
          <t>Övriga statliga verk och myndigheter</t>
        </is>
      </c>
      <c r="G433" t="n">
        <v>2.8</v>
      </c>
      <c r="H433" t="n">
        <v>0</v>
      </c>
      <c r="I433" t="n">
        <v>0</v>
      </c>
      <c r="J433" t="n">
        <v>0</v>
      </c>
      <c r="K433" t="n">
        <v>0</v>
      </c>
      <c r="L433" t="n">
        <v>0</v>
      </c>
      <c r="M433" t="n">
        <v>0</v>
      </c>
      <c r="N433" t="n">
        <v>0</v>
      </c>
      <c r="O433" t="n">
        <v>0</v>
      </c>
      <c r="P433" t="n">
        <v>0</v>
      </c>
      <c r="Q433" t="n">
        <v>0</v>
      </c>
      <c r="R433" s="2" t="inlineStr"/>
    </row>
    <row r="434" ht="15" customHeight="1">
      <c r="A434" t="inlineStr">
        <is>
          <t>A 14028-2024</t>
        </is>
      </c>
      <c r="B434" s="1" t="n">
        <v>45392</v>
      </c>
      <c r="C434" s="1" t="n">
        <v>46010</v>
      </c>
      <c r="D434" t="inlineStr">
        <is>
          <t>ÖSTERGÖTLANDS LÄN</t>
        </is>
      </c>
      <c r="E434" t="inlineStr">
        <is>
          <t>LINKÖPING</t>
        </is>
      </c>
      <c r="G434" t="n">
        <v>1.7</v>
      </c>
      <c r="H434" t="n">
        <v>0</v>
      </c>
      <c r="I434" t="n">
        <v>0</v>
      </c>
      <c r="J434" t="n">
        <v>0</v>
      </c>
      <c r="K434" t="n">
        <v>0</v>
      </c>
      <c r="L434" t="n">
        <v>0</v>
      </c>
      <c r="M434" t="n">
        <v>0</v>
      </c>
      <c r="N434" t="n">
        <v>0</v>
      </c>
      <c r="O434" t="n">
        <v>0</v>
      </c>
      <c r="P434" t="n">
        <v>0</v>
      </c>
      <c r="Q434" t="n">
        <v>0</v>
      </c>
      <c r="R434" s="2" t="inlineStr"/>
    </row>
    <row r="435" ht="15" customHeight="1">
      <c r="A435" t="inlineStr">
        <is>
          <t>A 40431-2024</t>
        </is>
      </c>
      <c r="B435" s="1" t="n">
        <v>45555.47070601852</v>
      </c>
      <c r="C435" s="1" t="n">
        <v>46010</v>
      </c>
      <c r="D435" t="inlineStr">
        <is>
          <t>ÖSTERGÖTLANDS LÄN</t>
        </is>
      </c>
      <c r="E435" t="inlineStr">
        <is>
          <t>LINKÖPING</t>
        </is>
      </c>
      <c r="F435" t="inlineStr">
        <is>
          <t>Allmännings- och besparingsskogar</t>
        </is>
      </c>
      <c r="G435" t="n">
        <v>2.9</v>
      </c>
      <c r="H435" t="n">
        <v>0</v>
      </c>
      <c r="I435" t="n">
        <v>0</v>
      </c>
      <c r="J435" t="n">
        <v>0</v>
      </c>
      <c r="K435" t="n">
        <v>0</v>
      </c>
      <c r="L435" t="n">
        <v>0</v>
      </c>
      <c r="M435" t="n">
        <v>0</v>
      </c>
      <c r="N435" t="n">
        <v>0</v>
      </c>
      <c r="O435" t="n">
        <v>0</v>
      </c>
      <c r="P435" t="n">
        <v>0</v>
      </c>
      <c r="Q435" t="n">
        <v>0</v>
      </c>
      <c r="R435" s="2" t="inlineStr"/>
    </row>
    <row r="436" ht="15" customHeight="1">
      <c r="A436" t="inlineStr">
        <is>
          <t>A 38971-2025</t>
        </is>
      </c>
      <c r="B436" s="1" t="n">
        <v>45887.71827546296</v>
      </c>
      <c r="C436" s="1" t="n">
        <v>46010</v>
      </c>
      <c r="D436" t="inlineStr">
        <is>
          <t>ÖSTERGÖTLANDS LÄN</t>
        </is>
      </c>
      <c r="E436" t="inlineStr">
        <is>
          <t>LINKÖPING</t>
        </is>
      </c>
      <c r="G436" t="n">
        <v>3.9</v>
      </c>
      <c r="H436" t="n">
        <v>0</v>
      </c>
      <c r="I436" t="n">
        <v>0</v>
      </c>
      <c r="J436" t="n">
        <v>0</v>
      </c>
      <c r="K436" t="n">
        <v>0</v>
      </c>
      <c r="L436" t="n">
        <v>0</v>
      </c>
      <c r="M436" t="n">
        <v>0</v>
      </c>
      <c r="N436" t="n">
        <v>0</v>
      </c>
      <c r="O436" t="n">
        <v>0</v>
      </c>
      <c r="P436" t="n">
        <v>0</v>
      </c>
      <c r="Q436" t="n">
        <v>0</v>
      </c>
      <c r="R436" s="2" t="inlineStr"/>
    </row>
    <row r="437" ht="15" customHeight="1">
      <c r="A437" t="inlineStr">
        <is>
          <t>A 55345-2021</t>
        </is>
      </c>
      <c r="B437" s="1" t="n">
        <v>44475</v>
      </c>
      <c r="C437" s="1" t="n">
        <v>46010</v>
      </c>
      <c r="D437" t="inlineStr">
        <is>
          <t>ÖSTERGÖTLANDS LÄN</t>
        </is>
      </c>
      <c r="E437" t="inlineStr">
        <is>
          <t>LINKÖPING</t>
        </is>
      </c>
      <c r="G437" t="n">
        <v>5.7</v>
      </c>
      <c r="H437" t="n">
        <v>0</v>
      </c>
      <c r="I437" t="n">
        <v>0</v>
      </c>
      <c r="J437" t="n">
        <v>0</v>
      </c>
      <c r="K437" t="n">
        <v>0</v>
      </c>
      <c r="L437" t="n">
        <v>0</v>
      </c>
      <c r="M437" t="n">
        <v>0</v>
      </c>
      <c r="N437" t="n">
        <v>0</v>
      </c>
      <c r="O437" t="n">
        <v>0</v>
      </c>
      <c r="P437" t="n">
        <v>0</v>
      </c>
      <c r="Q437" t="n">
        <v>0</v>
      </c>
      <c r="R437" s="2" t="inlineStr"/>
    </row>
    <row r="438" ht="15" customHeight="1">
      <c r="A438" t="inlineStr">
        <is>
          <t>A 60860-2024</t>
        </is>
      </c>
      <c r="B438" s="1" t="n">
        <v>45644.6893287037</v>
      </c>
      <c r="C438" s="1" t="n">
        <v>46010</v>
      </c>
      <c r="D438" t="inlineStr">
        <is>
          <t>ÖSTERGÖTLANDS LÄN</t>
        </is>
      </c>
      <c r="E438" t="inlineStr">
        <is>
          <t>LINKÖPING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2697-2023</t>
        </is>
      </c>
      <c r="B439" s="1" t="n">
        <v>44944</v>
      </c>
      <c r="C439" s="1" t="n">
        <v>46010</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45806-2024</t>
        </is>
      </c>
      <c r="B440" s="1" t="n">
        <v>45579.69619212963</v>
      </c>
      <c r="C440" s="1" t="n">
        <v>46010</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56756-2023</t>
        </is>
      </c>
      <c r="B441" s="1" t="n">
        <v>45244</v>
      </c>
      <c r="C441" s="1" t="n">
        <v>46010</v>
      </c>
      <c r="D441" t="inlineStr">
        <is>
          <t>ÖSTERGÖTLANDS LÄN</t>
        </is>
      </c>
      <c r="E441" t="inlineStr">
        <is>
          <t>LINKÖPING</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48343-2025</t>
        </is>
      </c>
      <c r="B442" s="1" t="n">
        <v>45932</v>
      </c>
      <c r="C442" s="1" t="n">
        <v>46010</v>
      </c>
      <c r="D442" t="inlineStr">
        <is>
          <t>ÖSTERGÖTLANDS LÄN</t>
        </is>
      </c>
      <c r="E442" t="inlineStr">
        <is>
          <t>LINKÖPING</t>
        </is>
      </c>
      <c r="F442" t="inlineStr">
        <is>
          <t>Övriga Aktiebolag</t>
        </is>
      </c>
      <c r="G442" t="n">
        <v>2</v>
      </c>
      <c r="H442" t="n">
        <v>0</v>
      </c>
      <c r="I442" t="n">
        <v>0</v>
      </c>
      <c r="J442" t="n">
        <v>0</v>
      </c>
      <c r="K442" t="n">
        <v>0</v>
      </c>
      <c r="L442" t="n">
        <v>0</v>
      </c>
      <c r="M442" t="n">
        <v>0</v>
      </c>
      <c r="N442" t="n">
        <v>0</v>
      </c>
      <c r="O442" t="n">
        <v>0</v>
      </c>
      <c r="P442" t="n">
        <v>0</v>
      </c>
      <c r="Q442" t="n">
        <v>0</v>
      </c>
      <c r="R442" s="2" t="inlineStr"/>
    </row>
    <row r="443" ht="15" customHeight="1">
      <c r="A443" t="inlineStr">
        <is>
          <t>A 60985-2023</t>
        </is>
      </c>
      <c r="B443" s="1" t="n">
        <v>45261.48429398148</v>
      </c>
      <c r="C443" s="1" t="n">
        <v>46010</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48266-2025</t>
        </is>
      </c>
      <c r="B444" s="1" t="n">
        <v>45932</v>
      </c>
      <c r="C444" s="1" t="n">
        <v>46010</v>
      </c>
      <c r="D444" t="inlineStr">
        <is>
          <t>ÖSTERGÖTLANDS LÄN</t>
        </is>
      </c>
      <c r="E444" t="inlineStr">
        <is>
          <t>LINKÖPING</t>
        </is>
      </c>
      <c r="F444" t="inlineStr">
        <is>
          <t>Övriga Aktiebolag</t>
        </is>
      </c>
      <c r="G444" t="n">
        <v>0.5</v>
      </c>
      <c r="H444" t="n">
        <v>0</v>
      </c>
      <c r="I444" t="n">
        <v>0</v>
      </c>
      <c r="J444" t="n">
        <v>0</v>
      </c>
      <c r="K444" t="n">
        <v>0</v>
      </c>
      <c r="L444" t="n">
        <v>0</v>
      </c>
      <c r="M444" t="n">
        <v>0</v>
      </c>
      <c r="N444" t="n">
        <v>0</v>
      </c>
      <c r="O444" t="n">
        <v>0</v>
      </c>
      <c r="P444" t="n">
        <v>0</v>
      </c>
      <c r="Q444" t="n">
        <v>0</v>
      </c>
      <c r="R444" s="2" t="inlineStr"/>
    </row>
    <row r="445" ht="15" customHeight="1">
      <c r="A445" t="inlineStr">
        <is>
          <t>A 24904-2024</t>
        </is>
      </c>
      <c r="B445" s="1" t="n">
        <v>45461</v>
      </c>
      <c r="C445" s="1" t="n">
        <v>46010</v>
      </c>
      <c r="D445" t="inlineStr">
        <is>
          <t>ÖSTERGÖTLANDS LÄN</t>
        </is>
      </c>
      <c r="E445" t="inlineStr">
        <is>
          <t>LINKÖPING</t>
        </is>
      </c>
      <c r="G445" t="n">
        <v>3.8</v>
      </c>
      <c r="H445" t="n">
        <v>0</v>
      </c>
      <c r="I445" t="n">
        <v>0</v>
      </c>
      <c r="J445" t="n">
        <v>0</v>
      </c>
      <c r="K445" t="n">
        <v>0</v>
      </c>
      <c r="L445" t="n">
        <v>0</v>
      </c>
      <c r="M445" t="n">
        <v>0</v>
      </c>
      <c r="N445" t="n">
        <v>0</v>
      </c>
      <c r="O445" t="n">
        <v>0</v>
      </c>
      <c r="P445" t="n">
        <v>0</v>
      </c>
      <c r="Q445" t="n">
        <v>0</v>
      </c>
      <c r="R445" s="2" t="inlineStr"/>
    </row>
    <row r="446" ht="15" customHeight="1">
      <c r="A446" t="inlineStr">
        <is>
          <t>A 55009-2023</t>
        </is>
      </c>
      <c r="B446" s="1" t="n">
        <v>45237</v>
      </c>
      <c r="C446" s="1" t="n">
        <v>46010</v>
      </c>
      <c r="D446" t="inlineStr">
        <is>
          <t>ÖSTERGÖTLANDS LÄN</t>
        </is>
      </c>
      <c r="E446" t="inlineStr">
        <is>
          <t>LINKÖPING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34872-2023</t>
        </is>
      </c>
      <c r="B447" s="1" t="n">
        <v>45140</v>
      </c>
      <c r="C447" s="1" t="n">
        <v>46010</v>
      </c>
      <c r="D447" t="inlineStr">
        <is>
          <t>ÖSTERGÖTLANDS LÄN</t>
        </is>
      </c>
      <c r="E447" t="inlineStr">
        <is>
          <t>LINKÖPING</t>
        </is>
      </c>
      <c r="G447" t="n">
        <v>4.8</v>
      </c>
      <c r="H447" t="n">
        <v>0</v>
      </c>
      <c r="I447" t="n">
        <v>0</v>
      </c>
      <c r="J447" t="n">
        <v>0</v>
      </c>
      <c r="K447" t="n">
        <v>0</v>
      </c>
      <c r="L447" t="n">
        <v>0</v>
      </c>
      <c r="M447" t="n">
        <v>0</v>
      </c>
      <c r="N447" t="n">
        <v>0</v>
      </c>
      <c r="O447" t="n">
        <v>0</v>
      </c>
      <c r="P447" t="n">
        <v>0</v>
      </c>
      <c r="Q447" t="n">
        <v>0</v>
      </c>
      <c r="R447" s="2" t="inlineStr"/>
    </row>
    <row r="448" ht="15" customHeight="1">
      <c r="A448" t="inlineStr">
        <is>
          <t>A 36336-2022</t>
        </is>
      </c>
      <c r="B448" s="1" t="n">
        <v>44803</v>
      </c>
      <c r="C448" s="1" t="n">
        <v>46010</v>
      </c>
      <c r="D448" t="inlineStr">
        <is>
          <t>ÖSTERGÖTLANDS LÄN</t>
        </is>
      </c>
      <c r="E448" t="inlineStr">
        <is>
          <t>LINKÖPING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48254-2025</t>
        </is>
      </c>
      <c r="B449" s="1" t="n">
        <v>45932</v>
      </c>
      <c r="C449" s="1" t="n">
        <v>46010</v>
      </c>
      <c r="D449" t="inlineStr">
        <is>
          <t>ÖSTERGÖTLANDS LÄN</t>
        </is>
      </c>
      <c r="E449" t="inlineStr">
        <is>
          <t>LINKÖPING</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25097-2023</t>
        </is>
      </c>
      <c r="B450" s="1" t="n">
        <v>45086</v>
      </c>
      <c r="C450" s="1" t="n">
        <v>46010</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56403-2025</t>
        </is>
      </c>
      <c r="B451" s="1" t="n">
        <v>45974</v>
      </c>
      <c r="C451" s="1" t="n">
        <v>46010</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10461-2023</t>
        </is>
      </c>
      <c r="B452" s="1" t="n">
        <v>44987.5969212963</v>
      </c>
      <c r="C452" s="1" t="n">
        <v>46010</v>
      </c>
      <c r="D452" t="inlineStr">
        <is>
          <t>ÖSTERGÖTLANDS LÄN</t>
        </is>
      </c>
      <c r="E452" t="inlineStr">
        <is>
          <t>LINKÖPING</t>
        </is>
      </c>
      <c r="G452" t="n">
        <v>7.8</v>
      </c>
      <c r="H452" t="n">
        <v>0</v>
      </c>
      <c r="I452" t="n">
        <v>0</v>
      </c>
      <c r="J452" t="n">
        <v>0</v>
      </c>
      <c r="K452" t="n">
        <v>0</v>
      </c>
      <c r="L452" t="n">
        <v>0</v>
      </c>
      <c r="M452" t="n">
        <v>0</v>
      </c>
      <c r="N452" t="n">
        <v>0</v>
      </c>
      <c r="O452" t="n">
        <v>0</v>
      </c>
      <c r="P452" t="n">
        <v>0</v>
      </c>
      <c r="Q452" t="n">
        <v>0</v>
      </c>
      <c r="R452" s="2" t="inlineStr"/>
    </row>
    <row r="453" ht="15" customHeight="1">
      <c r="A453" t="inlineStr">
        <is>
          <t>A 56704-2025</t>
        </is>
      </c>
      <c r="B453" s="1" t="n">
        <v>45977.50608796296</v>
      </c>
      <c r="C453" s="1" t="n">
        <v>46010</v>
      </c>
      <c r="D453" t="inlineStr">
        <is>
          <t>ÖSTERGÖTLANDS LÄN</t>
        </is>
      </c>
      <c r="E453" t="inlineStr">
        <is>
          <t>LINKÖPING</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50386-2021</t>
        </is>
      </c>
      <c r="B454" s="1" t="n">
        <v>44459</v>
      </c>
      <c r="C454" s="1" t="n">
        <v>46010</v>
      </c>
      <c r="D454" t="inlineStr">
        <is>
          <t>ÖSTERGÖTLANDS LÄN</t>
        </is>
      </c>
      <c r="E454" t="inlineStr">
        <is>
          <t>LINKÖPING</t>
        </is>
      </c>
      <c r="G454" t="n">
        <v>2.3</v>
      </c>
      <c r="H454" t="n">
        <v>0</v>
      </c>
      <c r="I454" t="n">
        <v>0</v>
      </c>
      <c r="J454" t="n">
        <v>0</v>
      </c>
      <c r="K454" t="n">
        <v>0</v>
      </c>
      <c r="L454" t="n">
        <v>0</v>
      </c>
      <c r="M454" t="n">
        <v>0</v>
      </c>
      <c r="N454" t="n">
        <v>0</v>
      </c>
      <c r="O454" t="n">
        <v>0</v>
      </c>
      <c r="P454" t="n">
        <v>0</v>
      </c>
      <c r="Q454" t="n">
        <v>0</v>
      </c>
      <c r="R454" s="2" t="inlineStr"/>
    </row>
    <row r="455" ht="15" customHeight="1">
      <c r="A455" t="inlineStr">
        <is>
          <t>A 350-2022</t>
        </is>
      </c>
      <c r="B455" s="1" t="n">
        <v>44565</v>
      </c>
      <c r="C455" s="1" t="n">
        <v>46010</v>
      </c>
      <c r="D455" t="inlineStr">
        <is>
          <t>ÖSTERGÖTLANDS LÄN</t>
        </is>
      </c>
      <c r="E455" t="inlineStr">
        <is>
          <t>LINKÖPING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18891-2022</t>
        </is>
      </c>
      <c r="B456" s="1" t="n">
        <v>44690</v>
      </c>
      <c r="C456" s="1" t="n">
        <v>46010</v>
      </c>
      <c r="D456" t="inlineStr">
        <is>
          <t>ÖSTERGÖTLANDS LÄN</t>
        </is>
      </c>
      <c r="E456" t="inlineStr">
        <is>
          <t>LINKÖPING</t>
        </is>
      </c>
      <c r="G456" t="n">
        <v>1.2</v>
      </c>
      <c r="H456" t="n">
        <v>0</v>
      </c>
      <c r="I456" t="n">
        <v>0</v>
      </c>
      <c r="J456" t="n">
        <v>0</v>
      </c>
      <c r="K456" t="n">
        <v>0</v>
      </c>
      <c r="L456" t="n">
        <v>0</v>
      </c>
      <c r="M456" t="n">
        <v>0</v>
      </c>
      <c r="N456" t="n">
        <v>0</v>
      </c>
      <c r="O456" t="n">
        <v>0</v>
      </c>
      <c r="P456" t="n">
        <v>0</v>
      </c>
      <c r="Q456" t="n">
        <v>0</v>
      </c>
      <c r="R456" s="2" t="inlineStr"/>
    </row>
    <row r="457" ht="15" customHeight="1">
      <c r="A457" t="inlineStr">
        <is>
          <t>A 30976-2022</t>
        </is>
      </c>
      <c r="B457" s="1" t="n">
        <v>44768</v>
      </c>
      <c r="C457" s="1" t="n">
        <v>46010</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55736-2022</t>
        </is>
      </c>
      <c r="B458" s="1" t="n">
        <v>44888</v>
      </c>
      <c r="C458" s="1" t="n">
        <v>46010</v>
      </c>
      <c r="D458" t="inlineStr">
        <is>
          <t>ÖSTERGÖTLANDS LÄN</t>
        </is>
      </c>
      <c r="E458" t="inlineStr">
        <is>
          <t>LINKÖPING</t>
        </is>
      </c>
      <c r="G458" t="n">
        <v>5.5</v>
      </c>
      <c r="H458" t="n">
        <v>0</v>
      </c>
      <c r="I458" t="n">
        <v>0</v>
      </c>
      <c r="J458" t="n">
        <v>0</v>
      </c>
      <c r="K458" t="n">
        <v>0</v>
      </c>
      <c r="L458" t="n">
        <v>0</v>
      </c>
      <c r="M458" t="n">
        <v>0</v>
      </c>
      <c r="N458" t="n">
        <v>0</v>
      </c>
      <c r="O458" t="n">
        <v>0</v>
      </c>
      <c r="P458" t="n">
        <v>0</v>
      </c>
      <c r="Q458" t="n">
        <v>0</v>
      </c>
      <c r="R458" s="2" t="inlineStr"/>
    </row>
    <row r="459" ht="15" customHeight="1">
      <c r="A459" t="inlineStr">
        <is>
          <t>A 49455-2025</t>
        </is>
      </c>
      <c r="B459" s="1" t="n">
        <v>45938</v>
      </c>
      <c r="C459" s="1" t="n">
        <v>46010</v>
      </c>
      <c r="D459" t="inlineStr">
        <is>
          <t>ÖSTERGÖTLANDS LÄN</t>
        </is>
      </c>
      <c r="E459" t="inlineStr">
        <is>
          <t>LINKÖPING</t>
        </is>
      </c>
      <c r="F459" t="inlineStr">
        <is>
          <t>Övriga Aktiebolag</t>
        </is>
      </c>
      <c r="G459" t="n">
        <v>5.9</v>
      </c>
      <c r="H459" t="n">
        <v>0</v>
      </c>
      <c r="I459" t="n">
        <v>0</v>
      </c>
      <c r="J459" t="n">
        <v>0</v>
      </c>
      <c r="K459" t="n">
        <v>0</v>
      </c>
      <c r="L459" t="n">
        <v>0</v>
      </c>
      <c r="M459" t="n">
        <v>0</v>
      </c>
      <c r="N459" t="n">
        <v>0</v>
      </c>
      <c r="O459" t="n">
        <v>0</v>
      </c>
      <c r="P459" t="n">
        <v>0</v>
      </c>
      <c r="Q459" t="n">
        <v>0</v>
      </c>
      <c r="R459" s="2" t="inlineStr"/>
    </row>
    <row r="460" ht="15" customHeight="1">
      <c r="A460" t="inlineStr">
        <is>
          <t>A 10194-2023</t>
        </is>
      </c>
      <c r="B460" s="1" t="n">
        <v>44986.52277777778</v>
      </c>
      <c r="C460" s="1" t="n">
        <v>46010</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49605-2025</t>
        </is>
      </c>
      <c r="B461" s="1" t="n">
        <v>45938</v>
      </c>
      <c r="C461" s="1" t="n">
        <v>46010</v>
      </c>
      <c r="D461" t="inlineStr">
        <is>
          <t>ÖSTERGÖTLANDS LÄN</t>
        </is>
      </c>
      <c r="E461" t="inlineStr">
        <is>
          <t>LINKÖPING</t>
        </is>
      </c>
      <c r="F461" t="inlineStr">
        <is>
          <t>Övriga Aktiebolag</t>
        </is>
      </c>
      <c r="G461" t="n">
        <v>3.3</v>
      </c>
      <c r="H461" t="n">
        <v>0</v>
      </c>
      <c r="I461" t="n">
        <v>0</v>
      </c>
      <c r="J461" t="n">
        <v>0</v>
      </c>
      <c r="K461" t="n">
        <v>0</v>
      </c>
      <c r="L461" t="n">
        <v>0</v>
      </c>
      <c r="M461" t="n">
        <v>0</v>
      </c>
      <c r="N461" t="n">
        <v>0</v>
      </c>
      <c r="O461" t="n">
        <v>0</v>
      </c>
      <c r="P461" t="n">
        <v>0</v>
      </c>
      <c r="Q461" t="n">
        <v>0</v>
      </c>
      <c r="R461" s="2" t="inlineStr"/>
    </row>
    <row r="462" ht="15" customHeight="1">
      <c r="A462" t="inlineStr">
        <is>
          <t>A 49663-2025</t>
        </is>
      </c>
      <c r="B462" s="1" t="n">
        <v>45938</v>
      </c>
      <c r="C462" s="1" t="n">
        <v>46010</v>
      </c>
      <c r="D462" t="inlineStr">
        <is>
          <t>ÖSTERGÖTLANDS LÄN</t>
        </is>
      </c>
      <c r="E462" t="inlineStr">
        <is>
          <t>LINKÖPING</t>
        </is>
      </c>
      <c r="F462" t="inlineStr">
        <is>
          <t>Övriga Aktiebolag</t>
        </is>
      </c>
      <c r="G462" t="n">
        <v>1.2</v>
      </c>
      <c r="H462" t="n">
        <v>0</v>
      </c>
      <c r="I462" t="n">
        <v>0</v>
      </c>
      <c r="J462" t="n">
        <v>0</v>
      </c>
      <c r="K462" t="n">
        <v>0</v>
      </c>
      <c r="L462" t="n">
        <v>0</v>
      </c>
      <c r="M462" t="n">
        <v>0</v>
      </c>
      <c r="N462" t="n">
        <v>0</v>
      </c>
      <c r="O462" t="n">
        <v>0</v>
      </c>
      <c r="P462" t="n">
        <v>0</v>
      </c>
      <c r="Q462" t="n">
        <v>0</v>
      </c>
      <c r="R462" s="2" t="inlineStr"/>
    </row>
    <row r="463" ht="15" customHeight="1">
      <c r="A463" t="inlineStr">
        <is>
          <t>A 49632-2025</t>
        </is>
      </c>
      <c r="B463" s="1" t="n">
        <v>45938</v>
      </c>
      <c r="C463" s="1" t="n">
        <v>46010</v>
      </c>
      <c r="D463" t="inlineStr">
        <is>
          <t>ÖSTERGÖTLANDS LÄN</t>
        </is>
      </c>
      <c r="E463" t="inlineStr">
        <is>
          <t>LINKÖPING</t>
        </is>
      </c>
      <c r="F463" t="inlineStr">
        <is>
          <t>Övriga Aktiebolag</t>
        </is>
      </c>
      <c r="G463" t="n">
        <v>1.6</v>
      </c>
      <c r="H463" t="n">
        <v>0</v>
      </c>
      <c r="I463" t="n">
        <v>0</v>
      </c>
      <c r="J463" t="n">
        <v>0</v>
      </c>
      <c r="K463" t="n">
        <v>0</v>
      </c>
      <c r="L463" t="n">
        <v>0</v>
      </c>
      <c r="M463" t="n">
        <v>0</v>
      </c>
      <c r="N463" t="n">
        <v>0</v>
      </c>
      <c r="O463" t="n">
        <v>0</v>
      </c>
      <c r="P463" t="n">
        <v>0</v>
      </c>
      <c r="Q463" t="n">
        <v>0</v>
      </c>
      <c r="R463" s="2" t="inlineStr"/>
    </row>
    <row r="464" ht="15" customHeight="1">
      <c r="A464" t="inlineStr">
        <is>
          <t>A 49647-2025</t>
        </is>
      </c>
      <c r="B464" s="1" t="n">
        <v>45938</v>
      </c>
      <c r="C464" s="1" t="n">
        <v>46010</v>
      </c>
      <c r="D464" t="inlineStr">
        <is>
          <t>ÖSTERGÖTLANDS LÄN</t>
        </is>
      </c>
      <c r="E464" t="inlineStr">
        <is>
          <t>LINKÖPING</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49652-2025</t>
        </is>
      </c>
      <c r="B465" s="1" t="n">
        <v>45938</v>
      </c>
      <c r="C465" s="1" t="n">
        <v>46010</v>
      </c>
      <c r="D465" t="inlineStr">
        <is>
          <t>ÖSTERGÖTLANDS LÄN</t>
        </is>
      </c>
      <c r="E465" t="inlineStr">
        <is>
          <t>LINKÖPING</t>
        </is>
      </c>
      <c r="F465" t="inlineStr">
        <is>
          <t>Övriga Aktiebolag</t>
        </is>
      </c>
      <c r="G465" t="n">
        <v>1.8</v>
      </c>
      <c r="H465" t="n">
        <v>0</v>
      </c>
      <c r="I465" t="n">
        <v>0</v>
      </c>
      <c r="J465" t="n">
        <v>0</v>
      </c>
      <c r="K465" t="n">
        <v>0</v>
      </c>
      <c r="L465" t="n">
        <v>0</v>
      </c>
      <c r="M465" t="n">
        <v>0</v>
      </c>
      <c r="N465" t="n">
        <v>0</v>
      </c>
      <c r="O465" t="n">
        <v>0</v>
      </c>
      <c r="P465" t="n">
        <v>0</v>
      </c>
      <c r="Q465" t="n">
        <v>0</v>
      </c>
      <c r="R465" s="2" t="inlineStr"/>
    </row>
    <row r="466" ht="15" customHeight="1">
      <c r="A466" t="inlineStr">
        <is>
          <t>A 49654-2025</t>
        </is>
      </c>
      <c r="B466" s="1" t="n">
        <v>45938</v>
      </c>
      <c r="C466" s="1" t="n">
        <v>46010</v>
      </c>
      <c r="D466" t="inlineStr">
        <is>
          <t>ÖSTERGÖTLANDS LÄN</t>
        </is>
      </c>
      <c r="E466" t="inlineStr">
        <is>
          <t>LINKÖPING</t>
        </is>
      </c>
      <c r="F466" t="inlineStr">
        <is>
          <t>Övriga Aktiebolag</t>
        </is>
      </c>
      <c r="G466" t="n">
        <v>3.1</v>
      </c>
      <c r="H466" t="n">
        <v>0</v>
      </c>
      <c r="I466" t="n">
        <v>0</v>
      </c>
      <c r="J466" t="n">
        <v>0</v>
      </c>
      <c r="K466" t="n">
        <v>0</v>
      </c>
      <c r="L466" t="n">
        <v>0</v>
      </c>
      <c r="M466" t="n">
        <v>0</v>
      </c>
      <c r="N466" t="n">
        <v>0</v>
      </c>
      <c r="O466" t="n">
        <v>0</v>
      </c>
      <c r="P466" t="n">
        <v>0</v>
      </c>
      <c r="Q466" t="n">
        <v>0</v>
      </c>
      <c r="R466" s="2" t="inlineStr"/>
    </row>
    <row r="467" ht="15" customHeight="1">
      <c r="A467" t="inlineStr">
        <is>
          <t>A 7702-2023</t>
        </is>
      </c>
      <c r="B467" s="1" t="n">
        <v>44967</v>
      </c>
      <c r="C467" s="1" t="n">
        <v>46010</v>
      </c>
      <c r="D467" t="inlineStr">
        <is>
          <t>ÖSTERGÖTLANDS LÄN</t>
        </is>
      </c>
      <c r="E467" t="inlineStr">
        <is>
          <t>LINKÖPING</t>
        </is>
      </c>
      <c r="F467" t="inlineStr">
        <is>
          <t>Övriga statliga verk och myndigheter</t>
        </is>
      </c>
      <c r="G467" t="n">
        <v>8</v>
      </c>
      <c r="H467" t="n">
        <v>0</v>
      </c>
      <c r="I467" t="n">
        <v>0</v>
      </c>
      <c r="J467" t="n">
        <v>0</v>
      </c>
      <c r="K467" t="n">
        <v>0</v>
      </c>
      <c r="L467" t="n">
        <v>0</v>
      </c>
      <c r="M467" t="n">
        <v>0</v>
      </c>
      <c r="N467" t="n">
        <v>0</v>
      </c>
      <c r="O467" t="n">
        <v>0</v>
      </c>
      <c r="P467" t="n">
        <v>0</v>
      </c>
      <c r="Q467" t="n">
        <v>0</v>
      </c>
      <c r="R467" s="2" t="inlineStr"/>
    </row>
    <row r="468" ht="15" customHeight="1">
      <c r="A468" t="inlineStr">
        <is>
          <t>A 49615-2025</t>
        </is>
      </c>
      <c r="B468" s="1" t="n">
        <v>45938</v>
      </c>
      <c r="C468" s="1" t="n">
        <v>46010</v>
      </c>
      <c r="D468" t="inlineStr">
        <is>
          <t>ÖSTERGÖTLANDS LÄN</t>
        </is>
      </c>
      <c r="E468" t="inlineStr">
        <is>
          <t>LINKÖPING</t>
        </is>
      </c>
      <c r="F468" t="inlineStr">
        <is>
          <t>Övriga Aktiebolag</t>
        </is>
      </c>
      <c r="G468" t="n">
        <v>1.6</v>
      </c>
      <c r="H468" t="n">
        <v>0</v>
      </c>
      <c r="I468" t="n">
        <v>0</v>
      </c>
      <c r="J468" t="n">
        <v>0</v>
      </c>
      <c r="K468" t="n">
        <v>0</v>
      </c>
      <c r="L468" t="n">
        <v>0</v>
      </c>
      <c r="M468" t="n">
        <v>0</v>
      </c>
      <c r="N468" t="n">
        <v>0</v>
      </c>
      <c r="O468" t="n">
        <v>0</v>
      </c>
      <c r="P468" t="n">
        <v>0</v>
      </c>
      <c r="Q468" t="n">
        <v>0</v>
      </c>
      <c r="R468" s="2" t="inlineStr"/>
    </row>
    <row r="469" ht="15" customHeight="1">
      <c r="A469" t="inlineStr">
        <is>
          <t>A 49619-2025</t>
        </is>
      </c>
      <c r="B469" s="1" t="n">
        <v>45938</v>
      </c>
      <c r="C469" s="1" t="n">
        <v>46010</v>
      </c>
      <c r="D469" t="inlineStr">
        <is>
          <t>ÖSTERGÖTLANDS LÄN</t>
        </is>
      </c>
      <c r="E469" t="inlineStr">
        <is>
          <t>LINKÖPING</t>
        </is>
      </c>
      <c r="F469" t="inlineStr">
        <is>
          <t>Övriga Aktiebolag</t>
        </is>
      </c>
      <c r="G469" t="n">
        <v>2.3</v>
      </c>
      <c r="H469" t="n">
        <v>0</v>
      </c>
      <c r="I469" t="n">
        <v>0</v>
      </c>
      <c r="J469" t="n">
        <v>0</v>
      </c>
      <c r="K469" t="n">
        <v>0</v>
      </c>
      <c r="L469" t="n">
        <v>0</v>
      </c>
      <c r="M469" t="n">
        <v>0</v>
      </c>
      <c r="N469" t="n">
        <v>0</v>
      </c>
      <c r="O469" t="n">
        <v>0</v>
      </c>
      <c r="P469" t="n">
        <v>0</v>
      </c>
      <c r="Q469" t="n">
        <v>0</v>
      </c>
      <c r="R469" s="2" t="inlineStr"/>
    </row>
    <row r="470" ht="15" customHeight="1">
      <c r="A470" t="inlineStr">
        <is>
          <t>A 49629-2025</t>
        </is>
      </c>
      <c r="B470" s="1" t="n">
        <v>45938</v>
      </c>
      <c r="C470" s="1" t="n">
        <v>46010</v>
      </c>
      <c r="D470" t="inlineStr">
        <is>
          <t>ÖSTERGÖTLANDS LÄN</t>
        </is>
      </c>
      <c r="E470" t="inlineStr">
        <is>
          <t>LINKÖPING</t>
        </is>
      </c>
      <c r="F470" t="inlineStr">
        <is>
          <t>Övriga Aktiebolag</t>
        </is>
      </c>
      <c r="G470" t="n">
        <v>4.5</v>
      </c>
      <c r="H470" t="n">
        <v>0</v>
      </c>
      <c r="I470" t="n">
        <v>0</v>
      </c>
      <c r="J470" t="n">
        <v>0</v>
      </c>
      <c r="K470" t="n">
        <v>0</v>
      </c>
      <c r="L470" t="n">
        <v>0</v>
      </c>
      <c r="M470" t="n">
        <v>0</v>
      </c>
      <c r="N470" t="n">
        <v>0</v>
      </c>
      <c r="O470" t="n">
        <v>0</v>
      </c>
      <c r="P470" t="n">
        <v>0</v>
      </c>
      <c r="Q470" t="n">
        <v>0</v>
      </c>
      <c r="R470" s="2" t="inlineStr"/>
    </row>
    <row r="471" ht="15" customHeight="1">
      <c r="A471" t="inlineStr">
        <is>
          <t>A 49650-2025</t>
        </is>
      </c>
      <c r="B471" s="1" t="n">
        <v>45938</v>
      </c>
      <c r="C471" s="1" t="n">
        <v>46010</v>
      </c>
      <c r="D471" t="inlineStr">
        <is>
          <t>ÖSTERGÖTLANDS LÄN</t>
        </is>
      </c>
      <c r="E471" t="inlineStr">
        <is>
          <t>LINKÖPING</t>
        </is>
      </c>
      <c r="F471" t="inlineStr">
        <is>
          <t>Övriga Aktiebolag</t>
        </is>
      </c>
      <c r="G471" t="n">
        <v>1.5</v>
      </c>
      <c r="H471" t="n">
        <v>0</v>
      </c>
      <c r="I471" t="n">
        <v>0</v>
      </c>
      <c r="J471" t="n">
        <v>0</v>
      </c>
      <c r="K471" t="n">
        <v>0</v>
      </c>
      <c r="L471" t="n">
        <v>0</v>
      </c>
      <c r="M471" t="n">
        <v>0</v>
      </c>
      <c r="N471" t="n">
        <v>0</v>
      </c>
      <c r="O471" t="n">
        <v>0</v>
      </c>
      <c r="P471" t="n">
        <v>0</v>
      </c>
      <c r="Q471" t="n">
        <v>0</v>
      </c>
      <c r="R471" s="2" t="inlineStr"/>
    </row>
    <row r="472" ht="15" customHeight="1">
      <c r="A472" t="inlineStr">
        <is>
          <t>A 49633-2025</t>
        </is>
      </c>
      <c r="B472" s="1" t="n">
        <v>45938</v>
      </c>
      <c r="C472" s="1" t="n">
        <v>46010</v>
      </c>
      <c r="D472" t="inlineStr">
        <is>
          <t>ÖSTERGÖTLANDS LÄN</t>
        </is>
      </c>
      <c r="E472" t="inlineStr">
        <is>
          <t>LINKÖPING</t>
        </is>
      </c>
      <c r="F472" t="inlineStr">
        <is>
          <t>Övriga Aktiebolag</t>
        </is>
      </c>
      <c r="G472" t="n">
        <v>0.7</v>
      </c>
      <c r="H472" t="n">
        <v>0</v>
      </c>
      <c r="I472" t="n">
        <v>0</v>
      </c>
      <c r="J472" t="n">
        <v>0</v>
      </c>
      <c r="K472" t="n">
        <v>0</v>
      </c>
      <c r="L472" t="n">
        <v>0</v>
      </c>
      <c r="M472" t="n">
        <v>0</v>
      </c>
      <c r="N472" t="n">
        <v>0</v>
      </c>
      <c r="O472" t="n">
        <v>0</v>
      </c>
      <c r="P472" t="n">
        <v>0</v>
      </c>
      <c r="Q472" t="n">
        <v>0</v>
      </c>
      <c r="R472" s="2" t="inlineStr"/>
    </row>
    <row r="473" ht="15" customHeight="1">
      <c r="A473" t="inlineStr">
        <is>
          <t>A 42000-2023</t>
        </is>
      </c>
      <c r="B473" s="1" t="n">
        <v>45177</v>
      </c>
      <c r="C473" s="1" t="n">
        <v>46010</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31534-2023</t>
        </is>
      </c>
      <c r="B474" s="1" t="n">
        <v>45116</v>
      </c>
      <c r="C474" s="1" t="n">
        <v>46010</v>
      </c>
      <c r="D474" t="inlineStr">
        <is>
          <t>ÖSTERGÖTLANDS LÄN</t>
        </is>
      </c>
      <c r="E474" t="inlineStr">
        <is>
          <t>LINKÖPING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35427-2023</t>
        </is>
      </c>
      <c r="B475" s="1" t="n">
        <v>45146</v>
      </c>
      <c r="C475" s="1" t="n">
        <v>46010</v>
      </c>
      <c r="D475" t="inlineStr">
        <is>
          <t>ÖSTERGÖTLANDS LÄN</t>
        </is>
      </c>
      <c r="E475" t="inlineStr">
        <is>
          <t>LINKÖPING</t>
        </is>
      </c>
      <c r="F475" t="inlineStr">
        <is>
          <t>Övriga Aktiebolag</t>
        </is>
      </c>
      <c r="G475" t="n">
        <v>2.5</v>
      </c>
      <c r="H475" t="n">
        <v>0</v>
      </c>
      <c r="I475" t="n">
        <v>0</v>
      </c>
      <c r="J475" t="n">
        <v>0</v>
      </c>
      <c r="K475" t="n">
        <v>0</v>
      </c>
      <c r="L475" t="n">
        <v>0</v>
      </c>
      <c r="M475" t="n">
        <v>0</v>
      </c>
      <c r="N475" t="n">
        <v>0</v>
      </c>
      <c r="O475" t="n">
        <v>0</v>
      </c>
      <c r="P475" t="n">
        <v>0</v>
      </c>
      <c r="Q475" t="n">
        <v>0</v>
      </c>
      <c r="R475" s="2" t="inlineStr"/>
    </row>
    <row r="476" ht="15" customHeight="1">
      <c r="A476" t="inlineStr">
        <is>
          <t>A 36725-2023</t>
        </is>
      </c>
      <c r="B476" s="1" t="n">
        <v>45153.68471064815</v>
      </c>
      <c r="C476" s="1" t="n">
        <v>46010</v>
      </c>
      <c r="D476" t="inlineStr">
        <is>
          <t>ÖSTERGÖTLANDS LÄN</t>
        </is>
      </c>
      <c r="E476" t="inlineStr">
        <is>
          <t>LINKÖPING</t>
        </is>
      </c>
      <c r="F476" t="inlineStr">
        <is>
          <t>Allmännings- och besparingsskogar</t>
        </is>
      </c>
      <c r="G476" t="n">
        <v>2.6</v>
      </c>
      <c r="H476" t="n">
        <v>0</v>
      </c>
      <c r="I476" t="n">
        <v>0</v>
      </c>
      <c r="J476" t="n">
        <v>0</v>
      </c>
      <c r="K476" t="n">
        <v>0</v>
      </c>
      <c r="L476" t="n">
        <v>0</v>
      </c>
      <c r="M476" t="n">
        <v>0</v>
      </c>
      <c r="N476" t="n">
        <v>0</v>
      </c>
      <c r="O476" t="n">
        <v>0</v>
      </c>
      <c r="P476" t="n">
        <v>0</v>
      </c>
      <c r="Q476" t="n">
        <v>0</v>
      </c>
      <c r="R476" s="2" t="inlineStr"/>
    </row>
    <row r="477" ht="15" customHeight="1">
      <c r="A477" t="inlineStr">
        <is>
          <t>A 53639-2023</t>
        </is>
      </c>
      <c r="B477" s="1" t="n">
        <v>45230.59686342593</v>
      </c>
      <c r="C477" s="1" t="n">
        <v>46010</v>
      </c>
      <c r="D477" t="inlineStr">
        <is>
          <t>ÖSTERGÖTLANDS LÄN</t>
        </is>
      </c>
      <c r="E477" t="inlineStr">
        <is>
          <t>LINKÖPING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1657-2024</t>
        </is>
      </c>
      <c r="B478" s="1" t="n">
        <v>45306.82501157407</v>
      </c>
      <c r="C478" s="1" t="n">
        <v>46010</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50784-2022</t>
        </is>
      </c>
      <c r="B479" s="1" t="n">
        <v>44862</v>
      </c>
      <c r="C479" s="1" t="n">
        <v>46010</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26803-2024</t>
        </is>
      </c>
      <c r="B480" s="1" t="n">
        <v>45470</v>
      </c>
      <c r="C480" s="1" t="n">
        <v>46010</v>
      </c>
      <c r="D480" t="inlineStr">
        <is>
          <t>ÖSTERGÖTLANDS LÄN</t>
        </is>
      </c>
      <c r="E480" t="inlineStr">
        <is>
          <t>LINKÖPING</t>
        </is>
      </c>
      <c r="F480" t="inlineStr">
        <is>
          <t>Allmännings- och besparingsskogar</t>
        </is>
      </c>
      <c r="G480" t="n">
        <v>4.5</v>
      </c>
      <c r="H480" t="n">
        <v>0</v>
      </c>
      <c r="I480" t="n">
        <v>0</v>
      </c>
      <c r="J480" t="n">
        <v>0</v>
      </c>
      <c r="K480" t="n">
        <v>0</v>
      </c>
      <c r="L480" t="n">
        <v>0</v>
      </c>
      <c r="M480" t="n">
        <v>0</v>
      </c>
      <c r="N480" t="n">
        <v>0</v>
      </c>
      <c r="O480" t="n">
        <v>0</v>
      </c>
      <c r="P480" t="n">
        <v>0</v>
      </c>
      <c r="Q480" t="n">
        <v>0</v>
      </c>
      <c r="R480" s="2" t="inlineStr"/>
    </row>
    <row r="481" ht="15" customHeight="1">
      <c r="A481" t="inlineStr">
        <is>
          <t>A 40983-2025</t>
        </is>
      </c>
      <c r="B481" s="1" t="n">
        <v>45898</v>
      </c>
      <c r="C481" s="1" t="n">
        <v>46010</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19187-2021</t>
        </is>
      </c>
      <c r="B482" s="1" t="n">
        <v>44308</v>
      </c>
      <c r="C482" s="1" t="n">
        <v>46010</v>
      </c>
      <c r="D482" t="inlineStr">
        <is>
          <t>ÖSTERGÖTLANDS LÄN</t>
        </is>
      </c>
      <c r="E482" t="inlineStr">
        <is>
          <t>LINKÖPING</t>
        </is>
      </c>
      <c r="F482" t="inlineStr">
        <is>
          <t>Allmännings- och besparingsskogar</t>
        </is>
      </c>
      <c r="G482" t="n">
        <v>20</v>
      </c>
      <c r="H482" t="n">
        <v>0</v>
      </c>
      <c r="I482" t="n">
        <v>0</v>
      </c>
      <c r="J482" t="n">
        <v>0</v>
      </c>
      <c r="K482" t="n">
        <v>0</v>
      </c>
      <c r="L482" t="n">
        <v>0</v>
      </c>
      <c r="M482" t="n">
        <v>0</v>
      </c>
      <c r="N482" t="n">
        <v>0</v>
      </c>
      <c r="O482" t="n">
        <v>0</v>
      </c>
      <c r="P482" t="n">
        <v>0</v>
      </c>
      <c r="Q482" t="n">
        <v>0</v>
      </c>
      <c r="R482" s="2" t="inlineStr"/>
    </row>
    <row r="483" ht="15" customHeight="1">
      <c r="A483" t="inlineStr">
        <is>
          <t>A 50056-2025</t>
        </is>
      </c>
      <c r="B483" s="1" t="n">
        <v>45941</v>
      </c>
      <c r="C483" s="1" t="n">
        <v>46010</v>
      </c>
      <c r="D483" t="inlineStr">
        <is>
          <t>ÖSTERGÖTLANDS LÄN</t>
        </is>
      </c>
      <c r="E483" t="inlineStr">
        <is>
          <t>LINKÖPING</t>
        </is>
      </c>
      <c r="G483" t="n">
        <v>0.3</v>
      </c>
      <c r="H483" t="n">
        <v>0</v>
      </c>
      <c r="I483" t="n">
        <v>0</v>
      </c>
      <c r="J483" t="n">
        <v>0</v>
      </c>
      <c r="K483" t="n">
        <v>0</v>
      </c>
      <c r="L483" t="n">
        <v>0</v>
      </c>
      <c r="M483" t="n">
        <v>0</v>
      </c>
      <c r="N483" t="n">
        <v>0</v>
      </c>
      <c r="O483" t="n">
        <v>0</v>
      </c>
      <c r="P483" t="n">
        <v>0</v>
      </c>
      <c r="Q483" t="n">
        <v>0</v>
      </c>
      <c r="R483" s="2" t="inlineStr"/>
    </row>
    <row r="484" ht="15" customHeight="1">
      <c r="A484" t="inlineStr">
        <is>
          <t>A 60472-2022</t>
        </is>
      </c>
      <c r="B484" s="1" t="n">
        <v>44911.41037037037</v>
      </c>
      <c r="C484" s="1" t="n">
        <v>46010</v>
      </c>
      <c r="D484" t="inlineStr">
        <is>
          <t>ÖSTERGÖTLANDS LÄN</t>
        </is>
      </c>
      <c r="E484" t="inlineStr">
        <is>
          <t>LINKÖPING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43934-2023</t>
        </is>
      </c>
      <c r="B485" s="1" t="n">
        <v>45187</v>
      </c>
      <c r="C485" s="1" t="n">
        <v>46010</v>
      </c>
      <c r="D485" t="inlineStr">
        <is>
          <t>ÖSTERGÖTLANDS LÄN</t>
        </is>
      </c>
      <c r="E485" t="inlineStr">
        <is>
          <t>LINKÖPING</t>
        </is>
      </c>
      <c r="F485" t="inlineStr">
        <is>
          <t>Övriga Aktiebolag</t>
        </is>
      </c>
      <c r="G485" t="n">
        <v>3.8</v>
      </c>
      <c r="H485" t="n">
        <v>0</v>
      </c>
      <c r="I485" t="n">
        <v>0</v>
      </c>
      <c r="J485" t="n">
        <v>0</v>
      </c>
      <c r="K485" t="n">
        <v>0</v>
      </c>
      <c r="L485" t="n">
        <v>0</v>
      </c>
      <c r="M485" t="n">
        <v>0</v>
      </c>
      <c r="N485" t="n">
        <v>0</v>
      </c>
      <c r="O485" t="n">
        <v>0</v>
      </c>
      <c r="P485" t="n">
        <v>0</v>
      </c>
      <c r="Q485" t="n">
        <v>0</v>
      </c>
      <c r="R485" s="2" t="inlineStr"/>
    </row>
    <row r="486" ht="15" customHeight="1">
      <c r="A486" t="inlineStr">
        <is>
          <t>A 22774-2024</t>
        </is>
      </c>
      <c r="B486" s="1" t="n">
        <v>45448.46924768519</v>
      </c>
      <c r="C486" s="1" t="n">
        <v>46010</v>
      </c>
      <c r="D486" t="inlineStr">
        <is>
          <t>ÖSTERGÖTLANDS LÄN</t>
        </is>
      </c>
      <c r="E486" t="inlineStr">
        <is>
          <t>LINKÖPING</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22778-2024</t>
        </is>
      </c>
      <c r="B487" s="1" t="n">
        <v>45448.47233796296</v>
      </c>
      <c r="C487" s="1" t="n">
        <v>46010</v>
      </c>
      <c r="D487" t="inlineStr">
        <is>
          <t>ÖSTERGÖTLANDS LÄN</t>
        </is>
      </c>
      <c r="E487" t="inlineStr">
        <is>
          <t>LINKÖPING</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55004-2025</t>
        </is>
      </c>
      <c r="B488" s="1" t="n">
        <v>45967</v>
      </c>
      <c r="C488" s="1" t="n">
        <v>46010</v>
      </c>
      <c r="D488" t="inlineStr">
        <is>
          <t>ÖSTERGÖTLANDS LÄN</t>
        </is>
      </c>
      <c r="E488" t="inlineStr">
        <is>
          <t>LINKÖPING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50667-2025</t>
        </is>
      </c>
      <c r="B489" s="1" t="n">
        <v>45945</v>
      </c>
      <c r="C489" s="1" t="n">
        <v>46010</v>
      </c>
      <c r="D489" t="inlineStr">
        <is>
          <t>ÖSTERGÖTLANDS LÄN</t>
        </is>
      </c>
      <c r="E489" t="inlineStr">
        <is>
          <t>LINKÖPING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1209-2023</t>
        </is>
      </c>
      <c r="B490" s="1" t="n">
        <v>44930</v>
      </c>
      <c r="C490" s="1" t="n">
        <v>46010</v>
      </c>
      <c r="D490" t="inlineStr">
        <is>
          <t>ÖSTERGÖTLANDS LÄN</t>
        </is>
      </c>
      <c r="E490" t="inlineStr">
        <is>
          <t>LINKÖPING</t>
        </is>
      </c>
      <c r="F490" t="inlineStr">
        <is>
          <t>Övriga statliga verk och myndigheter</t>
        </is>
      </c>
      <c r="G490" t="n">
        <v>25.8</v>
      </c>
      <c r="H490" t="n">
        <v>0</v>
      </c>
      <c r="I490" t="n">
        <v>0</v>
      </c>
      <c r="J490" t="n">
        <v>0</v>
      </c>
      <c r="K490" t="n">
        <v>0</v>
      </c>
      <c r="L490" t="n">
        <v>0</v>
      </c>
      <c r="M490" t="n">
        <v>0</v>
      </c>
      <c r="N490" t="n">
        <v>0</v>
      </c>
      <c r="O490" t="n">
        <v>0</v>
      </c>
      <c r="P490" t="n">
        <v>0</v>
      </c>
      <c r="Q490" t="n">
        <v>0</v>
      </c>
      <c r="R490" s="2" t="inlineStr"/>
    </row>
    <row r="491" ht="15" customHeight="1">
      <c r="A491" t="inlineStr">
        <is>
          <t>A 10407-2025</t>
        </is>
      </c>
      <c r="B491" s="1" t="n">
        <v>45720.62863425926</v>
      </c>
      <c r="C491" s="1" t="n">
        <v>46010</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11590-2023</t>
        </is>
      </c>
      <c r="B492" s="1" t="n">
        <v>44994.36689814815</v>
      </c>
      <c r="C492" s="1" t="n">
        <v>46010</v>
      </c>
      <c r="D492" t="inlineStr">
        <is>
          <t>ÖSTERGÖTLANDS LÄN</t>
        </is>
      </c>
      <c r="E492" t="inlineStr">
        <is>
          <t>LINKÖPING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19169-2023</t>
        </is>
      </c>
      <c r="B493" s="1" t="n">
        <v>45044</v>
      </c>
      <c r="C493" s="1" t="n">
        <v>46010</v>
      </c>
      <c r="D493" t="inlineStr">
        <is>
          <t>ÖSTERGÖTLANDS LÄN</t>
        </is>
      </c>
      <c r="E493" t="inlineStr">
        <is>
          <t>LINKÖPING</t>
        </is>
      </c>
      <c r="G493" t="n">
        <v>2.7</v>
      </c>
      <c r="H493" t="n">
        <v>0</v>
      </c>
      <c r="I493" t="n">
        <v>0</v>
      </c>
      <c r="J493" t="n">
        <v>0</v>
      </c>
      <c r="K493" t="n">
        <v>0</v>
      </c>
      <c r="L493" t="n">
        <v>0</v>
      </c>
      <c r="M493" t="n">
        <v>0</v>
      </c>
      <c r="N493" t="n">
        <v>0</v>
      </c>
      <c r="O493" t="n">
        <v>0</v>
      </c>
      <c r="P493" t="n">
        <v>0</v>
      </c>
      <c r="Q493" t="n">
        <v>0</v>
      </c>
      <c r="R493" s="2" t="inlineStr"/>
    </row>
    <row r="494" ht="15" customHeight="1">
      <c r="A494" t="inlineStr">
        <is>
          <t>A 672-2024</t>
        </is>
      </c>
      <c r="B494" s="1" t="n">
        <v>45300</v>
      </c>
      <c r="C494" s="1" t="n">
        <v>46010</v>
      </c>
      <c r="D494" t="inlineStr">
        <is>
          <t>ÖSTERGÖTLANDS LÄN</t>
        </is>
      </c>
      <c r="E494" t="inlineStr">
        <is>
          <t>LINKÖPING</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55493-2021</t>
        </is>
      </c>
      <c r="B495" s="1" t="n">
        <v>44475.61988425926</v>
      </c>
      <c r="C495" s="1" t="n">
        <v>46010</v>
      </c>
      <c r="D495" t="inlineStr">
        <is>
          <t>ÖSTERGÖTLANDS LÄN</t>
        </is>
      </c>
      <c r="E495" t="inlineStr">
        <is>
          <t>LINKÖPING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58802-2025</t>
        </is>
      </c>
      <c r="B496" s="1" t="n">
        <v>45986.8768287037</v>
      </c>
      <c r="C496" s="1" t="n">
        <v>46010</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14093-2024</t>
        </is>
      </c>
      <c r="B497" s="1" t="n">
        <v>45392.60278935185</v>
      </c>
      <c r="C497" s="1" t="n">
        <v>46010</v>
      </c>
      <c r="D497" t="inlineStr">
        <is>
          <t>ÖSTERGÖTLANDS LÄN</t>
        </is>
      </c>
      <c r="E497" t="inlineStr">
        <is>
          <t>LINKÖPING</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62019-2024</t>
        </is>
      </c>
      <c r="B498" s="1" t="n">
        <v>45655.82</v>
      </c>
      <c r="C498" s="1" t="n">
        <v>46010</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25119-2023</t>
        </is>
      </c>
      <c r="B499" s="1" t="n">
        <v>45086.42326388889</v>
      </c>
      <c r="C499" s="1" t="n">
        <v>46010</v>
      </c>
      <c r="D499" t="inlineStr">
        <is>
          <t>ÖSTERGÖTLANDS LÄN</t>
        </is>
      </c>
      <c r="E499" t="inlineStr">
        <is>
          <t>LINKÖPING</t>
        </is>
      </c>
      <c r="G499" t="n">
        <v>3.2</v>
      </c>
      <c r="H499" t="n">
        <v>0</v>
      </c>
      <c r="I499" t="n">
        <v>0</v>
      </c>
      <c r="J499" t="n">
        <v>0</v>
      </c>
      <c r="K499" t="n">
        <v>0</v>
      </c>
      <c r="L499" t="n">
        <v>0</v>
      </c>
      <c r="M499" t="n">
        <v>0</v>
      </c>
      <c r="N499" t="n">
        <v>0</v>
      </c>
      <c r="O499" t="n">
        <v>0</v>
      </c>
      <c r="P499" t="n">
        <v>0</v>
      </c>
      <c r="Q499" t="n">
        <v>0</v>
      </c>
      <c r="R499" s="2" t="inlineStr"/>
    </row>
    <row r="500" ht="15" customHeight="1">
      <c r="A500" t="inlineStr">
        <is>
          <t>A 57396-2021</t>
        </is>
      </c>
      <c r="B500" s="1" t="n">
        <v>44483.56151620371</v>
      </c>
      <c r="C500" s="1" t="n">
        <v>46010</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51571-2024</t>
        </is>
      </c>
      <c r="B501" s="1" t="n">
        <v>45604</v>
      </c>
      <c r="C501" s="1" t="n">
        <v>46010</v>
      </c>
      <c r="D501" t="inlineStr">
        <is>
          <t>ÖSTERGÖTLANDS LÄN</t>
        </is>
      </c>
      <c r="E501" t="inlineStr">
        <is>
          <t>LINKÖPING</t>
        </is>
      </c>
      <c r="F501" t="inlineStr">
        <is>
          <t>Övriga Aktiebolag</t>
        </is>
      </c>
      <c r="G501" t="n">
        <v>1.4</v>
      </c>
      <c r="H501" t="n">
        <v>0</v>
      </c>
      <c r="I501" t="n">
        <v>0</v>
      </c>
      <c r="J501" t="n">
        <v>0</v>
      </c>
      <c r="K501" t="n">
        <v>0</v>
      </c>
      <c r="L501" t="n">
        <v>0</v>
      </c>
      <c r="M501" t="n">
        <v>0</v>
      </c>
      <c r="N501" t="n">
        <v>0</v>
      </c>
      <c r="O501" t="n">
        <v>0</v>
      </c>
      <c r="P501" t="n">
        <v>0</v>
      </c>
      <c r="Q501" t="n">
        <v>0</v>
      </c>
      <c r="R501" s="2" t="inlineStr"/>
    </row>
    <row r="502" ht="15" customHeight="1">
      <c r="A502" t="inlineStr">
        <is>
          <t>A 17143-2025</t>
        </is>
      </c>
      <c r="B502" s="1" t="n">
        <v>45755.92731481481</v>
      </c>
      <c r="C502" s="1" t="n">
        <v>46010</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59472-2025</t>
        </is>
      </c>
      <c r="B503" s="1" t="n">
        <v>45989.58321759259</v>
      </c>
      <c r="C503" s="1" t="n">
        <v>46010</v>
      </c>
      <c r="D503" t="inlineStr">
        <is>
          <t>ÖSTERGÖTLANDS LÄN</t>
        </is>
      </c>
      <c r="E503" t="inlineStr">
        <is>
          <t>LINKÖPING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59205-2025</t>
        </is>
      </c>
      <c r="B504" s="1" t="n">
        <v>45988.60721064815</v>
      </c>
      <c r="C504" s="1" t="n">
        <v>46010</v>
      </c>
      <c r="D504" t="inlineStr">
        <is>
          <t>ÖSTERGÖTLANDS LÄN</t>
        </is>
      </c>
      <c r="E504" t="inlineStr">
        <is>
          <t>LINKÖPING</t>
        </is>
      </c>
      <c r="F504" t="inlineStr">
        <is>
          <t>Sveaskog</t>
        </is>
      </c>
      <c r="G504" t="n">
        <v>11.3</v>
      </c>
      <c r="H504" t="n">
        <v>0</v>
      </c>
      <c r="I504" t="n">
        <v>0</v>
      </c>
      <c r="J504" t="n">
        <v>0</v>
      </c>
      <c r="K504" t="n">
        <v>0</v>
      </c>
      <c r="L504" t="n">
        <v>0</v>
      </c>
      <c r="M504" t="n">
        <v>0</v>
      </c>
      <c r="N504" t="n">
        <v>0</v>
      </c>
      <c r="O504" t="n">
        <v>0</v>
      </c>
      <c r="P504" t="n">
        <v>0</v>
      </c>
      <c r="Q504" t="n">
        <v>0</v>
      </c>
      <c r="R504" s="2" t="inlineStr"/>
    </row>
    <row r="505" ht="15" customHeight="1">
      <c r="A505" t="inlineStr">
        <is>
          <t>A 17124-2025</t>
        </is>
      </c>
      <c r="B505" s="1" t="n">
        <v>45755.69678240741</v>
      </c>
      <c r="C505" s="1" t="n">
        <v>46010</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17126-2025</t>
        </is>
      </c>
      <c r="B506" s="1" t="n">
        <v>45755.70814814815</v>
      </c>
      <c r="C506" s="1" t="n">
        <v>46010</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31640-2023</t>
        </is>
      </c>
      <c r="B507" s="1" t="n">
        <v>45117</v>
      </c>
      <c r="C507" s="1" t="n">
        <v>46010</v>
      </c>
      <c r="D507" t="inlineStr">
        <is>
          <t>ÖSTERGÖTLANDS LÄN</t>
        </is>
      </c>
      <c r="E507" t="inlineStr">
        <is>
          <t>LINKÖPING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11790-2024</t>
        </is>
      </c>
      <c r="B508" s="1" t="n">
        <v>45374</v>
      </c>
      <c r="C508" s="1" t="n">
        <v>46010</v>
      </c>
      <c r="D508" t="inlineStr">
        <is>
          <t>ÖSTERGÖTLANDS LÄN</t>
        </is>
      </c>
      <c r="E508" t="inlineStr">
        <is>
          <t>LINKÖPING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61281-2021</t>
        </is>
      </c>
      <c r="B509" s="1" t="n">
        <v>44498.60736111111</v>
      </c>
      <c r="C509" s="1" t="n">
        <v>46010</v>
      </c>
      <c r="D509" t="inlineStr">
        <is>
          <t>ÖSTERGÖTLANDS LÄN</t>
        </is>
      </c>
      <c r="E509" t="inlineStr">
        <is>
          <t>LINKÖPING</t>
        </is>
      </c>
      <c r="G509" t="n">
        <v>4.5</v>
      </c>
      <c r="H509" t="n">
        <v>0</v>
      </c>
      <c r="I509" t="n">
        <v>0</v>
      </c>
      <c r="J509" t="n">
        <v>0</v>
      </c>
      <c r="K509" t="n">
        <v>0</v>
      </c>
      <c r="L509" t="n">
        <v>0</v>
      </c>
      <c r="M509" t="n">
        <v>0</v>
      </c>
      <c r="N509" t="n">
        <v>0</v>
      </c>
      <c r="O509" t="n">
        <v>0</v>
      </c>
      <c r="P509" t="n">
        <v>0</v>
      </c>
      <c r="Q509" t="n">
        <v>0</v>
      </c>
      <c r="R509" s="2" t="inlineStr"/>
    </row>
    <row r="510" ht="15" customHeight="1">
      <c r="A510" t="inlineStr">
        <is>
          <t>A 6206-2024</t>
        </is>
      </c>
      <c r="B510" s="1" t="n">
        <v>45337.5977662037</v>
      </c>
      <c r="C510" s="1" t="n">
        <v>46010</v>
      </c>
      <c r="D510" t="inlineStr">
        <is>
          <t>ÖSTERGÖTLANDS LÄN</t>
        </is>
      </c>
      <c r="E510" t="inlineStr">
        <is>
          <t>LINKÖPING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51802-2025</t>
        </is>
      </c>
      <c r="B511" s="1" t="n">
        <v>45950</v>
      </c>
      <c r="C511" s="1" t="n">
        <v>46010</v>
      </c>
      <c r="D511" t="inlineStr">
        <is>
          <t>ÖSTERGÖTLANDS LÄN</t>
        </is>
      </c>
      <c r="E511" t="inlineStr">
        <is>
          <t>LINKÖPING</t>
        </is>
      </c>
      <c r="F511" t="inlineStr">
        <is>
          <t>Övriga Aktiebolag</t>
        </is>
      </c>
      <c r="G511" t="n">
        <v>2</v>
      </c>
      <c r="H511" t="n">
        <v>0</v>
      </c>
      <c r="I511" t="n">
        <v>0</v>
      </c>
      <c r="J511" t="n">
        <v>0</v>
      </c>
      <c r="K511" t="n">
        <v>0</v>
      </c>
      <c r="L511" t="n">
        <v>0</v>
      </c>
      <c r="M511" t="n">
        <v>0</v>
      </c>
      <c r="N511" t="n">
        <v>0</v>
      </c>
      <c r="O511" t="n">
        <v>0</v>
      </c>
      <c r="P511" t="n">
        <v>0</v>
      </c>
      <c r="Q511" t="n">
        <v>0</v>
      </c>
      <c r="R511" s="2" t="inlineStr"/>
    </row>
    <row r="512" ht="15" customHeight="1">
      <c r="A512" t="inlineStr">
        <is>
          <t>A 168-2024</t>
        </is>
      </c>
      <c r="B512" s="1" t="n">
        <v>45294</v>
      </c>
      <c r="C512" s="1" t="n">
        <v>46010</v>
      </c>
      <c r="D512" t="inlineStr">
        <is>
          <t>ÖSTERGÖTLANDS LÄN</t>
        </is>
      </c>
      <c r="E512" t="inlineStr">
        <is>
          <t>LINKÖPING</t>
        </is>
      </c>
      <c r="F512" t="inlineStr">
        <is>
          <t>Allmännings- och besparingsskogar</t>
        </is>
      </c>
      <c r="G512" t="n">
        <v>8.9</v>
      </c>
      <c r="H512" t="n">
        <v>0</v>
      </c>
      <c r="I512" t="n">
        <v>0</v>
      </c>
      <c r="J512" t="n">
        <v>0</v>
      </c>
      <c r="K512" t="n">
        <v>0</v>
      </c>
      <c r="L512" t="n">
        <v>0</v>
      </c>
      <c r="M512" t="n">
        <v>0</v>
      </c>
      <c r="N512" t="n">
        <v>0</v>
      </c>
      <c r="O512" t="n">
        <v>0</v>
      </c>
      <c r="P512" t="n">
        <v>0</v>
      </c>
      <c r="Q512" t="n">
        <v>0</v>
      </c>
      <c r="R512" s="2" t="inlineStr"/>
    </row>
    <row r="513" ht="15" customHeight="1">
      <c r="A513" t="inlineStr">
        <is>
          <t>A 10253-2022</t>
        </is>
      </c>
      <c r="B513" s="1" t="n">
        <v>44622</v>
      </c>
      <c r="C513" s="1" t="n">
        <v>46010</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51919-2024</t>
        </is>
      </c>
      <c r="B514" s="1" t="n">
        <v>45607.60791666667</v>
      </c>
      <c r="C514" s="1" t="n">
        <v>46010</v>
      </c>
      <c r="D514" t="inlineStr">
        <is>
          <t>ÖSTERGÖTLANDS LÄN</t>
        </is>
      </c>
      <c r="E514" t="inlineStr">
        <is>
          <t>LINKÖPING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56623-2024</t>
        </is>
      </c>
      <c r="B515" s="1" t="n">
        <v>45625</v>
      </c>
      <c r="C515" s="1" t="n">
        <v>46010</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11330-2023</t>
        </is>
      </c>
      <c r="B516" s="1" t="n">
        <v>44993.24648148148</v>
      </c>
      <c r="C516" s="1" t="n">
        <v>46010</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63304-2021</t>
        </is>
      </c>
      <c r="B517" s="1" t="n">
        <v>44508.4396412037</v>
      </c>
      <c r="C517" s="1" t="n">
        <v>46010</v>
      </c>
      <c r="D517" t="inlineStr">
        <is>
          <t>ÖSTERGÖTLANDS LÄN</t>
        </is>
      </c>
      <c r="E517" t="inlineStr">
        <is>
          <t>LINKÖPING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14528-2025</t>
        </is>
      </c>
      <c r="B518" s="1" t="n">
        <v>45741</v>
      </c>
      <c r="C518" s="1" t="n">
        <v>46010</v>
      </c>
      <c r="D518" t="inlineStr">
        <is>
          <t>ÖSTERGÖTLANDS LÄN</t>
        </is>
      </c>
      <c r="E518" t="inlineStr">
        <is>
          <t>LINKÖPING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3530-2024</t>
        </is>
      </c>
      <c r="B519" s="1" t="n">
        <v>45320.54717592592</v>
      </c>
      <c r="C519" s="1" t="n">
        <v>46010</v>
      </c>
      <c r="D519" t="inlineStr">
        <is>
          <t>ÖSTERGÖTLANDS LÄN</t>
        </is>
      </c>
      <c r="E519" t="inlineStr">
        <is>
          <t>LINKÖPING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62073-2023</t>
        </is>
      </c>
      <c r="B520" s="1" t="n">
        <v>45266.73844907407</v>
      </c>
      <c r="C520" s="1" t="n">
        <v>46010</v>
      </c>
      <c r="D520" t="inlineStr">
        <is>
          <t>ÖSTERGÖTLANDS LÄN</t>
        </is>
      </c>
      <c r="E520" t="inlineStr">
        <is>
          <t>LINKÖPING</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5872-2025</t>
        </is>
      </c>
      <c r="B521" s="1" t="n">
        <v>45695.36659722222</v>
      </c>
      <c r="C521" s="1" t="n">
        <v>46010</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53814-2023</t>
        </is>
      </c>
      <c r="B522" s="1" t="n">
        <v>45231</v>
      </c>
      <c r="C522" s="1" t="n">
        <v>46010</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3432-2023</t>
        </is>
      </c>
      <c r="B523" s="1" t="n">
        <v>44949</v>
      </c>
      <c r="C523" s="1" t="n">
        <v>46010</v>
      </c>
      <c r="D523" t="inlineStr">
        <is>
          <t>ÖSTERGÖTLANDS LÄN</t>
        </is>
      </c>
      <c r="E523" t="inlineStr">
        <is>
          <t>LINKÖPING</t>
        </is>
      </c>
      <c r="G523" t="n">
        <v>1.9</v>
      </c>
      <c r="H523" t="n">
        <v>0</v>
      </c>
      <c r="I523" t="n">
        <v>0</v>
      </c>
      <c r="J523" t="n">
        <v>0</v>
      </c>
      <c r="K523" t="n">
        <v>0</v>
      </c>
      <c r="L523" t="n">
        <v>0</v>
      </c>
      <c r="M523" t="n">
        <v>0</v>
      </c>
      <c r="N523" t="n">
        <v>0</v>
      </c>
      <c r="O523" t="n">
        <v>0</v>
      </c>
      <c r="P523" t="n">
        <v>0</v>
      </c>
      <c r="Q523" t="n">
        <v>0</v>
      </c>
      <c r="R523" s="2" t="inlineStr"/>
    </row>
    <row r="524" ht="15" customHeight="1">
      <c r="A524" t="inlineStr">
        <is>
          <t>A 60284-2025</t>
        </is>
      </c>
      <c r="B524" s="1" t="n">
        <v>45994.64373842593</v>
      </c>
      <c r="C524" s="1" t="n">
        <v>46010</v>
      </c>
      <c r="D524" t="inlineStr">
        <is>
          <t>ÖSTERGÖTLANDS LÄN</t>
        </is>
      </c>
      <c r="E524" t="inlineStr">
        <is>
          <t>LINKÖPING</t>
        </is>
      </c>
      <c r="G524" t="n">
        <v>3.5</v>
      </c>
      <c r="H524" t="n">
        <v>0</v>
      </c>
      <c r="I524" t="n">
        <v>0</v>
      </c>
      <c r="J524" t="n">
        <v>0</v>
      </c>
      <c r="K524" t="n">
        <v>0</v>
      </c>
      <c r="L524" t="n">
        <v>0</v>
      </c>
      <c r="M524" t="n">
        <v>0</v>
      </c>
      <c r="N524" t="n">
        <v>0</v>
      </c>
      <c r="O524" t="n">
        <v>0</v>
      </c>
      <c r="P524" t="n">
        <v>0</v>
      </c>
      <c r="Q524" t="n">
        <v>0</v>
      </c>
      <c r="R524" s="2" t="inlineStr"/>
    </row>
    <row r="525" ht="15" customHeight="1">
      <c r="A525" t="inlineStr">
        <is>
          <t>A 60306-2025</t>
        </is>
      </c>
      <c r="B525" s="1" t="n">
        <v>45994.68326388889</v>
      </c>
      <c r="C525" s="1" t="n">
        <v>46010</v>
      </c>
      <c r="D525" t="inlineStr">
        <is>
          <t>ÖSTERGÖTLANDS LÄN</t>
        </is>
      </c>
      <c r="E525" t="inlineStr">
        <is>
          <t>LINKÖPING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60087-2025</t>
        </is>
      </c>
      <c r="B526" s="1" t="n">
        <v>45993.71726851852</v>
      </c>
      <c r="C526" s="1" t="n">
        <v>46010</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54425-2022</t>
        </is>
      </c>
      <c r="B527" s="1" t="n">
        <v>44882.57453703704</v>
      </c>
      <c r="C527" s="1" t="n">
        <v>46010</v>
      </c>
      <c r="D527" t="inlineStr">
        <is>
          <t>ÖSTERGÖTLANDS LÄN</t>
        </is>
      </c>
      <c r="E527" t="inlineStr">
        <is>
          <t>LINKÖPING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54428-2022</t>
        </is>
      </c>
      <c r="B528" s="1" t="n">
        <v>44882.57643518518</v>
      </c>
      <c r="C528" s="1" t="n">
        <v>46010</v>
      </c>
      <c r="D528" t="inlineStr">
        <is>
          <t>ÖSTERGÖTLANDS LÄN</t>
        </is>
      </c>
      <c r="E528" t="inlineStr">
        <is>
          <t>LINKÖPING</t>
        </is>
      </c>
      <c r="G528" t="n">
        <v>1.4</v>
      </c>
      <c r="H528" t="n">
        <v>0</v>
      </c>
      <c r="I528" t="n">
        <v>0</v>
      </c>
      <c r="J528" t="n">
        <v>0</v>
      </c>
      <c r="K528" t="n">
        <v>0</v>
      </c>
      <c r="L528" t="n">
        <v>0</v>
      </c>
      <c r="M528" t="n">
        <v>0</v>
      </c>
      <c r="N528" t="n">
        <v>0</v>
      </c>
      <c r="O528" t="n">
        <v>0</v>
      </c>
      <c r="P528" t="n">
        <v>0</v>
      </c>
      <c r="Q528" t="n">
        <v>0</v>
      </c>
      <c r="R528" s="2" t="inlineStr"/>
    </row>
    <row r="529" ht="15" customHeight="1">
      <c r="A529" t="inlineStr">
        <is>
          <t>A 52111-2025</t>
        </is>
      </c>
      <c r="B529" s="1" t="n">
        <v>45952.69527777778</v>
      </c>
      <c r="C529" s="1" t="n">
        <v>46010</v>
      </c>
      <c r="D529" t="inlineStr">
        <is>
          <t>ÖSTERGÖTLANDS LÄN</t>
        </is>
      </c>
      <c r="E529" t="inlineStr">
        <is>
          <t>LINKÖPING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660-2023</t>
        </is>
      </c>
      <c r="B530" s="1" t="n">
        <v>44930</v>
      </c>
      <c r="C530" s="1" t="n">
        <v>46010</v>
      </c>
      <c r="D530" t="inlineStr">
        <is>
          <t>ÖSTERGÖTLANDS LÄN</t>
        </is>
      </c>
      <c r="E530" t="inlineStr">
        <is>
          <t>LINKÖPING</t>
        </is>
      </c>
      <c r="F530" t="inlineStr">
        <is>
          <t>Kyrkan</t>
        </is>
      </c>
      <c r="G530" t="n">
        <v>1.6</v>
      </c>
      <c r="H530" t="n">
        <v>0</v>
      </c>
      <c r="I530" t="n">
        <v>0</v>
      </c>
      <c r="J530" t="n">
        <v>0</v>
      </c>
      <c r="K530" t="n">
        <v>0</v>
      </c>
      <c r="L530" t="n">
        <v>0</v>
      </c>
      <c r="M530" t="n">
        <v>0</v>
      </c>
      <c r="N530" t="n">
        <v>0</v>
      </c>
      <c r="O530" t="n">
        <v>0</v>
      </c>
      <c r="P530" t="n">
        <v>0</v>
      </c>
      <c r="Q530" t="n">
        <v>0</v>
      </c>
      <c r="R530" s="2" t="inlineStr"/>
    </row>
    <row r="531" ht="15" customHeight="1">
      <c r="A531" t="inlineStr">
        <is>
          <t>A 62501-2023</t>
        </is>
      </c>
      <c r="B531" s="1" t="n">
        <v>45268</v>
      </c>
      <c r="C531" s="1" t="n">
        <v>46010</v>
      </c>
      <c r="D531" t="inlineStr">
        <is>
          <t>ÖSTERGÖTLANDS LÄN</t>
        </is>
      </c>
      <c r="E531" t="inlineStr">
        <is>
          <t>LINKÖPING</t>
        </is>
      </c>
      <c r="G531" t="n">
        <v>7.4</v>
      </c>
      <c r="H531" t="n">
        <v>0</v>
      </c>
      <c r="I531" t="n">
        <v>0</v>
      </c>
      <c r="J531" t="n">
        <v>0</v>
      </c>
      <c r="K531" t="n">
        <v>0</v>
      </c>
      <c r="L531" t="n">
        <v>0</v>
      </c>
      <c r="M531" t="n">
        <v>0</v>
      </c>
      <c r="N531" t="n">
        <v>0</v>
      </c>
      <c r="O531" t="n">
        <v>0</v>
      </c>
      <c r="P531" t="n">
        <v>0</v>
      </c>
      <c r="Q531" t="n">
        <v>0</v>
      </c>
      <c r="R531" s="2" t="inlineStr"/>
    </row>
    <row r="532" ht="15" customHeight="1">
      <c r="A532" t="inlineStr">
        <is>
          <t>A 52740-2025</t>
        </is>
      </c>
      <c r="B532" s="1" t="n">
        <v>45957.37747685185</v>
      </c>
      <c r="C532" s="1" t="n">
        <v>46010</v>
      </c>
      <c r="D532" t="inlineStr">
        <is>
          <t>ÖSTERGÖTLANDS LÄN</t>
        </is>
      </c>
      <c r="E532" t="inlineStr">
        <is>
          <t>LINKÖPING</t>
        </is>
      </c>
      <c r="G532" t="n">
        <v>3.7</v>
      </c>
      <c r="H532" t="n">
        <v>0</v>
      </c>
      <c r="I532" t="n">
        <v>0</v>
      </c>
      <c r="J532" t="n">
        <v>0</v>
      </c>
      <c r="K532" t="n">
        <v>0</v>
      </c>
      <c r="L532" t="n">
        <v>0</v>
      </c>
      <c r="M532" t="n">
        <v>0</v>
      </c>
      <c r="N532" t="n">
        <v>0</v>
      </c>
      <c r="O532" t="n">
        <v>0</v>
      </c>
      <c r="P532" t="n">
        <v>0</v>
      </c>
      <c r="Q532" t="n">
        <v>0</v>
      </c>
      <c r="R532" s="2" t="inlineStr"/>
    </row>
    <row r="533" ht="15" customHeight="1">
      <c r="A533" t="inlineStr">
        <is>
          <t>A 13413-2023</t>
        </is>
      </c>
      <c r="B533" s="1" t="n">
        <v>45005.58341435185</v>
      </c>
      <c r="C533" s="1" t="n">
        <v>46010</v>
      </c>
      <c r="D533" t="inlineStr">
        <is>
          <t>ÖSTERGÖTLANDS LÄN</t>
        </is>
      </c>
      <c r="E533" t="inlineStr">
        <is>
          <t>LINKÖPING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26620-2023</t>
        </is>
      </c>
      <c r="B534" s="1" t="n">
        <v>45092.70390046296</v>
      </c>
      <c r="C534" s="1" t="n">
        <v>46010</v>
      </c>
      <c r="D534" t="inlineStr">
        <is>
          <t>ÖSTERGÖTLANDS LÄN</t>
        </is>
      </c>
      <c r="E534" t="inlineStr">
        <is>
          <t>LINKÖPING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52800-2025</t>
        </is>
      </c>
      <c r="B535" s="1" t="n">
        <v>45957.44152777778</v>
      </c>
      <c r="C535" s="1" t="n">
        <v>46010</v>
      </c>
      <c r="D535" t="inlineStr">
        <is>
          <t>ÖSTERGÖTLANDS LÄN</t>
        </is>
      </c>
      <c r="E535" t="inlineStr">
        <is>
          <t>LINKÖPING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52802-2025</t>
        </is>
      </c>
      <c r="B536" s="1" t="n">
        <v>45957.44295138889</v>
      </c>
      <c r="C536" s="1" t="n">
        <v>46010</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16462-2021</t>
        </is>
      </c>
      <c r="B537" s="1" t="n">
        <v>44293</v>
      </c>
      <c r="C537" s="1" t="n">
        <v>46010</v>
      </c>
      <c r="D537" t="inlineStr">
        <is>
          <t>ÖSTERGÖTLANDS LÄN</t>
        </is>
      </c>
      <c r="E537" t="inlineStr">
        <is>
          <t>LINKÖPING</t>
        </is>
      </c>
      <c r="F537" t="inlineStr">
        <is>
          <t>Allmännings- och besparingsskogar</t>
        </is>
      </c>
      <c r="G537" t="n">
        <v>24.7</v>
      </c>
      <c r="H537" t="n">
        <v>0</v>
      </c>
      <c r="I537" t="n">
        <v>0</v>
      </c>
      <c r="J537" t="n">
        <v>0</v>
      </c>
      <c r="K537" t="n">
        <v>0</v>
      </c>
      <c r="L537" t="n">
        <v>0</v>
      </c>
      <c r="M537" t="n">
        <v>0</v>
      </c>
      <c r="N537" t="n">
        <v>0</v>
      </c>
      <c r="O537" t="n">
        <v>0</v>
      </c>
      <c r="P537" t="n">
        <v>0</v>
      </c>
      <c r="Q537" t="n">
        <v>0</v>
      </c>
      <c r="R537" s="2" t="inlineStr"/>
    </row>
    <row r="538" ht="15" customHeight="1">
      <c r="A538" t="inlineStr">
        <is>
          <t>A 52743-2025</t>
        </is>
      </c>
      <c r="B538" s="1" t="n">
        <v>45957.38039351852</v>
      </c>
      <c r="C538" s="1" t="n">
        <v>46010</v>
      </c>
      <c r="D538" t="inlineStr">
        <is>
          <t>ÖSTERGÖTLANDS LÄN</t>
        </is>
      </c>
      <c r="E538" t="inlineStr">
        <is>
          <t>LINKÖPING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52807-2025</t>
        </is>
      </c>
      <c r="B539" s="1" t="n">
        <v>45957.44837962963</v>
      </c>
      <c r="C539" s="1" t="n">
        <v>46010</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60703-2025</t>
        </is>
      </c>
      <c r="B540" s="1" t="n">
        <v>45996.6052662037</v>
      </c>
      <c r="C540" s="1" t="n">
        <v>46010</v>
      </c>
      <c r="D540" t="inlineStr">
        <is>
          <t>ÖSTERGÖTLANDS LÄN</t>
        </is>
      </c>
      <c r="E540" t="inlineStr">
        <is>
          <t>LINKÖPING</t>
        </is>
      </c>
      <c r="F540" t="inlineStr">
        <is>
          <t>Övriga Aktiebolag</t>
        </is>
      </c>
      <c r="G540" t="n">
        <v>1.3</v>
      </c>
      <c r="H540" t="n">
        <v>0</v>
      </c>
      <c r="I540" t="n">
        <v>0</v>
      </c>
      <c r="J540" t="n">
        <v>0</v>
      </c>
      <c r="K540" t="n">
        <v>0</v>
      </c>
      <c r="L540" t="n">
        <v>0</v>
      </c>
      <c r="M540" t="n">
        <v>0</v>
      </c>
      <c r="N540" t="n">
        <v>0</v>
      </c>
      <c r="O540" t="n">
        <v>0</v>
      </c>
      <c r="P540" t="n">
        <v>0</v>
      </c>
      <c r="Q540" t="n">
        <v>0</v>
      </c>
      <c r="R540" s="2" t="inlineStr"/>
    </row>
    <row r="541" ht="15" customHeight="1">
      <c r="A541" t="inlineStr">
        <is>
          <t>A 63554-2023</t>
        </is>
      </c>
      <c r="B541" s="1" t="n">
        <v>45275</v>
      </c>
      <c r="C541" s="1" t="n">
        <v>46010</v>
      </c>
      <c r="D541" t="inlineStr">
        <is>
          <t>ÖSTERGÖTLANDS LÄN</t>
        </is>
      </c>
      <c r="E541" t="inlineStr">
        <is>
          <t>LINKÖPING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61447-2025</t>
        </is>
      </c>
      <c r="B542" s="1" t="n">
        <v>46001.57554398148</v>
      </c>
      <c r="C542" s="1" t="n">
        <v>46010</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63638-2023</t>
        </is>
      </c>
      <c r="B543" s="1" t="n">
        <v>45275</v>
      </c>
      <c r="C543" s="1" t="n">
        <v>46010</v>
      </c>
      <c r="D543" t="inlineStr">
        <is>
          <t>ÖSTERGÖTLANDS LÄN</t>
        </is>
      </c>
      <c r="E543" t="inlineStr">
        <is>
          <t>LINKÖPING</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63658-2023</t>
        </is>
      </c>
      <c r="B544" s="1" t="n">
        <v>45275</v>
      </c>
      <c r="C544" s="1" t="n">
        <v>46010</v>
      </c>
      <c r="D544" t="inlineStr">
        <is>
          <t>ÖSTERGÖTLANDS LÄN</t>
        </is>
      </c>
      <c r="E544" t="inlineStr">
        <is>
          <t>LINKÖPING</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16820-2024</t>
        </is>
      </c>
      <c r="B545" s="1" t="n">
        <v>45411.46809027778</v>
      </c>
      <c r="C545" s="1" t="n">
        <v>46010</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4456-2024</t>
        </is>
      </c>
      <c r="B546" s="1" t="n">
        <v>45327.52847222222</v>
      </c>
      <c r="C546" s="1" t="n">
        <v>46010</v>
      </c>
      <c r="D546" t="inlineStr">
        <is>
          <t>ÖSTERGÖTLANDS LÄN</t>
        </is>
      </c>
      <c r="E546" t="inlineStr">
        <is>
          <t>LINKÖPING</t>
        </is>
      </c>
      <c r="G546" t="n">
        <v>2.7</v>
      </c>
      <c r="H546" t="n">
        <v>0</v>
      </c>
      <c r="I546" t="n">
        <v>0</v>
      </c>
      <c r="J546" t="n">
        <v>0</v>
      </c>
      <c r="K546" t="n">
        <v>0</v>
      </c>
      <c r="L546" t="n">
        <v>0</v>
      </c>
      <c r="M546" t="n">
        <v>0</v>
      </c>
      <c r="N546" t="n">
        <v>0</v>
      </c>
      <c r="O546" t="n">
        <v>0</v>
      </c>
      <c r="P546" t="n">
        <v>0</v>
      </c>
      <c r="Q546" t="n">
        <v>0</v>
      </c>
      <c r="R546" s="2" t="inlineStr"/>
    </row>
    <row r="547" ht="15" customHeight="1">
      <c r="A547" t="inlineStr">
        <is>
          <t>A 20298-2025</t>
        </is>
      </c>
      <c r="B547" s="1" t="n">
        <v>45774.75024305555</v>
      </c>
      <c r="C547" s="1" t="n">
        <v>46010</v>
      </c>
      <c r="D547" t="inlineStr">
        <is>
          <t>ÖSTERGÖTLANDS LÄN</t>
        </is>
      </c>
      <c r="E547" t="inlineStr">
        <is>
          <t>LINKÖPING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15121-2022</t>
        </is>
      </c>
      <c r="B548" s="1" t="n">
        <v>44658</v>
      </c>
      <c r="C548" s="1" t="n">
        <v>46010</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50743-2023</t>
        </is>
      </c>
      <c r="B549" s="1" t="n">
        <v>45217</v>
      </c>
      <c r="C549" s="1" t="n">
        <v>46010</v>
      </c>
      <c r="D549" t="inlineStr">
        <is>
          <t>ÖSTERGÖTLANDS LÄN</t>
        </is>
      </c>
      <c r="E549" t="inlineStr">
        <is>
          <t>LINKÖPING</t>
        </is>
      </c>
      <c r="G549" t="n">
        <v>2.7</v>
      </c>
      <c r="H549" t="n">
        <v>0</v>
      </c>
      <c r="I549" t="n">
        <v>0</v>
      </c>
      <c r="J549" t="n">
        <v>0</v>
      </c>
      <c r="K549" t="n">
        <v>0</v>
      </c>
      <c r="L549" t="n">
        <v>0</v>
      </c>
      <c r="M549" t="n">
        <v>0</v>
      </c>
      <c r="N549" t="n">
        <v>0</v>
      </c>
      <c r="O549" t="n">
        <v>0</v>
      </c>
      <c r="P549" t="n">
        <v>0</v>
      </c>
      <c r="Q549" t="n">
        <v>0</v>
      </c>
      <c r="R549" s="2" t="inlineStr"/>
    </row>
    <row r="550" ht="15" customHeight="1">
      <c r="A550" t="inlineStr">
        <is>
          <t>A 1440-2021</t>
        </is>
      </c>
      <c r="B550" s="1" t="n">
        <v>44208</v>
      </c>
      <c r="C550" s="1" t="n">
        <v>46010</v>
      </c>
      <c r="D550" t="inlineStr">
        <is>
          <t>ÖSTERGÖTLANDS LÄN</t>
        </is>
      </c>
      <c r="E550" t="inlineStr">
        <is>
          <t>LINKÖPING</t>
        </is>
      </c>
      <c r="G550" t="n">
        <v>8.4</v>
      </c>
      <c r="H550" t="n">
        <v>0</v>
      </c>
      <c r="I550" t="n">
        <v>0</v>
      </c>
      <c r="J550" t="n">
        <v>0</v>
      </c>
      <c r="K550" t="n">
        <v>0</v>
      </c>
      <c r="L550" t="n">
        <v>0</v>
      </c>
      <c r="M550" t="n">
        <v>0</v>
      </c>
      <c r="N550" t="n">
        <v>0</v>
      </c>
      <c r="O550" t="n">
        <v>0</v>
      </c>
      <c r="P550" t="n">
        <v>0</v>
      </c>
      <c r="Q550" t="n">
        <v>0</v>
      </c>
      <c r="R550" s="2" t="inlineStr"/>
    </row>
    <row r="551" ht="15" customHeight="1">
      <c r="A551" t="inlineStr">
        <is>
          <t>A 13687-2025</t>
        </is>
      </c>
      <c r="B551" s="1" t="n">
        <v>45737.31425925926</v>
      </c>
      <c r="C551" s="1" t="n">
        <v>46010</v>
      </c>
      <c r="D551" t="inlineStr">
        <is>
          <t>ÖSTERGÖTLANDS LÄN</t>
        </is>
      </c>
      <c r="E551" t="inlineStr">
        <is>
          <t>LINKÖPING</t>
        </is>
      </c>
      <c r="G551" t="n">
        <v>2.7</v>
      </c>
      <c r="H551" t="n">
        <v>0</v>
      </c>
      <c r="I551" t="n">
        <v>0</v>
      </c>
      <c r="J551" t="n">
        <v>0</v>
      </c>
      <c r="K551" t="n">
        <v>0</v>
      </c>
      <c r="L551" t="n">
        <v>0</v>
      </c>
      <c r="M551" t="n">
        <v>0</v>
      </c>
      <c r="N551" t="n">
        <v>0</v>
      </c>
      <c r="O551" t="n">
        <v>0</v>
      </c>
      <c r="P551" t="n">
        <v>0</v>
      </c>
      <c r="Q551" t="n">
        <v>0</v>
      </c>
      <c r="R551" s="2" t="inlineStr"/>
    </row>
    <row r="552" ht="15" customHeight="1">
      <c r="A552" t="inlineStr">
        <is>
          <t>A 13695-2025</t>
        </is>
      </c>
      <c r="B552" s="1" t="n">
        <v>45737.32219907407</v>
      </c>
      <c r="C552" s="1" t="n">
        <v>46010</v>
      </c>
      <c r="D552" t="inlineStr">
        <is>
          <t>ÖSTERGÖTLANDS LÄN</t>
        </is>
      </c>
      <c r="E552" t="inlineStr">
        <is>
          <t>LINKÖPING</t>
        </is>
      </c>
      <c r="G552" t="n">
        <v>5.3</v>
      </c>
      <c r="H552" t="n">
        <v>0</v>
      </c>
      <c r="I552" t="n">
        <v>0</v>
      </c>
      <c r="J552" t="n">
        <v>0</v>
      </c>
      <c r="K552" t="n">
        <v>0</v>
      </c>
      <c r="L552" t="n">
        <v>0</v>
      </c>
      <c r="M552" t="n">
        <v>0</v>
      </c>
      <c r="N552" t="n">
        <v>0</v>
      </c>
      <c r="O552" t="n">
        <v>0</v>
      </c>
      <c r="P552" t="n">
        <v>0</v>
      </c>
      <c r="Q552" t="n">
        <v>0</v>
      </c>
      <c r="R552" s="2" t="inlineStr"/>
    </row>
    <row r="553" ht="15" customHeight="1">
      <c r="A553" t="inlineStr">
        <is>
          <t>A 20294-2025</t>
        </is>
      </c>
      <c r="B553" s="1" t="n">
        <v>45774.74667824074</v>
      </c>
      <c r="C553" s="1" t="n">
        <v>46010</v>
      </c>
      <c r="D553" t="inlineStr">
        <is>
          <t>ÖSTERGÖTLANDS LÄN</t>
        </is>
      </c>
      <c r="E553" t="inlineStr">
        <is>
          <t>LINKÖPING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61899-2025</t>
        </is>
      </c>
      <c r="B554" s="1" t="n">
        <v>46003.46635416667</v>
      </c>
      <c r="C554" s="1" t="n">
        <v>46010</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61643-2025</t>
        </is>
      </c>
      <c r="B555" s="1" t="n">
        <v>46002.43575231481</v>
      </c>
      <c r="C555" s="1" t="n">
        <v>46010</v>
      </c>
      <c r="D555" t="inlineStr">
        <is>
          <t>ÖSTERGÖTLANDS LÄN</t>
        </is>
      </c>
      <c r="E555" t="inlineStr">
        <is>
          <t>LINKÖPING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61645-2025</t>
        </is>
      </c>
      <c r="B556" s="1" t="n">
        <v>46002.43697916667</v>
      </c>
      <c r="C556" s="1" t="n">
        <v>46010</v>
      </c>
      <c r="D556" t="inlineStr">
        <is>
          <t>ÖSTERGÖTLANDS LÄN</t>
        </is>
      </c>
      <c r="E556" t="inlineStr">
        <is>
          <t>LINKÖPING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17128-2025</t>
        </is>
      </c>
      <c r="B557" s="1" t="n">
        <v>45755.72622685185</v>
      </c>
      <c r="C557" s="1" t="n">
        <v>46010</v>
      </c>
      <c r="D557" t="inlineStr">
        <is>
          <t>ÖSTERGÖTLANDS LÄN</t>
        </is>
      </c>
      <c r="E557" t="inlineStr">
        <is>
          <t>LINKÖPING</t>
        </is>
      </c>
      <c r="G557" t="n">
        <v>2.9</v>
      </c>
      <c r="H557" t="n">
        <v>0</v>
      </c>
      <c r="I557" t="n">
        <v>0</v>
      </c>
      <c r="J557" t="n">
        <v>0</v>
      </c>
      <c r="K557" t="n">
        <v>0</v>
      </c>
      <c r="L557" t="n">
        <v>0</v>
      </c>
      <c r="M557" t="n">
        <v>0</v>
      </c>
      <c r="N557" t="n">
        <v>0</v>
      </c>
      <c r="O557" t="n">
        <v>0</v>
      </c>
      <c r="P557" t="n">
        <v>0</v>
      </c>
      <c r="Q557" t="n">
        <v>0</v>
      </c>
      <c r="R557" s="2" t="inlineStr"/>
    </row>
    <row r="558" ht="15" customHeight="1">
      <c r="A558" t="inlineStr">
        <is>
          <t>A 52125-2022</t>
        </is>
      </c>
      <c r="B558" s="1" t="n">
        <v>44873</v>
      </c>
      <c r="C558" s="1" t="n">
        <v>46010</v>
      </c>
      <c r="D558" t="inlineStr">
        <is>
          <t>ÖSTERGÖTLANDS LÄN</t>
        </is>
      </c>
      <c r="E558" t="inlineStr">
        <is>
          <t>LINKÖPING</t>
        </is>
      </c>
      <c r="F558" t="inlineStr">
        <is>
          <t>Övriga Aktiebolag</t>
        </is>
      </c>
      <c r="G558" t="n">
        <v>0.7</v>
      </c>
      <c r="H558" t="n">
        <v>0</v>
      </c>
      <c r="I558" t="n">
        <v>0</v>
      </c>
      <c r="J558" t="n">
        <v>0</v>
      </c>
      <c r="K558" t="n">
        <v>0</v>
      </c>
      <c r="L558" t="n">
        <v>0</v>
      </c>
      <c r="M558" t="n">
        <v>0</v>
      </c>
      <c r="N558" t="n">
        <v>0</v>
      </c>
      <c r="O558" t="n">
        <v>0</v>
      </c>
      <c r="P558" t="n">
        <v>0</v>
      </c>
      <c r="Q558" t="n">
        <v>0</v>
      </c>
      <c r="R558" s="2" t="inlineStr"/>
    </row>
    <row r="559" ht="15" customHeight="1">
      <c r="A559" t="inlineStr">
        <is>
          <t>A 54332-2025</t>
        </is>
      </c>
      <c r="B559" s="1" t="n">
        <v>45965.34915509259</v>
      </c>
      <c r="C559" s="1" t="n">
        <v>46010</v>
      </c>
      <c r="D559" t="inlineStr">
        <is>
          <t>ÖSTERGÖTLANDS LÄN</t>
        </is>
      </c>
      <c r="E559" t="inlineStr">
        <is>
          <t>LINKÖPING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27343-2023</t>
        </is>
      </c>
      <c r="B560" s="1" t="n">
        <v>45096</v>
      </c>
      <c r="C560" s="1" t="n">
        <v>46010</v>
      </c>
      <c r="D560" t="inlineStr">
        <is>
          <t>ÖSTERGÖTLANDS LÄN</t>
        </is>
      </c>
      <c r="E560" t="inlineStr">
        <is>
          <t>LINKÖPING</t>
        </is>
      </c>
      <c r="F560" t="inlineStr">
        <is>
          <t>Allmännings- och besparingsskogar</t>
        </is>
      </c>
      <c r="G560" t="n">
        <v>6.9</v>
      </c>
      <c r="H560" t="n">
        <v>0</v>
      </c>
      <c r="I560" t="n">
        <v>0</v>
      </c>
      <c r="J560" t="n">
        <v>0</v>
      </c>
      <c r="K560" t="n">
        <v>0</v>
      </c>
      <c r="L560" t="n">
        <v>0</v>
      </c>
      <c r="M560" t="n">
        <v>0</v>
      </c>
      <c r="N560" t="n">
        <v>0</v>
      </c>
      <c r="O560" t="n">
        <v>0</v>
      </c>
      <c r="P560" t="n">
        <v>0</v>
      </c>
      <c r="Q560" t="n">
        <v>0</v>
      </c>
      <c r="R560" s="2" t="inlineStr"/>
    </row>
    <row r="561" ht="15" customHeight="1">
      <c r="A561" t="inlineStr">
        <is>
          <t>A 54329-2025</t>
        </is>
      </c>
      <c r="B561" s="1" t="n">
        <v>45965.34706018519</v>
      </c>
      <c r="C561" s="1" t="n">
        <v>46010</v>
      </c>
      <c r="D561" t="inlineStr">
        <is>
          <t>ÖSTERGÖTLANDS LÄN</t>
        </is>
      </c>
      <c r="E561" t="inlineStr">
        <is>
          <t>LINKÖPING</t>
        </is>
      </c>
      <c r="F561" t="inlineStr">
        <is>
          <t>Sveaskog</t>
        </is>
      </c>
      <c r="G561" t="n">
        <v>5.1</v>
      </c>
      <c r="H561" t="n">
        <v>0</v>
      </c>
      <c r="I561" t="n">
        <v>0</v>
      </c>
      <c r="J561" t="n">
        <v>0</v>
      </c>
      <c r="K561" t="n">
        <v>0</v>
      </c>
      <c r="L561" t="n">
        <v>0</v>
      </c>
      <c r="M561" t="n">
        <v>0</v>
      </c>
      <c r="N561" t="n">
        <v>0</v>
      </c>
      <c r="O561" t="n">
        <v>0</v>
      </c>
      <c r="P561" t="n">
        <v>0</v>
      </c>
      <c r="Q561" t="n">
        <v>0</v>
      </c>
      <c r="R561" s="2" t="inlineStr"/>
    </row>
    <row r="562" ht="15" customHeight="1">
      <c r="A562" t="inlineStr">
        <is>
          <t>A 22842-2023</t>
        </is>
      </c>
      <c r="B562" s="1" t="n">
        <v>45071</v>
      </c>
      <c r="C562" s="1" t="n">
        <v>46010</v>
      </c>
      <c r="D562" t="inlineStr">
        <is>
          <t>ÖSTERGÖTLANDS LÄN</t>
        </is>
      </c>
      <c r="E562" t="inlineStr">
        <is>
          <t>LINKÖPING</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61230-2025</t>
        </is>
      </c>
      <c r="B563" s="1" t="n">
        <v>46000.63111111111</v>
      </c>
      <c r="C563" s="1" t="n">
        <v>46010</v>
      </c>
      <c r="D563" t="inlineStr">
        <is>
          <t>ÖSTERGÖTLANDS LÄN</t>
        </is>
      </c>
      <c r="E563" t="inlineStr">
        <is>
          <t>LINKÖPING</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62515-2025</t>
        </is>
      </c>
      <c r="B564" s="1" t="n">
        <v>46007.60548611111</v>
      </c>
      <c r="C564" s="1" t="n">
        <v>46010</v>
      </c>
      <c r="D564" t="inlineStr">
        <is>
          <t>ÖSTERGÖTLANDS LÄN</t>
        </is>
      </c>
      <c r="E564" t="inlineStr">
        <is>
          <t>LINKÖPING</t>
        </is>
      </c>
      <c r="G564" t="n">
        <v>2.2</v>
      </c>
      <c r="H564" t="n">
        <v>0</v>
      </c>
      <c r="I564" t="n">
        <v>0</v>
      </c>
      <c r="J564" t="n">
        <v>0</v>
      </c>
      <c r="K564" t="n">
        <v>0</v>
      </c>
      <c r="L564" t="n">
        <v>0</v>
      </c>
      <c r="M564" t="n">
        <v>0</v>
      </c>
      <c r="N564" t="n">
        <v>0</v>
      </c>
      <c r="O564" t="n">
        <v>0</v>
      </c>
      <c r="P564" t="n">
        <v>0</v>
      </c>
      <c r="Q564" t="n">
        <v>0</v>
      </c>
      <c r="R564" s="2" t="inlineStr"/>
    </row>
    <row r="565" ht="15" customHeight="1">
      <c r="A565" t="inlineStr">
        <is>
          <t>A 54333-2025</t>
        </is>
      </c>
      <c r="B565" s="1" t="n">
        <v>45965.35090277778</v>
      </c>
      <c r="C565" s="1" t="n">
        <v>46010</v>
      </c>
      <c r="D565" t="inlineStr">
        <is>
          <t>ÖSTERGÖTLANDS LÄN</t>
        </is>
      </c>
      <c r="E565" t="inlineStr">
        <is>
          <t>LINKÖPING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14520-2025</t>
        </is>
      </c>
      <c r="B566" s="1" t="n">
        <v>45741</v>
      </c>
      <c r="C566" s="1" t="n">
        <v>46010</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31548-2022</t>
        </is>
      </c>
      <c r="B567" s="1" t="n">
        <v>44775.39832175926</v>
      </c>
      <c r="C567" s="1" t="n">
        <v>46010</v>
      </c>
      <c r="D567" t="inlineStr">
        <is>
          <t>ÖSTERGÖTLANDS LÄN</t>
        </is>
      </c>
      <c r="E567" t="inlineStr">
        <is>
          <t>LINKÖPING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62686-2025</t>
        </is>
      </c>
      <c r="B568" s="1" t="n">
        <v>46008.46769675926</v>
      </c>
      <c r="C568" s="1" t="n">
        <v>46010</v>
      </c>
      <c r="D568" t="inlineStr">
        <is>
          <t>ÖSTERGÖTLANDS LÄN</t>
        </is>
      </c>
      <c r="E568" t="inlineStr">
        <is>
          <t>LINKÖPING</t>
        </is>
      </c>
      <c r="G568" t="n">
        <v>7.6</v>
      </c>
      <c r="H568" t="n">
        <v>0</v>
      </c>
      <c r="I568" t="n">
        <v>0</v>
      </c>
      <c r="J568" t="n">
        <v>0</v>
      </c>
      <c r="K568" t="n">
        <v>0</v>
      </c>
      <c r="L568" t="n">
        <v>0</v>
      </c>
      <c r="M568" t="n">
        <v>0</v>
      </c>
      <c r="N568" t="n">
        <v>0</v>
      </c>
      <c r="O568" t="n">
        <v>0</v>
      </c>
      <c r="P568" t="n">
        <v>0</v>
      </c>
      <c r="Q568" t="n">
        <v>0</v>
      </c>
      <c r="R568" s="2" t="inlineStr"/>
    </row>
    <row r="569" ht="15" customHeight="1">
      <c r="A569" t="inlineStr">
        <is>
          <t>A 62017-2024</t>
        </is>
      </c>
      <c r="B569" s="1" t="n">
        <v>45655.81140046296</v>
      </c>
      <c r="C569" s="1" t="n">
        <v>46010</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17785-2023</t>
        </is>
      </c>
      <c r="B570" s="1" t="n">
        <v>45037.55094907407</v>
      </c>
      <c r="C570" s="1" t="n">
        <v>46010</v>
      </c>
      <c r="D570" t="inlineStr">
        <is>
          <t>ÖSTERGÖTLANDS LÄN</t>
        </is>
      </c>
      <c r="E570" t="inlineStr">
        <is>
          <t>LINKÖPING</t>
        </is>
      </c>
      <c r="F570" t="inlineStr">
        <is>
          <t>Allmännings- och besparingsskogar</t>
        </is>
      </c>
      <c r="G570" t="n">
        <v>3.1</v>
      </c>
      <c r="H570" t="n">
        <v>0</v>
      </c>
      <c r="I570" t="n">
        <v>0</v>
      </c>
      <c r="J570" t="n">
        <v>0</v>
      </c>
      <c r="K570" t="n">
        <v>0</v>
      </c>
      <c r="L570" t="n">
        <v>0</v>
      </c>
      <c r="M570" t="n">
        <v>0</v>
      </c>
      <c r="N570" t="n">
        <v>0</v>
      </c>
      <c r="O570" t="n">
        <v>0</v>
      </c>
      <c r="P570" t="n">
        <v>0</v>
      </c>
      <c r="Q570" t="n">
        <v>0</v>
      </c>
      <c r="R570" s="2" t="inlineStr"/>
    </row>
    <row r="571" ht="15" customHeight="1">
      <c r="A571" t="inlineStr">
        <is>
          <t>A 60866-2025</t>
        </is>
      </c>
      <c r="B571" s="1" t="n">
        <v>45999</v>
      </c>
      <c r="C571" s="1" t="n">
        <v>46010</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62791-2025</t>
        </is>
      </c>
      <c r="B572" s="1" t="n">
        <v>46008.63266203704</v>
      </c>
      <c r="C572" s="1" t="n">
        <v>46010</v>
      </c>
      <c r="D572" t="inlineStr">
        <is>
          <t>ÖSTERGÖTLANDS LÄN</t>
        </is>
      </c>
      <c r="E572" t="inlineStr">
        <is>
          <t>LINKÖPING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62686-2023</t>
        </is>
      </c>
      <c r="B573" s="1" t="n">
        <v>45271</v>
      </c>
      <c r="C573" s="1" t="n">
        <v>46010</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42044-2023</t>
        </is>
      </c>
      <c r="B574" s="1" t="n">
        <v>45177</v>
      </c>
      <c r="C574" s="1" t="n">
        <v>46010</v>
      </c>
      <c r="D574" t="inlineStr">
        <is>
          <t>ÖSTERGÖTLANDS LÄN</t>
        </is>
      </c>
      <c r="E574" t="inlineStr">
        <is>
          <t>LINKÖPING</t>
        </is>
      </c>
      <c r="G574" t="n">
        <v>3.9</v>
      </c>
      <c r="H574" t="n">
        <v>0</v>
      </c>
      <c r="I574" t="n">
        <v>0</v>
      </c>
      <c r="J574" t="n">
        <v>0</v>
      </c>
      <c r="K574" t="n">
        <v>0</v>
      </c>
      <c r="L574" t="n">
        <v>0</v>
      </c>
      <c r="M574" t="n">
        <v>0</v>
      </c>
      <c r="N574" t="n">
        <v>0</v>
      </c>
      <c r="O574" t="n">
        <v>0</v>
      </c>
      <c r="P574" t="n">
        <v>0</v>
      </c>
      <c r="Q574" t="n">
        <v>0</v>
      </c>
      <c r="R574" s="2" t="inlineStr"/>
    </row>
    <row r="575" ht="15" customHeight="1">
      <c r="A575" t="inlineStr">
        <is>
          <t>A 5314-2021</t>
        </is>
      </c>
      <c r="B575" s="1" t="n">
        <v>44229</v>
      </c>
      <c r="C575" s="1" t="n">
        <v>46010</v>
      </c>
      <c r="D575" t="inlineStr">
        <is>
          <t>ÖSTERGÖTLANDS LÄN</t>
        </is>
      </c>
      <c r="E575" t="inlineStr">
        <is>
          <t>LINKÖPING</t>
        </is>
      </c>
      <c r="G575" t="n">
        <v>6.2</v>
      </c>
      <c r="H575" t="n">
        <v>0</v>
      </c>
      <c r="I575" t="n">
        <v>0</v>
      </c>
      <c r="J575" t="n">
        <v>0</v>
      </c>
      <c r="K575" t="n">
        <v>0</v>
      </c>
      <c r="L575" t="n">
        <v>0</v>
      </c>
      <c r="M575" t="n">
        <v>0</v>
      </c>
      <c r="N575" t="n">
        <v>0</v>
      </c>
      <c r="O575" t="n">
        <v>0</v>
      </c>
      <c r="P575" t="n">
        <v>0</v>
      </c>
      <c r="Q575" t="n">
        <v>0</v>
      </c>
      <c r="R575" s="2" t="inlineStr"/>
    </row>
    <row r="576" ht="15" customHeight="1">
      <c r="A576" t="inlineStr">
        <is>
          <t>A 49656-2021</t>
        </is>
      </c>
      <c r="B576" s="1" t="n">
        <v>44454</v>
      </c>
      <c r="C576" s="1" t="n">
        <v>46010</v>
      </c>
      <c r="D576" t="inlineStr">
        <is>
          <t>ÖSTERGÖTLANDS LÄN</t>
        </is>
      </c>
      <c r="E576" t="inlineStr">
        <is>
          <t>LINKÖPING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38230-2023</t>
        </is>
      </c>
      <c r="B577" s="1" t="n">
        <v>45161.55373842592</v>
      </c>
      <c r="C577" s="1" t="n">
        <v>46010</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45442-2024</t>
        </is>
      </c>
      <c r="B578" s="1" t="n">
        <v>45576.64189814815</v>
      </c>
      <c r="C578" s="1" t="n">
        <v>46010</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4908-2023</t>
        </is>
      </c>
      <c r="B579" s="1" t="n">
        <v>44958</v>
      </c>
      <c r="C579" s="1" t="n">
        <v>46010</v>
      </c>
      <c r="D579" t="inlineStr">
        <is>
          <t>ÖSTERGÖTLANDS LÄN</t>
        </is>
      </c>
      <c r="E579" t="inlineStr">
        <is>
          <t>LINKÖPING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1265-2023</t>
        </is>
      </c>
      <c r="B580" s="1" t="n">
        <v>44936</v>
      </c>
      <c r="C580" s="1" t="n">
        <v>46010</v>
      </c>
      <c r="D580" t="inlineStr">
        <is>
          <t>ÖSTERGÖTLANDS LÄN</t>
        </is>
      </c>
      <c r="E580" t="inlineStr">
        <is>
          <t>LINKÖPING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12411-2022</t>
        </is>
      </c>
      <c r="B581" s="1" t="n">
        <v>44638.21601851852</v>
      </c>
      <c r="C581" s="1" t="n">
        <v>46010</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23491-2024</t>
        </is>
      </c>
      <c r="B582" s="1" t="n">
        <v>45453</v>
      </c>
      <c r="C582" s="1" t="n">
        <v>46010</v>
      </c>
      <c r="D582" t="inlineStr">
        <is>
          <t>ÖSTERGÖTLANDS LÄN</t>
        </is>
      </c>
      <c r="E582" t="inlineStr">
        <is>
          <t>LINKÖPING</t>
        </is>
      </c>
      <c r="G582" t="n">
        <v>2.2</v>
      </c>
      <c r="H582" t="n">
        <v>0</v>
      </c>
      <c r="I582" t="n">
        <v>0</v>
      </c>
      <c r="J582" t="n">
        <v>0</v>
      </c>
      <c r="K582" t="n">
        <v>0</v>
      </c>
      <c r="L582" t="n">
        <v>0</v>
      </c>
      <c r="M582" t="n">
        <v>0</v>
      </c>
      <c r="N582" t="n">
        <v>0</v>
      </c>
      <c r="O582" t="n">
        <v>0</v>
      </c>
      <c r="P582" t="n">
        <v>0</v>
      </c>
      <c r="Q582" t="n">
        <v>0</v>
      </c>
      <c r="R582" s="2" t="inlineStr"/>
    </row>
    <row r="583" ht="15" customHeight="1">
      <c r="A583" t="inlineStr">
        <is>
          <t>A 70-2024</t>
        </is>
      </c>
      <c r="B583" s="1" t="n">
        <v>45293</v>
      </c>
      <c r="C583" s="1" t="n">
        <v>46010</v>
      </c>
      <c r="D583" t="inlineStr">
        <is>
          <t>ÖSTERGÖTLANDS LÄN</t>
        </is>
      </c>
      <c r="E583" t="inlineStr">
        <is>
          <t>LINKÖPING</t>
        </is>
      </c>
      <c r="G583" t="n">
        <v>1.3</v>
      </c>
      <c r="H583" t="n">
        <v>0</v>
      </c>
      <c r="I583" t="n">
        <v>0</v>
      </c>
      <c r="J583" t="n">
        <v>0</v>
      </c>
      <c r="K583" t="n">
        <v>0</v>
      </c>
      <c r="L583" t="n">
        <v>0</v>
      </c>
      <c r="M583" t="n">
        <v>0</v>
      </c>
      <c r="N583" t="n">
        <v>0</v>
      </c>
      <c r="O583" t="n">
        <v>0</v>
      </c>
      <c r="P583" t="n">
        <v>0</v>
      </c>
      <c r="Q583" t="n">
        <v>0</v>
      </c>
      <c r="R583" s="2" t="inlineStr"/>
    </row>
    <row r="584" ht="15" customHeight="1">
      <c r="A584" t="inlineStr">
        <is>
          <t>A 6054-2022</t>
        </is>
      </c>
      <c r="B584" s="1" t="n">
        <v>44599.53623842593</v>
      </c>
      <c r="C584" s="1" t="n">
        <v>46010</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31725-2022</t>
        </is>
      </c>
      <c r="B585" s="1" t="n">
        <v>44776.48541666667</v>
      </c>
      <c r="C585" s="1" t="n">
        <v>46010</v>
      </c>
      <c r="D585" t="inlineStr">
        <is>
          <t>ÖSTERGÖTLANDS LÄN</t>
        </is>
      </c>
      <c r="E585" t="inlineStr">
        <is>
          <t>LINKÖPING</t>
        </is>
      </c>
      <c r="G585" t="n">
        <v>2.6</v>
      </c>
      <c r="H585" t="n">
        <v>0</v>
      </c>
      <c r="I585" t="n">
        <v>0</v>
      </c>
      <c r="J585" t="n">
        <v>0</v>
      </c>
      <c r="K585" t="n">
        <v>0</v>
      </c>
      <c r="L585" t="n">
        <v>0</v>
      </c>
      <c r="M585" t="n">
        <v>0</v>
      </c>
      <c r="N585" t="n">
        <v>0</v>
      </c>
      <c r="O585" t="n">
        <v>0</v>
      </c>
      <c r="P585" t="n">
        <v>0</v>
      </c>
      <c r="Q585" t="n">
        <v>0</v>
      </c>
      <c r="R585" s="2" t="inlineStr"/>
    </row>
    <row r="586" ht="15" customHeight="1">
      <c r="A586" t="inlineStr">
        <is>
          <t>A 57391-2023</t>
        </is>
      </c>
      <c r="B586" s="1" t="n">
        <v>45245</v>
      </c>
      <c r="C586" s="1" t="n">
        <v>46010</v>
      </c>
      <c r="D586" t="inlineStr">
        <is>
          <t>ÖSTERGÖTLANDS LÄN</t>
        </is>
      </c>
      <c r="E586" t="inlineStr">
        <is>
          <t>LINKÖPING</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7992-2023</t>
        </is>
      </c>
      <c r="B587" s="1" t="n">
        <v>44970</v>
      </c>
      <c r="C587" s="1" t="n">
        <v>46010</v>
      </c>
      <c r="D587" t="inlineStr">
        <is>
          <t>ÖSTERGÖTLANDS LÄN</t>
        </is>
      </c>
      <c r="E587" t="inlineStr">
        <is>
          <t>LINKÖPING</t>
        </is>
      </c>
      <c r="F587" t="inlineStr">
        <is>
          <t>Kommuner</t>
        </is>
      </c>
      <c r="G587" t="n">
        <v>1</v>
      </c>
      <c r="H587" t="n">
        <v>0</v>
      </c>
      <c r="I587" t="n">
        <v>0</v>
      </c>
      <c r="J587" t="n">
        <v>0</v>
      </c>
      <c r="K587" t="n">
        <v>0</v>
      </c>
      <c r="L587" t="n">
        <v>0</v>
      </c>
      <c r="M587" t="n">
        <v>0</v>
      </c>
      <c r="N587" t="n">
        <v>0</v>
      </c>
      <c r="O587" t="n">
        <v>0</v>
      </c>
      <c r="P587" t="n">
        <v>0</v>
      </c>
      <c r="Q587" t="n">
        <v>0</v>
      </c>
      <c r="R587" s="2" t="inlineStr"/>
    </row>
    <row r="588" ht="15" customHeight="1">
      <c r="A588" t="inlineStr">
        <is>
          <t>A 13689-2025</t>
        </is>
      </c>
      <c r="B588" s="1" t="n">
        <v>45737.31590277778</v>
      </c>
      <c r="C588" s="1" t="n">
        <v>46010</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13696-2025</t>
        </is>
      </c>
      <c r="B589" s="1" t="n">
        <v>45737.32273148148</v>
      </c>
      <c r="C589" s="1" t="n">
        <v>46010</v>
      </c>
      <c r="D589" t="inlineStr">
        <is>
          <t>ÖSTERGÖTLANDS LÄN</t>
        </is>
      </c>
      <c r="E589" t="inlineStr">
        <is>
          <t>LINKÖPING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1924-2024</t>
        </is>
      </c>
      <c r="B590" s="1" t="n">
        <v>45308</v>
      </c>
      <c r="C590" s="1" t="n">
        <v>46010</v>
      </c>
      <c r="D590" t="inlineStr">
        <is>
          <t>ÖSTERGÖTLANDS LÄN</t>
        </is>
      </c>
      <c r="E590" t="inlineStr">
        <is>
          <t>LINKÖPING</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32346-2023</t>
        </is>
      </c>
      <c r="B591" s="1" t="n">
        <v>45120</v>
      </c>
      <c r="C591" s="1" t="n">
        <v>46010</v>
      </c>
      <c r="D591" t="inlineStr">
        <is>
          <t>ÖSTERGÖTLANDS LÄN</t>
        </is>
      </c>
      <c r="E591" t="inlineStr">
        <is>
          <t>LINKÖPING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50508-2024</t>
        </is>
      </c>
      <c r="B592" s="1" t="n">
        <v>45601.53907407408</v>
      </c>
      <c r="C592" s="1" t="n">
        <v>46010</v>
      </c>
      <c r="D592" t="inlineStr">
        <is>
          <t>ÖSTERGÖTLANDS LÄN</t>
        </is>
      </c>
      <c r="E592" t="inlineStr">
        <is>
          <t>LINKÖPING</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7808-2022</t>
        </is>
      </c>
      <c r="B593" s="1" t="n">
        <v>44608</v>
      </c>
      <c r="C593" s="1" t="n">
        <v>46010</v>
      </c>
      <c r="D593" t="inlineStr">
        <is>
          <t>ÖSTERGÖTLANDS LÄN</t>
        </is>
      </c>
      <c r="E593" t="inlineStr">
        <is>
          <t>LINKÖPING</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27844-2024</t>
        </is>
      </c>
      <c r="B594" s="1" t="n">
        <v>45475.63047453704</v>
      </c>
      <c r="C594" s="1" t="n">
        <v>46010</v>
      </c>
      <c r="D594" t="inlineStr">
        <is>
          <t>ÖSTERGÖTLANDS LÄN</t>
        </is>
      </c>
      <c r="E594" t="inlineStr">
        <is>
          <t>LINKÖPING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40810-2022</t>
        </is>
      </c>
      <c r="B595" s="1" t="n">
        <v>44824</v>
      </c>
      <c r="C595" s="1" t="n">
        <v>46010</v>
      </c>
      <c r="D595" t="inlineStr">
        <is>
          <t>ÖSTERGÖTLANDS LÄN</t>
        </is>
      </c>
      <c r="E595" t="inlineStr">
        <is>
          <t>LINKÖPING</t>
        </is>
      </c>
      <c r="G595" t="n">
        <v>2.8</v>
      </c>
      <c r="H595" t="n">
        <v>0</v>
      </c>
      <c r="I595" t="n">
        <v>0</v>
      </c>
      <c r="J595" t="n">
        <v>0</v>
      </c>
      <c r="K595" t="n">
        <v>0</v>
      </c>
      <c r="L595" t="n">
        <v>0</v>
      </c>
      <c r="M595" t="n">
        <v>0</v>
      </c>
      <c r="N595" t="n">
        <v>0</v>
      </c>
      <c r="O595" t="n">
        <v>0</v>
      </c>
      <c r="P595" t="n">
        <v>0</v>
      </c>
      <c r="Q595" t="n">
        <v>0</v>
      </c>
      <c r="R595" s="2" t="inlineStr"/>
    </row>
    <row r="596" ht="15" customHeight="1">
      <c r="A596" t="inlineStr">
        <is>
          <t>A 51559-2024</t>
        </is>
      </c>
      <c r="B596" s="1" t="n">
        <v>45604.61431712963</v>
      </c>
      <c r="C596" s="1" t="n">
        <v>46010</v>
      </c>
      <c r="D596" t="inlineStr">
        <is>
          <t>ÖSTERGÖTLANDS LÄN</t>
        </is>
      </c>
      <c r="E596" t="inlineStr">
        <is>
          <t>LINKÖPING</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49979-2022</t>
        </is>
      </c>
      <c r="B597" s="1" t="n">
        <v>44865</v>
      </c>
      <c r="C597" s="1" t="n">
        <v>46010</v>
      </c>
      <c r="D597" t="inlineStr">
        <is>
          <t>ÖSTERGÖTLANDS LÄN</t>
        </is>
      </c>
      <c r="E597" t="inlineStr">
        <is>
          <t>LINKÖPING</t>
        </is>
      </c>
      <c r="F597" t="inlineStr">
        <is>
          <t>Övriga Aktiebolag</t>
        </is>
      </c>
      <c r="G597" t="n">
        <v>11.4</v>
      </c>
      <c r="H597" t="n">
        <v>0</v>
      </c>
      <c r="I597" t="n">
        <v>0</v>
      </c>
      <c r="J597" t="n">
        <v>0</v>
      </c>
      <c r="K597" t="n">
        <v>0</v>
      </c>
      <c r="L597" t="n">
        <v>0</v>
      </c>
      <c r="M597" t="n">
        <v>0</v>
      </c>
      <c r="N597" t="n">
        <v>0</v>
      </c>
      <c r="O597" t="n">
        <v>0</v>
      </c>
      <c r="P597" t="n">
        <v>0</v>
      </c>
      <c r="Q597" t="n">
        <v>0</v>
      </c>
      <c r="R597" s="2" t="inlineStr"/>
    </row>
    <row r="598" ht="15" customHeight="1">
      <c r="A598" t="inlineStr">
        <is>
          <t>A 39219-2021</t>
        </is>
      </c>
      <c r="B598" s="1" t="n">
        <v>44413</v>
      </c>
      <c r="C598" s="1" t="n">
        <v>46010</v>
      </c>
      <c r="D598" t="inlineStr">
        <is>
          <t>ÖSTERGÖTLANDS LÄN</t>
        </is>
      </c>
      <c r="E598" t="inlineStr">
        <is>
          <t>LINKÖPING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39224-2021</t>
        </is>
      </c>
      <c r="B599" s="1" t="n">
        <v>44413</v>
      </c>
      <c r="C599" s="1" t="n">
        <v>46010</v>
      </c>
      <c r="D599" t="inlineStr">
        <is>
          <t>ÖSTERGÖTLANDS LÄN</t>
        </is>
      </c>
      <c r="E599" t="inlineStr">
        <is>
          <t>LINKÖPING</t>
        </is>
      </c>
      <c r="G599" t="n">
        <v>2.1</v>
      </c>
      <c r="H599" t="n">
        <v>0</v>
      </c>
      <c r="I599" t="n">
        <v>0</v>
      </c>
      <c r="J599" t="n">
        <v>0</v>
      </c>
      <c r="K599" t="n">
        <v>0</v>
      </c>
      <c r="L599" t="n">
        <v>0</v>
      </c>
      <c r="M599" t="n">
        <v>0</v>
      </c>
      <c r="N599" t="n">
        <v>0</v>
      </c>
      <c r="O599" t="n">
        <v>0</v>
      </c>
      <c r="P599" t="n">
        <v>0</v>
      </c>
      <c r="Q599" t="n">
        <v>0</v>
      </c>
      <c r="R599" s="2" t="inlineStr"/>
    </row>
    <row r="600" ht="15" customHeight="1">
      <c r="A600" t="inlineStr">
        <is>
          <t>A 62495-2023</t>
        </is>
      </c>
      <c r="B600" s="1" t="n">
        <v>45268.59717592593</v>
      </c>
      <c r="C600" s="1" t="n">
        <v>46010</v>
      </c>
      <c r="D600" t="inlineStr">
        <is>
          <t>ÖSTERGÖTLANDS LÄN</t>
        </is>
      </c>
      <c r="E600" t="inlineStr">
        <is>
          <t>LINKÖPING</t>
        </is>
      </c>
      <c r="G600" t="n">
        <v>4.1</v>
      </c>
      <c r="H600" t="n">
        <v>0</v>
      </c>
      <c r="I600" t="n">
        <v>0</v>
      </c>
      <c r="J600" t="n">
        <v>0</v>
      </c>
      <c r="K600" t="n">
        <v>0</v>
      </c>
      <c r="L600" t="n">
        <v>0</v>
      </c>
      <c r="M600" t="n">
        <v>0</v>
      </c>
      <c r="N600" t="n">
        <v>0</v>
      </c>
      <c r="O600" t="n">
        <v>0</v>
      </c>
      <c r="P600" t="n">
        <v>0</v>
      </c>
      <c r="Q600" t="n">
        <v>0</v>
      </c>
      <c r="R600" s="2" t="inlineStr"/>
    </row>
    <row r="601" ht="15" customHeight="1">
      <c r="A601" t="inlineStr">
        <is>
          <t>A 29413-2023</t>
        </is>
      </c>
      <c r="B601" s="1" t="n">
        <v>45106.46465277778</v>
      </c>
      <c r="C601" s="1" t="n">
        <v>46010</v>
      </c>
      <c r="D601" t="inlineStr">
        <is>
          <t>ÖSTERGÖTLANDS LÄN</t>
        </is>
      </c>
      <c r="E601" t="inlineStr">
        <is>
          <t>LINKÖPING</t>
        </is>
      </c>
      <c r="G601" t="n">
        <v>8</v>
      </c>
      <c r="H601" t="n">
        <v>0</v>
      </c>
      <c r="I601" t="n">
        <v>0</v>
      </c>
      <c r="J601" t="n">
        <v>0</v>
      </c>
      <c r="K601" t="n">
        <v>0</v>
      </c>
      <c r="L601" t="n">
        <v>0</v>
      </c>
      <c r="M601" t="n">
        <v>0</v>
      </c>
      <c r="N601" t="n">
        <v>0</v>
      </c>
      <c r="O601" t="n">
        <v>0</v>
      </c>
      <c r="P601" t="n">
        <v>0</v>
      </c>
      <c r="Q601" t="n">
        <v>0</v>
      </c>
      <c r="R601" s="2" t="inlineStr"/>
    </row>
    <row r="602" ht="15" customHeight="1">
      <c r="A602" t="inlineStr">
        <is>
          <t>A 25948-2023</t>
        </is>
      </c>
      <c r="B602" s="1" t="n">
        <v>45090</v>
      </c>
      <c r="C602" s="1" t="n">
        <v>46010</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1627-2023</t>
        </is>
      </c>
      <c r="B603" s="1" t="n">
        <v>44937</v>
      </c>
      <c r="C603" s="1" t="n">
        <v>46010</v>
      </c>
      <c r="D603" t="inlineStr">
        <is>
          <t>ÖSTERGÖTLANDS LÄN</t>
        </is>
      </c>
      <c r="E603" t="inlineStr">
        <is>
          <t>LINKÖPING</t>
        </is>
      </c>
      <c r="G603" t="n">
        <v>10.8</v>
      </c>
      <c r="H603" t="n">
        <v>0</v>
      </c>
      <c r="I603" t="n">
        <v>0</v>
      </c>
      <c r="J603" t="n">
        <v>0</v>
      </c>
      <c r="K603" t="n">
        <v>0</v>
      </c>
      <c r="L603" t="n">
        <v>0</v>
      </c>
      <c r="M603" t="n">
        <v>0</v>
      </c>
      <c r="N603" t="n">
        <v>0</v>
      </c>
      <c r="O603" t="n">
        <v>0</v>
      </c>
      <c r="P603" t="n">
        <v>0</v>
      </c>
      <c r="Q603" t="n">
        <v>0</v>
      </c>
      <c r="R603" s="2" t="inlineStr"/>
    </row>
    <row r="604" ht="15" customHeight="1">
      <c r="A604" t="inlineStr">
        <is>
          <t>A 30481-2023</t>
        </is>
      </c>
      <c r="B604" s="1" t="n">
        <v>45111</v>
      </c>
      <c r="C604" s="1" t="n">
        <v>46010</v>
      </c>
      <c r="D604" t="inlineStr">
        <is>
          <t>ÖSTERGÖTLANDS LÄN</t>
        </is>
      </c>
      <c r="E604" t="inlineStr">
        <is>
          <t>LINKÖPING</t>
        </is>
      </c>
      <c r="F604" t="inlineStr">
        <is>
          <t>Övriga Aktiebolag</t>
        </is>
      </c>
      <c r="G604" t="n">
        <v>2</v>
      </c>
      <c r="H604" t="n">
        <v>0</v>
      </c>
      <c r="I604" t="n">
        <v>0</v>
      </c>
      <c r="J604" t="n">
        <v>0</v>
      </c>
      <c r="K604" t="n">
        <v>0</v>
      </c>
      <c r="L604" t="n">
        <v>0</v>
      </c>
      <c r="M604" t="n">
        <v>0</v>
      </c>
      <c r="N604" t="n">
        <v>0</v>
      </c>
      <c r="O604" t="n">
        <v>0</v>
      </c>
      <c r="P604" t="n">
        <v>0</v>
      </c>
      <c r="Q604" t="n">
        <v>0</v>
      </c>
      <c r="R604" s="2" t="inlineStr"/>
    </row>
    <row r="605" ht="15" customHeight="1">
      <c r="A605" t="inlineStr">
        <is>
          <t>A 21782-2024</t>
        </is>
      </c>
      <c r="B605" s="1" t="n">
        <v>45442.63368055555</v>
      </c>
      <c r="C605" s="1" t="n">
        <v>46010</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11671-2023</t>
        </is>
      </c>
      <c r="B606" s="1" t="n">
        <v>44994.48125</v>
      </c>
      <c r="C606" s="1" t="n">
        <v>46010</v>
      </c>
      <c r="D606" t="inlineStr">
        <is>
          <t>ÖSTERGÖTLANDS LÄN</t>
        </is>
      </c>
      <c r="E606" t="inlineStr">
        <is>
          <t>LINKÖPING</t>
        </is>
      </c>
      <c r="G606" t="n">
        <v>2.6</v>
      </c>
      <c r="H606" t="n">
        <v>0</v>
      </c>
      <c r="I606" t="n">
        <v>0</v>
      </c>
      <c r="J606" t="n">
        <v>0</v>
      </c>
      <c r="K606" t="n">
        <v>0</v>
      </c>
      <c r="L606" t="n">
        <v>0</v>
      </c>
      <c r="M606" t="n">
        <v>0</v>
      </c>
      <c r="N606" t="n">
        <v>0</v>
      </c>
      <c r="O606" t="n">
        <v>0</v>
      </c>
      <c r="P606" t="n">
        <v>0</v>
      </c>
      <c r="Q606" t="n">
        <v>0</v>
      </c>
      <c r="R606" s="2" t="inlineStr"/>
    </row>
    <row r="607" ht="15" customHeight="1">
      <c r="A607" t="inlineStr">
        <is>
          <t>A 3013-2023</t>
        </is>
      </c>
      <c r="B607" s="1" t="n">
        <v>44945.8092824074</v>
      </c>
      <c r="C607" s="1" t="n">
        <v>46010</v>
      </c>
      <c r="D607" t="inlineStr">
        <is>
          <t>ÖSTERGÖTLANDS LÄN</t>
        </is>
      </c>
      <c r="E607" t="inlineStr">
        <is>
          <t>LINKÖPING</t>
        </is>
      </c>
      <c r="G607" t="n">
        <v>5.2</v>
      </c>
      <c r="H607" t="n">
        <v>0</v>
      </c>
      <c r="I607" t="n">
        <v>0</v>
      </c>
      <c r="J607" t="n">
        <v>0</v>
      </c>
      <c r="K607" t="n">
        <v>0</v>
      </c>
      <c r="L607" t="n">
        <v>0</v>
      </c>
      <c r="M607" t="n">
        <v>0</v>
      </c>
      <c r="N607" t="n">
        <v>0</v>
      </c>
      <c r="O607" t="n">
        <v>0</v>
      </c>
      <c r="P607" t="n">
        <v>0</v>
      </c>
      <c r="Q607" t="n">
        <v>0</v>
      </c>
      <c r="R607" s="2" t="inlineStr"/>
    </row>
    <row r="608" ht="15" customHeight="1">
      <c r="A608" t="inlineStr">
        <is>
          <t>A 49747-2024</t>
        </is>
      </c>
      <c r="B608" s="1" t="n">
        <v>45596</v>
      </c>
      <c r="C608" s="1" t="n">
        <v>46010</v>
      </c>
      <c r="D608" t="inlineStr">
        <is>
          <t>ÖSTERGÖTLANDS LÄN</t>
        </is>
      </c>
      <c r="E608" t="inlineStr">
        <is>
          <t>LINKÖPING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42997-2021</t>
        </is>
      </c>
      <c r="B609" s="1" t="n">
        <v>44431.45556712963</v>
      </c>
      <c r="C609" s="1" t="n">
        <v>46010</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3011-2023</t>
        </is>
      </c>
      <c r="B610" s="1" t="n">
        <v>44945</v>
      </c>
      <c r="C610" s="1" t="n">
        <v>46010</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23735-2023</t>
        </is>
      </c>
      <c r="B611" s="1" t="n">
        <v>45077</v>
      </c>
      <c r="C611" s="1" t="n">
        <v>46010</v>
      </c>
      <c r="D611" t="inlineStr">
        <is>
          <t>ÖSTERGÖTLANDS LÄN</t>
        </is>
      </c>
      <c r="E611" t="inlineStr">
        <is>
          <t>LINKÖPING</t>
        </is>
      </c>
      <c r="G611" t="n">
        <v>1.7</v>
      </c>
      <c r="H611" t="n">
        <v>0</v>
      </c>
      <c r="I611" t="n">
        <v>0</v>
      </c>
      <c r="J611" t="n">
        <v>0</v>
      </c>
      <c r="K611" t="n">
        <v>0</v>
      </c>
      <c r="L611" t="n">
        <v>0</v>
      </c>
      <c r="M611" t="n">
        <v>0</v>
      </c>
      <c r="N611" t="n">
        <v>0</v>
      </c>
      <c r="O611" t="n">
        <v>0</v>
      </c>
      <c r="P611" t="n">
        <v>0</v>
      </c>
      <c r="Q611" t="n">
        <v>0</v>
      </c>
      <c r="R611" s="2" t="inlineStr"/>
    </row>
    <row r="612" ht="15" customHeight="1">
      <c r="A612" t="inlineStr">
        <is>
          <t>A 45821-2024</t>
        </is>
      </c>
      <c r="B612" s="1" t="n">
        <v>45579.75803240741</v>
      </c>
      <c r="C612" s="1" t="n">
        <v>46010</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53647-2021</t>
        </is>
      </c>
      <c r="B613" s="1" t="n">
        <v>44469</v>
      </c>
      <c r="C613" s="1" t="n">
        <v>46010</v>
      </c>
      <c r="D613" t="inlineStr">
        <is>
          <t>ÖSTERGÖTLANDS LÄN</t>
        </is>
      </c>
      <c r="E613" t="inlineStr">
        <is>
          <t>LINKÖPING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6599-2023</t>
        </is>
      </c>
      <c r="B614" s="1" t="n">
        <v>44966.52603009259</v>
      </c>
      <c r="C614" s="1" t="n">
        <v>46010</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35735-2023</t>
        </is>
      </c>
      <c r="B615" s="1" t="n">
        <v>45147</v>
      </c>
      <c r="C615" s="1" t="n">
        <v>46010</v>
      </c>
      <c r="D615" t="inlineStr">
        <is>
          <t>ÖSTERGÖTLANDS LÄN</t>
        </is>
      </c>
      <c r="E615" t="inlineStr">
        <is>
          <t>LINKÖPING</t>
        </is>
      </c>
      <c r="G615" t="n">
        <v>2.8</v>
      </c>
      <c r="H615" t="n">
        <v>0</v>
      </c>
      <c r="I615" t="n">
        <v>0</v>
      </c>
      <c r="J615" t="n">
        <v>0</v>
      </c>
      <c r="K615" t="n">
        <v>0</v>
      </c>
      <c r="L615" t="n">
        <v>0</v>
      </c>
      <c r="M615" t="n">
        <v>0</v>
      </c>
      <c r="N615" t="n">
        <v>0</v>
      </c>
      <c r="O615" t="n">
        <v>0</v>
      </c>
      <c r="P615" t="n">
        <v>0</v>
      </c>
      <c r="Q615" t="n">
        <v>0</v>
      </c>
      <c r="R615" s="2" t="inlineStr"/>
    </row>
    <row r="616" ht="15" customHeight="1">
      <c r="A616" t="inlineStr">
        <is>
          <t>A 45831-2024</t>
        </is>
      </c>
      <c r="B616" s="1" t="n">
        <v>45579.90508101852</v>
      </c>
      <c r="C616" s="1" t="n">
        <v>46010</v>
      </c>
      <c r="D616" t="inlineStr">
        <is>
          <t>ÖSTERGÖTLANDS LÄN</t>
        </is>
      </c>
      <c r="E616" t="inlineStr">
        <is>
          <t>LINKÖPING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17157-2024</t>
        </is>
      </c>
      <c r="B617" s="1" t="n">
        <v>45412.70567129629</v>
      </c>
      <c r="C617" s="1" t="n">
        <v>46010</v>
      </c>
      <c r="D617" t="inlineStr">
        <is>
          <t>ÖSTERGÖTLANDS LÄN</t>
        </is>
      </c>
      <c r="E617" t="inlineStr">
        <is>
          <t>LINKÖPING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37154-2023</t>
        </is>
      </c>
      <c r="B618" s="1" t="n">
        <v>45155</v>
      </c>
      <c r="C618" s="1" t="n">
        <v>46010</v>
      </c>
      <c r="D618" t="inlineStr">
        <is>
          <t>ÖSTERGÖTLANDS LÄN</t>
        </is>
      </c>
      <c r="E618" t="inlineStr">
        <is>
          <t>LINKÖPING</t>
        </is>
      </c>
      <c r="G618" t="n">
        <v>1.7</v>
      </c>
      <c r="H618" t="n">
        <v>0</v>
      </c>
      <c r="I618" t="n">
        <v>0</v>
      </c>
      <c r="J618" t="n">
        <v>0</v>
      </c>
      <c r="K618" t="n">
        <v>0</v>
      </c>
      <c r="L618" t="n">
        <v>0</v>
      </c>
      <c r="M618" t="n">
        <v>0</v>
      </c>
      <c r="N618" t="n">
        <v>0</v>
      </c>
      <c r="O618" t="n">
        <v>0</v>
      </c>
      <c r="P618" t="n">
        <v>0</v>
      </c>
      <c r="Q618" t="n">
        <v>0</v>
      </c>
      <c r="R618" s="2" t="inlineStr"/>
    </row>
    <row r="619" ht="15" customHeight="1">
      <c r="A619" t="inlineStr">
        <is>
          <t>A 53812-2023</t>
        </is>
      </c>
      <c r="B619" s="1" t="n">
        <v>45231.39583333334</v>
      </c>
      <c r="C619" s="1" t="n">
        <v>46010</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53830-2023</t>
        </is>
      </c>
      <c r="B620" s="1" t="n">
        <v>45230</v>
      </c>
      <c r="C620" s="1" t="n">
        <v>46010</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56841-2023</t>
        </is>
      </c>
      <c r="B621" s="1" t="n">
        <v>45244</v>
      </c>
      <c r="C621" s="1" t="n">
        <v>46010</v>
      </c>
      <c r="D621" t="inlineStr">
        <is>
          <t>ÖSTERGÖTLANDS LÄN</t>
        </is>
      </c>
      <c r="E621" t="inlineStr">
        <is>
          <t>LINKÖPING</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56741-2023</t>
        </is>
      </c>
      <c r="B622" s="1" t="n">
        <v>45244</v>
      </c>
      <c r="C622" s="1" t="n">
        <v>46010</v>
      </c>
      <c r="D622" t="inlineStr">
        <is>
          <t>ÖSTERGÖTLANDS LÄN</t>
        </is>
      </c>
      <c r="E622" t="inlineStr">
        <is>
          <t>LINKÖPING</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53816-2023</t>
        </is>
      </c>
      <c r="B623" s="1" t="n">
        <v>45231.40012731482</v>
      </c>
      <c r="C623" s="1" t="n">
        <v>46010</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63935-2021</t>
        </is>
      </c>
      <c r="B624" s="1" t="n">
        <v>44509</v>
      </c>
      <c r="C624" s="1" t="n">
        <v>46010</v>
      </c>
      <c r="D624" t="inlineStr">
        <is>
          <t>ÖSTERGÖTLANDS LÄN</t>
        </is>
      </c>
      <c r="E624" t="inlineStr">
        <is>
          <t>LINKÖPING</t>
        </is>
      </c>
      <c r="F624" t="inlineStr">
        <is>
          <t>Övriga statliga verk och myndigheter</t>
        </is>
      </c>
      <c r="G624" t="n">
        <v>2.8</v>
      </c>
      <c r="H624" t="n">
        <v>0</v>
      </c>
      <c r="I624" t="n">
        <v>0</v>
      </c>
      <c r="J624" t="n">
        <v>0</v>
      </c>
      <c r="K624" t="n">
        <v>0</v>
      </c>
      <c r="L624" t="n">
        <v>0</v>
      </c>
      <c r="M624" t="n">
        <v>0</v>
      </c>
      <c r="N624" t="n">
        <v>0</v>
      </c>
      <c r="O624" t="n">
        <v>0</v>
      </c>
      <c r="P624" t="n">
        <v>0</v>
      </c>
      <c r="Q624" t="n">
        <v>0</v>
      </c>
      <c r="R624" s="2" t="inlineStr"/>
    </row>
    <row r="625" ht="15" customHeight="1">
      <c r="A625" t="inlineStr">
        <is>
          <t>A 6726-2024</t>
        </is>
      </c>
      <c r="B625" s="1" t="n">
        <v>45341</v>
      </c>
      <c r="C625" s="1" t="n">
        <v>46010</v>
      </c>
      <c r="D625" t="inlineStr">
        <is>
          <t>ÖSTERGÖTLANDS LÄN</t>
        </is>
      </c>
      <c r="E625" t="inlineStr">
        <is>
          <t>LINKÖPING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3007-2023</t>
        </is>
      </c>
      <c r="B626" s="1" t="n">
        <v>44945</v>
      </c>
      <c r="C626" s="1" t="n">
        <v>46010</v>
      </c>
      <c r="D626" t="inlineStr">
        <is>
          <t>ÖSTERGÖTLANDS LÄN</t>
        </is>
      </c>
      <c r="E626" t="inlineStr">
        <is>
          <t>LINKÖPING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18145-2021</t>
        </is>
      </c>
      <c r="B627" s="1" t="n">
        <v>44302</v>
      </c>
      <c r="C627" s="1" t="n">
        <v>46010</v>
      </c>
      <c r="D627" t="inlineStr">
        <is>
          <t>ÖSTERGÖTLANDS LÄN</t>
        </is>
      </c>
      <c r="E627" t="inlineStr">
        <is>
          <t>LINKÖPING</t>
        </is>
      </c>
      <c r="G627" t="n">
        <v>2.4</v>
      </c>
      <c r="H627" t="n">
        <v>0</v>
      </c>
      <c r="I627" t="n">
        <v>0</v>
      </c>
      <c r="J627" t="n">
        <v>0</v>
      </c>
      <c r="K627" t="n">
        <v>0</v>
      </c>
      <c r="L627" t="n">
        <v>0</v>
      </c>
      <c r="M627" t="n">
        <v>0</v>
      </c>
      <c r="N627" t="n">
        <v>0</v>
      </c>
      <c r="O627" t="n">
        <v>0</v>
      </c>
      <c r="P627" t="n">
        <v>0</v>
      </c>
      <c r="Q627" t="n">
        <v>0</v>
      </c>
      <c r="R627" s="2" t="inlineStr"/>
    </row>
    <row r="628" ht="15" customHeight="1">
      <c r="A628" t="inlineStr">
        <is>
          <t>A 29309-2024</t>
        </is>
      </c>
      <c r="B628" s="1" t="n">
        <v>45483</v>
      </c>
      <c r="C628" s="1" t="n">
        <v>46010</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53411-2023</t>
        </is>
      </c>
      <c r="B629" s="1" t="n">
        <v>45229.81049768518</v>
      </c>
      <c r="C629" s="1" t="n">
        <v>46010</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26788-2022</t>
        </is>
      </c>
      <c r="B630" s="1" t="n">
        <v>44740</v>
      </c>
      <c r="C630" s="1" t="n">
        <v>46010</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24462-2023</t>
        </is>
      </c>
      <c r="B631" s="1" t="n">
        <v>45082</v>
      </c>
      <c r="C631" s="1" t="n">
        <v>46010</v>
      </c>
      <c r="D631" t="inlineStr">
        <is>
          <t>ÖSTERGÖTLANDS LÄN</t>
        </is>
      </c>
      <c r="E631" t="inlineStr">
        <is>
          <t>LINKÖPING</t>
        </is>
      </c>
      <c r="G631" t="n">
        <v>3.5</v>
      </c>
      <c r="H631" t="n">
        <v>0</v>
      </c>
      <c r="I631" t="n">
        <v>0</v>
      </c>
      <c r="J631" t="n">
        <v>0</v>
      </c>
      <c r="K631" t="n">
        <v>0</v>
      </c>
      <c r="L631" t="n">
        <v>0</v>
      </c>
      <c r="M631" t="n">
        <v>0</v>
      </c>
      <c r="N631" t="n">
        <v>0</v>
      </c>
      <c r="O631" t="n">
        <v>0</v>
      </c>
      <c r="P631" t="n">
        <v>0</v>
      </c>
      <c r="Q631" t="n">
        <v>0</v>
      </c>
      <c r="R631" s="2" t="inlineStr"/>
    </row>
    <row r="632" ht="15" customHeight="1">
      <c r="A632" t="inlineStr">
        <is>
          <t>A 62015-2024</t>
        </is>
      </c>
      <c r="B632" s="1" t="n">
        <v>45655.80457175926</v>
      </c>
      <c r="C632" s="1" t="n">
        <v>46010</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10741-2023</t>
        </is>
      </c>
      <c r="B633" s="1" t="n">
        <v>44988.70084490741</v>
      </c>
      <c r="C633" s="1" t="n">
        <v>46010</v>
      </c>
      <c r="D633" t="inlineStr">
        <is>
          <t>ÖSTERGÖTLANDS LÄN</t>
        </is>
      </c>
      <c r="E633" t="inlineStr">
        <is>
          <t>LINKÖPING</t>
        </is>
      </c>
      <c r="F633" t="inlineStr">
        <is>
          <t>Allmännings- och besparingsskogar</t>
        </is>
      </c>
      <c r="G633" t="n">
        <v>11.2</v>
      </c>
      <c r="H633" t="n">
        <v>0</v>
      </c>
      <c r="I633" t="n">
        <v>0</v>
      </c>
      <c r="J633" t="n">
        <v>0</v>
      </c>
      <c r="K633" t="n">
        <v>0</v>
      </c>
      <c r="L633" t="n">
        <v>0</v>
      </c>
      <c r="M633" t="n">
        <v>0</v>
      </c>
      <c r="N633" t="n">
        <v>0</v>
      </c>
      <c r="O633" t="n">
        <v>0</v>
      </c>
      <c r="P633" t="n">
        <v>0</v>
      </c>
      <c r="Q633" t="n">
        <v>0</v>
      </c>
      <c r="R633" s="2" t="inlineStr"/>
    </row>
    <row r="634" ht="15" customHeight="1">
      <c r="A634" t="inlineStr">
        <is>
          <t>A 43473-2024</t>
        </is>
      </c>
      <c r="B634" s="1" t="n">
        <v>45568</v>
      </c>
      <c r="C634" s="1" t="n">
        <v>46010</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43475-2024</t>
        </is>
      </c>
      <c r="B635" s="1" t="n">
        <v>45568</v>
      </c>
      <c r="C635" s="1" t="n">
        <v>46010</v>
      </c>
      <c r="D635" t="inlineStr">
        <is>
          <t>ÖSTERGÖTLANDS LÄN</t>
        </is>
      </c>
      <c r="E635" t="inlineStr">
        <is>
          <t>LINKÖPING</t>
        </is>
      </c>
      <c r="G635" t="n">
        <v>3.2</v>
      </c>
      <c r="H635" t="n">
        <v>0</v>
      </c>
      <c r="I635" t="n">
        <v>0</v>
      </c>
      <c r="J635" t="n">
        <v>0</v>
      </c>
      <c r="K635" t="n">
        <v>0</v>
      </c>
      <c r="L635" t="n">
        <v>0</v>
      </c>
      <c r="M635" t="n">
        <v>0</v>
      </c>
      <c r="N635" t="n">
        <v>0</v>
      </c>
      <c r="O635" t="n">
        <v>0</v>
      </c>
      <c r="P635" t="n">
        <v>0</v>
      </c>
      <c r="Q635" t="n">
        <v>0</v>
      </c>
      <c r="R635" s="2" t="inlineStr"/>
    </row>
    <row r="636" ht="15" customHeight="1">
      <c r="A636" t="inlineStr">
        <is>
          <t>A 1207-2023</t>
        </is>
      </c>
      <c r="B636" s="1" t="n">
        <v>44930</v>
      </c>
      <c r="C636" s="1" t="n">
        <v>46010</v>
      </c>
      <c r="D636" t="inlineStr">
        <is>
          <t>ÖSTERGÖTLANDS LÄN</t>
        </is>
      </c>
      <c r="E636" t="inlineStr">
        <is>
          <t>LINKÖPING</t>
        </is>
      </c>
      <c r="F636" t="inlineStr">
        <is>
          <t>Övriga statliga verk och myndigheter</t>
        </is>
      </c>
      <c r="G636" t="n">
        <v>32.8</v>
      </c>
      <c r="H636" t="n">
        <v>0</v>
      </c>
      <c r="I636" t="n">
        <v>0</v>
      </c>
      <c r="J636" t="n">
        <v>0</v>
      </c>
      <c r="K636" t="n">
        <v>0</v>
      </c>
      <c r="L636" t="n">
        <v>0</v>
      </c>
      <c r="M636" t="n">
        <v>0</v>
      </c>
      <c r="N636" t="n">
        <v>0</v>
      </c>
      <c r="O636" t="n">
        <v>0</v>
      </c>
      <c r="P636" t="n">
        <v>0</v>
      </c>
      <c r="Q636" t="n">
        <v>0</v>
      </c>
      <c r="R636" s="2" t="inlineStr"/>
    </row>
    <row r="637" ht="15" customHeight="1">
      <c r="A637" t="inlineStr">
        <is>
          <t>A 29859-2024</t>
        </is>
      </c>
      <c r="B637" s="1" t="n">
        <v>45485.6846412037</v>
      </c>
      <c r="C637" s="1" t="n">
        <v>46010</v>
      </c>
      <c r="D637" t="inlineStr">
        <is>
          <t>ÖSTERGÖTLANDS LÄN</t>
        </is>
      </c>
      <c r="E637" t="inlineStr">
        <is>
          <t>LINKÖPING</t>
        </is>
      </c>
      <c r="G637" t="n">
        <v>0.4</v>
      </c>
      <c r="H637" t="n">
        <v>0</v>
      </c>
      <c r="I637" t="n">
        <v>0</v>
      </c>
      <c r="J637" t="n">
        <v>0</v>
      </c>
      <c r="K637" t="n">
        <v>0</v>
      </c>
      <c r="L637" t="n">
        <v>0</v>
      </c>
      <c r="M637" t="n">
        <v>0</v>
      </c>
      <c r="N637" t="n">
        <v>0</v>
      </c>
      <c r="O637" t="n">
        <v>0</v>
      </c>
      <c r="P637" t="n">
        <v>0</v>
      </c>
      <c r="Q637" t="n">
        <v>0</v>
      </c>
      <c r="R637" s="2" t="inlineStr"/>
    </row>
    <row r="638" ht="15" customHeight="1">
      <c r="A638" t="inlineStr">
        <is>
          <t>A 45819-2024</t>
        </is>
      </c>
      <c r="B638" s="1" t="n">
        <v>45579.7454050926</v>
      </c>
      <c r="C638" s="1" t="n">
        <v>46010</v>
      </c>
      <c r="D638" t="inlineStr">
        <is>
          <t>ÖSTERGÖTLANDS LÄN</t>
        </is>
      </c>
      <c r="E638" t="inlineStr">
        <is>
          <t>LINKÖPING</t>
        </is>
      </c>
      <c r="G638" t="n">
        <v>5</v>
      </c>
      <c r="H638" t="n">
        <v>0</v>
      </c>
      <c r="I638" t="n">
        <v>0</v>
      </c>
      <c r="J638" t="n">
        <v>0</v>
      </c>
      <c r="K638" t="n">
        <v>0</v>
      </c>
      <c r="L638" t="n">
        <v>0</v>
      </c>
      <c r="M638" t="n">
        <v>0</v>
      </c>
      <c r="N638" t="n">
        <v>0</v>
      </c>
      <c r="O638" t="n">
        <v>0</v>
      </c>
      <c r="P638" t="n">
        <v>0</v>
      </c>
      <c r="Q638" t="n">
        <v>0</v>
      </c>
      <c r="R638" s="2" t="inlineStr"/>
    </row>
    <row r="639" ht="15" customHeight="1">
      <c r="A639" t="inlineStr">
        <is>
          <t>A 15748-2025</t>
        </is>
      </c>
      <c r="B639" s="1" t="n">
        <v>45748.55282407408</v>
      </c>
      <c r="C639" s="1" t="n">
        <v>46010</v>
      </c>
      <c r="D639" t="inlineStr">
        <is>
          <t>ÖSTERGÖTLANDS LÄN</t>
        </is>
      </c>
      <c r="E639" t="inlineStr">
        <is>
          <t>LINKÖPING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15754-2025</t>
        </is>
      </c>
      <c r="B640" s="1" t="n">
        <v>45748.56105324074</v>
      </c>
      <c r="C640" s="1" t="n">
        <v>46010</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30518-2024</t>
        </is>
      </c>
      <c r="B641" s="1" t="n">
        <v>45492</v>
      </c>
      <c r="C641" s="1" t="n">
        <v>46010</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53797-2023</t>
        </is>
      </c>
      <c r="B642" s="1" t="n">
        <v>45230</v>
      </c>
      <c r="C642" s="1" t="n">
        <v>46010</v>
      </c>
      <c r="D642" t="inlineStr">
        <is>
          <t>ÖSTERGÖTLANDS LÄN</t>
        </is>
      </c>
      <c r="E642" t="inlineStr">
        <is>
          <t>LINKÖPING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55345-2021</t>
        </is>
      </c>
      <c r="B643" s="1" t="n">
        <v>44475</v>
      </c>
      <c r="C643" s="1" t="n">
        <v>46010</v>
      </c>
      <c r="D643" t="inlineStr">
        <is>
          <t>ÖSTERGÖTLANDS LÄN</t>
        </is>
      </c>
      <c r="E643" t="inlineStr">
        <is>
          <t>LINKÖPING</t>
        </is>
      </c>
      <c r="G643" t="n">
        <v>5.7</v>
      </c>
      <c r="H643" t="n">
        <v>0</v>
      </c>
      <c r="I643" t="n">
        <v>0</v>
      </c>
      <c r="J643" t="n">
        <v>0</v>
      </c>
      <c r="K643" t="n">
        <v>0</v>
      </c>
      <c r="L643" t="n">
        <v>0</v>
      </c>
      <c r="M643" t="n">
        <v>0</v>
      </c>
      <c r="N643" t="n">
        <v>0</v>
      </c>
      <c r="O643" t="n">
        <v>0</v>
      </c>
      <c r="P643" t="n">
        <v>0</v>
      </c>
      <c r="Q643" t="n">
        <v>0</v>
      </c>
      <c r="R643" s="2" t="inlineStr"/>
    </row>
    <row r="644" ht="15" customHeight="1">
      <c r="A644" t="inlineStr">
        <is>
          <t>A 10198-2023</t>
        </is>
      </c>
      <c r="B644" s="1" t="n">
        <v>44986.54665509259</v>
      </c>
      <c r="C644" s="1" t="n">
        <v>46010</v>
      </c>
      <c r="D644" t="inlineStr">
        <is>
          <t>ÖSTERGÖTLANDS LÄN</t>
        </is>
      </c>
      <c r="E644" t="inlineStr">
        <is>
          <t>LINKÖPING</t>
        </is>
      </c>
      <c r="G644" t="n">
        <v>4.6</v>
      </c>
      <c r="H644" t="n">
        <v>0</v>
      </c>
      <c r="I644" t="n">
        <v>0</v>
      </c>
      <c r="J644" t="n">
        <v>0</v>
      </c>
      <c r="K644" t="n">
        <v>0</v>
      </c>
      <c r="L644" t="n">
        <v>0</v>
      </c>
      <c r="M644" t="n">
        <v>0</v>
      </c>
      <c r="N644" t="n">
        <v>0</v>
      </c>
      <c r="O644" t="n">
        <v>0</v>
      </c>
      <c r="P644" t="n">
        <v>0</v>
      </c>
      <c r="Q644" t="n">
        <v>0</v>
      </c>
      <c r="R644" s="2" t="inlineStr"/>
    </row>
    <row r="645" ht="15" customHeight="1">
      <c r="A645" t="inlineStr">
        <is>
          <t>A 4298-2023</t>
        </is>
      </c>
      <c r="B645" s="1" t="n">
        <v>44953</v>
      </c>
      <c r="C645" s="1" t="n">
        <v>46010</v>
      </c>
      <c r="D645" t="inlineStr">
        <is>
          <t>ÖSTERGÖTLANDS LÄN</t>
        </is>
      </c>
      <c r="E645" t="inlineStr">
        <is>
          <t>LINKÖPING</t>
        </is>
      </c>
      <c r="G645" t="n">
        <v>2.8</v>
      </c>
      <c r="H645" t="n">
        <v>0</v>
      </c>
      <c r="I645" t="n">
        <v>0</v>
      </c>
      <c r="J645" t="n">
        <v>0</v>
      </c>
      <c r="K645" t="n">
        <v>0</v>
      </c>
      <c r="L645" t="n">
        <v>0</v>
      </c>
      <c r="M645" t="n">
        <v>0</v>
      </c>
      <c r="N645" t="n">
        <v>0</v>
      </c>
      <c r="O645" t="n">
        <v>0</v>
      </c>
      <c r="P645" t="n">
        <v>0</v>
      </c>
      <c r="Q645" t="n">
        <v>0</v>
      </c>
      <c r="R645" s="2" t="inlineStr"/>
    </row>
    <row r="646" ht="15" customHeight="1">
      <c r="A646" t="inlineStr">
        <is>
          <t>A 12428-2024</t>
        </is>
      </c>
      <c r="B646" s="1" t="n">
        <v>45379</v>
      </c>
      <c r="C646" s="1" t="n">
        <v>46010</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26618-2023</t>
        </is>
      </c>
      <c r="B647" s="1" t="n">
        <v>45092.70306712963</v>
      </c>
      <c r="C647" s="1" t="n">
        <v>46010</v>
      </c>
      <c r="D647" t="inlineStr">
        <is>
          <t>ÖSTERGÖTLANDS LÄN</t>
        </is>
      </c>
      <c r="E647" t="inlineStr">
        <is>
          <t>LINKÖPING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34930-2023</t>
        </is>
      </c>
      <c r="B648" s="1" t="n">
        <v>45142</v>
      </c>
      <c r="C648" s="1" t="n">
        <v>46010</v>
      </c>
      <c r="D648" t="inlineStr">
        <is>
          <t>ÖSTERGÖTLANDS LÄN</t>
        </is>
      </c>
      <c r="E648" t="inlineStr">
        <is>
          <t>LINKÖPING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670-2024</t>
        </is>
      </c>
      <c r="B649" s="1" t="n">
        <v>45300.3408912037</v>
      </c>
      <c r="C649" s="1" t="n">
        <v>46010</v>
      </c>
      <c r="D649" t="inlineStr">
        <is>
          <t>ÖSTERGÖTLANDS LÄN</t>
        </is>
      </c>
      <c r="E649" t="inlineStr">
        <is>
          <t>LINKÖPING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63845-2021</t>
        </is>
      </c>
      <c r="B650" s="1" t="n">
        <v>44509</v>
      </c>
      <c r="C650" s="1" t="n">
        <v>46010</v>
      </c>
      <c r="D650" t="inlineStr">
        <is>
          <t>ÖSTERGÖTLANDS LÄN</t>
        </is>
      </c>
      <c r="E650" t="inlineStr">
        <is>
          <t>LINKÖPING</t>
        </is>
      </c>
      <c r="G650" t="n">
        <v>5</v>
      </c>
      <c r="H650" t="n">
        <v>0</v>
      </c>
      <c r="I650" t="n">
        <v>0</v>
      </c>
      <c r="J650" t="n">
        <v>0</v>
      </c>
      <c r="K650" t="n">
        <v>0</v>
      </c>
      <c r="L650" t="n">
        <v>0</v>
      </c>
      <c r="M650" t="n">
        <v>0</v>
      </c>
      <c r="N650" t="n">
        <v>0</v>
      </c>
      <c r="O650" t="n">
        <v>0</v>
      </c>
      <c r="P650" t="n">
        <v>0</v>
      </c>
      <c r="Q650" t="n">
        <v>0</v>
      </c>
      <c r="R650" s="2" t="inlineStr"/>
    </row>
    <row r="651" ht="15" customHeight="1">
      <c r="A651" t="inlineStr">
        <is>
          <t>A 54034-2022</t>
        </is>
      </c>
      <c r="B651" s="1" t="n">
        <v>44881</v>
      </c>
      <c r="C651" s="1" t="n">
        <v>46010</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36336-2023</t>
        </is>
      </c>
      <c r="B652" s="1" t="n">
        <v>45152.45078703704</v>
      </c>
      <c r="C652" s="1" t="n">
        <v>46010</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48829-2023</t>
        </is>
      </c>
      <c r="B653" s="1" t="n">
        <v>45209.38177083333</v>
      </c>
      <c r="C653" s="1" t="n">
        <v>46010</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48186-2022</t>
        </is>
      </c>
      <c r="B654" s="1" t="n">
        <v>44858</v>
      </c>
      <c r="C654" s="1" t="n">
        <v>46010</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63669-2023</t>
        </is>
      </c>
      <c r="B655" s="1" t="n">
        <v>45275</v>
      </c>
      <c r="C655" s="1" t="n">
        <v>46010</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24586-2024</t>
        </is>
      </c>
      <c r="B656" s="1" t="n">
        <v>45460.46664351852</v>
      </c>
      <c r="C656" s="1" t="n">
        <v>46010</v>
      </c>
      <c r="D656" t="inlineStr">
        <is>
          <t>ÖSTERGÖTLANDS LÄN</t>
        </is>
      </c>
      <c r="E656" t="inlineStr">
        <is>
          <t>LINKÖPING</t>
        </is>
      </c>
      <c r="G656" t="n">
        <v>4</v>
      </c>
      <c r="H656" t="n">
        <v>0</v>
      </c>
      <c r="I656" t="n">
        <v>0</v>
      </c>
      <c r="J656" t="n">
        <v>0</v>
      </c>
      <c r="K656" t="n">
        <v>0</v>
      </c>
      <c r="L656" t="n">
        <v>0</v>
      </c>
      <c r="M656" t="n">
        <v>0</v>
      </c>
      <c r="N656" t="n">
        <v>0</v>
      </c>
      <c r="O656" t="n">
        <v>0</v>
      </c>
      <c r="P656" t="n">
        <v>0</v>
      </c>
      <c r="Q656" t="n">
        <v>0</v>
      </c>
      <c r="R656" s="2" t="inlineStr"/>
    </row>
    <row r="657" ht="15" customHeight="1">
      <c r="A657" t="inlineStr">
        <is>
          <t>A 59576-2024</t>
        </is>
      </c>
      <c r="B657" s="1" t="n">
        <v>45638.66378472222</v>
      </c>
      <c r="C657" s="1" t="n">
        <v>46010</v>
      </c>
      <c r="D657" t="inlineStr">
        <is>
          <t>ÖSTERGÖTLANDS LÄN</t>
        </is>
      </c>
      <c r="E657" t="inlineStr">
        <is>
          <t>LINKÖPING</t>
        </is>
      </c>
      <c r="G657" t="n">
        <v>1.6</v>
      </c>
      <c r="H657" t="n">
        <v>0</v>
      </c>
      <c r="I657" t="n">
        <v>0</v>
      </c>
      <c r="J657" t="n">
        <v>0</v>
      </c>
      <c r="K657" t="n">
        <v>0</v>
      </c>
      <c r="L657" t="n">
        <v>0</v>
      </c>
      <c r="M657" t="n">
        <v>0</v>
      </c>
      <c r="N657" t="n">
        <v>0</v>
      </c>
      <c r="O657" t="n">
        <v>0</v>
      </c>
      <c r="P657" t="n">
        <v>0</v>
      </c>
      <c r="Q657" t="n">
        <v>0</v>
      </c>
      <c r="R657" s="2" t="inlineStr"/>
    </row>
    <row r="658" ht="15" customHeight="1">
      <c r="A658" t="inlineStr">
        <is>
          <t>A 59642-2024</t>
        </is>
      </c>
      <c r="B658" s="1" t="n">
        <v>45639.31511574074</v>
      </c>
      <c r="C658" s="1" t="n">
        <v>46010</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59674-2024</t>
        </is>
      </c>
      <c r="B659" s="1" t="n">
        <v>45639</v>
      </c>
      <c r="C659" s="1" t="n">
        <v>46010</v>
      </c>
      <c r="D659" t="inlineStr">
        <is>
          <t>ÖSTERGÖTLANDS LÄN</t>
        </is>
      </c>
      <c r="E659" t="inlineStr">
        <is>
          <t>LINKÖPING</t>
        </is>
      </c>
      <c r="G659" t="n">
        <v>6.3</v>
      </c>
      <c r="H659" t="n">
        <v>0</v>
      </c>
      <c r="I659" t="n">
        <v>0</v>
      </c>
      <c r="J659" t="n">
        <v>0</v>
      </c>
      <c r="K659" t="n">
        <v>0</v>
      </c>
      <c r="L659" t="n">
        <v>0</v>
      </c>
      <c r="M659" t="n">
        <v>0</v>
      </c>
      <c r="N659" t="n">
        <v>0</v>
      </c>
      <c r="O659" t="n">
        <v>0</v>
      </c>
      <c r="P659" t="n">
        <v>0</v>
      </c>
      <c r="Q659" t="n">
        <v>0</v>
      </c>
      <c r="R659" s="2" t="inlineStr"/>
    </row>
    <row r="660" ht="15" customHeight="1">
      <c r="A660" t="inlineStr">
        <is>
          <t>A 3742-2021</t>
        </is>
      </c>
      <c r="B660" s="1" t="n">
        <v>44221</v>
      </c>
      <c r="C660" s="1" t="n">
        <v>46010</v>
      </c>
      <c r="D660" t="inlineStr">
        <is>
          <t>ÖSTERGÖTLANDS LÄN</t>
        </is>
      </c>
      <c r="E660" t="inlineStr">
        <is>
          <t>LINKÖPING</t>
        </is>
      </c>
      <c r="G660" t="n">
        <v>5.5</v>
      </c>
      <c r="H660" t="n">
        <v>0</v>
      </c>
      <c r="I660" t="n">
        <v>0</v>
      </c>
      <c r="J660" t="n">
        <v>0</v>
      </c>
      <c r="K660" t="n">
        <v>0</v>
      </c>
      <c r="L660" t="n">
        <v>0</v>
      </c>
      <c r="M660" t="n">
        <v>0</v>
      </c>
      <c r="N660" t="n">
        <v>0</v>
      </c>
      <c r="O660" t="n">
        <v>0</v>
      </c>
      <c r="P660" t="n">
        <v>0</v>
      </c>
      <c r="Q660" t="n">
        <v>0</v>
      </c>
      <c r="R660" s="2" t="inlineStr"/>
    </row>
    <row r="661" ht="15" customHeight="1">
      <c r="A661" t="inlineStr">
        <is>
          <t>A 18916-2024</t>
        </is>
      </c>
      <c r="B661" s="1" t="n">
        <v>45427.39541666667</v>
      </c>
      <c r="C661" s="1" t="n">
        <v>46010</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11084-2022</t>
        </is>
      </c>
      <c r="B662" s="1" t="n">
        <v>44628</v>
      </c>
      <c r="C662" s="1" t="n">
        <v>46010</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10203-2023</t>
        </is>
      </c>
      <c r="B663" s="1" t="n">
        <v>44986.55711805556</v>
      </c>
      <c r="C663" s="1" t="n">
        <v>46010</v>
      </c>
      <c r="D663" t="inlineStr">
        <is>
          <t>ÖSTERGÖTLANDS LÄN</t>
        </is>
      </c>
      <c r="E663" t="inlineStr">
        <is>
          <t>LINKÖPING</t>
        </is>
      </c>
      <c r="G663" t="n">
        <v>3.3</v>
      </c>
      <c r="H663" t="n">
        <v>0</v>
      </c>
      <c r="I663" t="n">
        <v>0</v>
      </c>
      <c r="J663" t="n">
        <v>0</v>
      </c>
      <c r="K663" t="n">
        <v>0</v>
      </c>
      <c r="L663" t="n">
        <v>0</v>
      </c>
      <c r="M663" t="n">
        <v>0</v>
      </c>
      <c r="N663" t="n">
        <v>0</v>
      </c>
      <c r="O663" t="n">
        <v>0</v>
      </c>
      <c r="P663" t="n">
        <v>0</v>
      </c>
      <c r="Q663" t="n">
        <v>0</v>
      </c>
      <c r="R663" s="2" t="inlineStr"/>
    </row>
    <row r="664" ht="15" customHeight="1">
      <c r="A664" t="inlineStr">
        <is>
          <t>A 2618-2023</t>
        </is>
      </c>
      <c r="B664" s="1" t="n">
        <v>44944.35847222222</v>
      </c>
      <c r="C664" s="1" t="n">
        <v>46010</v>
      </c>
      <c r="D664" t="inlineStr">
        <is>
          <t>ÖSTERGÖTLANDS LÄN</t>
        </is>
      </c>
      <c r="E664" t="inlineStr">
        <is>
          <t>LINKÖPING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62020-2024</t>
        </is>
      </c>
      <c r="B665" s="1" t="n">
        <v>45655.83563657408</v>
      </c>
      <c r="C665" s="1" t="n">
        <v>46010</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62021-2024</t>
        </is>
      </c>
      <c r="B666" s="1" t="n">
        <v>45655.84232638889</v>
      </c>
      <c r="C666" s="1" t="n">
        <v>46010</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1362-2023</t>
        </is>
      </c>
      <c r="B667" s="1" t="n">
        <v>44931</v>
      </c>
      <c r="C667" s="1" t="n">
        <v>46010</v>
      </c>
      <c r="D667" t="inlineStr">
        <is>
          <t>ÖSTERGÖTLANDS LÄN</t>
        </is>
      </c>
      <c r="E667" t="inlineStr">
        <is>
          <t>LINKÖPING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49928-2024</t>
        </is>
      </c>
      <c r="B668" s="1" t="n">
        <v>45597.57811342592</v>
      </c>
      <c r="C668" s="1" t="n">
        <v>46010</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3627-2023</t>
        </is>
      </c>
      <c r="B669" s="1" t="n">
        <v>44950.64782407408</v>
      </c>
      <c r="C669" s="1" t="n">
        <v>46010</v>
      </c>
      <c r="D669" t="inlineStr">
        <is>
          <t>ÖSTERGÖTLANDS LÄN</t>
        </is>
      </c>
      <c r="E669" t="inlineStr">
        <is>
          <t>LINKÖPING</t>
        </is>
      </c>
      <c r="G669" t="n">
        <v>3.1</v>
      </c>
      <c r="H669" t="n">
        <v>0</v>
      </c>
      <c r="I669" t="n">
        <v>0</v>
      </c>
      <c r="J669" t="n">
        <v>0</v>
      </c>
      <c r="K669" t="n">
        <v>0</v>
      </c>
      <c r="L669" t="n">
        <v>0</v>
      </c>
      <c r="M669" t="n">
        <v>0</v>
      </c>
      <c r="N669" t="n">
        <v>0</v>
      </c>
      <c r="O669" t="n">
        <v>0</v>
      </c>
      <c r="P669" t="n">
        <v>0</v>
      </c>
      <c r="Q669" t="n">
        <v>0</v>
      </c>
      <c r="R669" s="2" t="inlineStr"/>
    </row>
    <row r="670" ht="15" customHeight="1">
      <c r="A670" t="inlineStr">
        <is>
          <t>A 51405-2023</t>
        </is>
      </c>
      <c r="B670" s="1" t="n">
        <v>45219</v>
      </c>
      <c r="C670" s="1" t="n">
        <v>46010</v>
      </c>
      <c r="D670" t="inlineStr">
        <is>
          <t>ÖSTERGÖTLANDS LÄN</t>
        </is>
      </c>
      <c r="E670" t="inlineStr">
        <is>
          <t>LINKÖPING</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11601-2023</t>
        </is>
      </c>
      <c r="B671" s="1" t="n">
        <v>44994</v>
      </c>
      <c r="C671" s="1" t="n">
        <v>46010</v>
      </c>
      <c r="D671" t="inlineStr">
        <is>
          <t>ÖSTERGÖTLANDS LÄN</t>
        </is>
      </c>
      <c r="E671" t="inlineStr">
        <is>
          <t>LINKÖPING</t>
        </is>
      </c>
      <c r="G671" t="n">
        <v>1.7</v>
      </c>
      <c r="H671" t="n">
        <v>0</v>
      </c>
      <c r="I671" t="n">
        <v>0</v>
      </c>
      <c r="J671" t="n">
        <v>0</v>
      </c>
      <c r="K671" t="n">
        <v>0</v>
      </c>
      <c r="L671" t="n">
        <v>0</v>
      </c>
      <c r="M671" t="n">
        <v>0</v>
      </c>
      <c r="N671" t="n">
        <v>0</v>
      </c>
      <c r="O671" t="n">
        <v>0</v>
      </c>
      <c r="P671" t="n">
        <v>0</v>
      </c>
      <c r="Q671" t="n">
        <v>0</v>
      </c>
      <c r="R671" s="2" t="inlineStr"/>
    </row>
    <row r="672" ht="15" customHeight="1">
      <c r="A672" t="inlineStr">
        <is>
          <t>A 40338-2024</t>
        </is>
      </c>
      <c r="B672" s="1" t="n">
        <v>45555.32940972222</v>
      </c>
      <c r="C672" s="1" t="n">
        <v>46010</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167-2024</t>
        </is>
      </c>
      <c r="B673" s="1" t="n">
        <v>45294</v>
      </c>
      <c r="C673" s="1" t="n">
        <v>46010</v>
      </c>
      <c r="D673" t="inlineStr">
        <is>
          <t>ÖSTERGÖTLANDS LÄN</t>
        </is>
      </c>
      <c r="E673" t="inlineStr">
        <is>
          <t>LINKÖPING</t>
        </is>
      </c>
      <c r="F673" t="inlineStr">
        <is>
          <t>Allmännings- och besparingsskogar</t>
        </is>
      </c>
      <c r="G673" t="n">
        <v>11.6</v>
      </c>
      <c r="H673" t="n">
        <v>0</v>
      </c>
      <c r="I673" t="n">
        <v>0</v>
      </c>
      <c r="J673" t="n">
        <v>0</v>
      </c>
      <c r="K673" t="n">
        <v>0</v>
      </c>
      <c r="L673" t="n">
        <v>0</v>
      </c>
      <c r="M673" t="n">
        <v>0</v>
      </c>
      <c r="N673" t="n">
        <v>0</v>
      </c>
      <c r="O673" t="n">
        <v>0</v>
      </c>
      <c r="P673" t="n">
        <v>0</v>
      </c>
      <c r="Q673" t="n">
        <v>0</v>
      </c>
      <c r="R673" s="2" t="inlineStr"/>
    </row>
    <row r="674" ht="15" customHeight="1">
      <c r="A674" t="inlineStr">
        <is>
          <t>A 27186-2021</t>
        </is>
      </c>
      <c r="B674" s="1" t="n">
        <v>44350.67715277777</v>
      </c>
      <c r="C674" s="1" t="n">
        <v>46010</v>
      </c>
      <c r="D674" t="inlineStr">
        <is>
          <t>ÖSTERGÖTLANDS LÄN</t>
        </is>
      </c>
      <c r="E674" t="inlineStr">
        <is>
          <t>LINKÖPING</t>
        </is>
      </c>
      <c r="F674" t="inlineStr">
        <is>
          <t>Allmännings- och besparingsskogar</t>
        </is>
      </c>
      <c r="G674" t="n">
        <v>1.4</v>
      </c>
      <c r="H674" t="n">
        <v>0</v>
      </c>
      <c r="I674" t="n">
        <v>0</v>
      </c>
      <c r="J674" t="n">
        <v>0</v>
      </c>
      <c r="K674" t="n">
        <v>0</v>
      </c>
      <c r="L674" t="n">
        <v>0</v>
      </c>
      <c r="M674" t="n">
        <v>0</v>
      </c>
      <c r="N674" t="n">
        <v>0</v>
      </c>
      <c r="O674" t="n">
        <v>0</v>
      </c>
      <c r="P674" t="n">
        <v>0</v>
      </c>
      <c r="Q674" t="n">
        <v>0</v>
      </c>
      <c r="R674" s="2" t="inlineStr"/>
    </row>
    <row r="675" ht="15" customHeight="1">
      <c r="A675" t="inlineStr">
        <is>
          <t>A 7343-2025</t>
        </is>
      </c>
      <c r="B675" s="1" t="n">
        <v>45703.67853009259</v>
      </c>
      <c r="C675" s="1" t="n">
        <v>46010</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48271-2023</t>
        </is>
      </c>
      <c r="B676" s="1" t="n">
        <v>45205</v>
      </c>
      <c r="C676" s="1" t="n">
        <v>46010</v>
      </c>
      <c r="D676" t="inlineStr">
        <is>
          <t>ÖSTERGÖTLANDS LÄN</t>
        </is>
      </c>
      <c r="E676" t="inlineStr">
        <is>
          <t>LINKÖPING</t>
        </is>
      </c>
      <c r="G676" t="n">
        <v>3</v>
      </c>
      <c r="H676" t="n">
        <v>0</v>
      </c>
      <c r="I676" t="n">
        <v>0</v>
      </c>
      <c r="J676" t="n">
        <v>0</v>
      </c>
      <c r="K676" t="n">
        <v>0</v>
      </c>
      <c r="L676" t="n">
        <v>0</v>
      </c>
      <c r="M676" t="n">
        <v>0</v>
      </c>
      <c r="N676" t="n">
        <v>0</v>
      </c>
      <c r="O676" t="n">
        <v>0</v>
      </c>
      <c r="P676" t="n">
        <v>0</v>
      </c>
      <c r="Q676" t="n">
        <v>0</v>
      </c>
      <c r="R676" s="2" t="inlineStr"/>
    </row>
    <row r="677" ht="15" customHeight="1">
      <c r="A677" t="inlineStr">
        <is>
          <t>A 12720-2022</t>
        </is>
      </c>
      <c r="B677" s="1" t="n">
        <v>44641</v>
      </c>
      <c r="C677" s="1" t="n">
        <v>46010</v>
      </c>
      <c r="D677" t="inlineStr">
        <is>
          <t>ÖSTERGÖTLANDS LÄN</t>
        </is>
      </c>
      <c r="E677" t="inlineStr">
        <is>
          <t>LINKÖPING</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62018-2024</t>
        </is>
      </c>
      <c r="B678" s="1" t="n">
        <v>45655.81387731482</v>
      </c>
      <c r="C678" s="1" t="n">
        <v>46010</v>
      </c>
      <c r="D678" t="inlineStr">
        <is>
          <t>ÖSTERGÖTLANDS LÄN</t>
        </is>
      </c>
      <c r="E678" t="inlineStr">
        <is>
          <t>LINKÖPING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30551-2023</t>
        </is>
      </c>
      <c r="B679" s="1" t="n">
        <v>45111</v>
      </c>
      <c r="C679" s="1" t="n">
        <v>46010</v>
      </c>
      <c r="D679" t="inlineStr">
        <is>
          <t>ÖSTERGÖTLANDS LÄN</t>
        </is>
      </c>
      <c r="E679" t="inlineStr">
        <is>
          <t>LINKÖPING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30860-2022</t>
        </is>
      </c>
      <c r="B680" s="1" t="n">
        <v>44767</v>
      </c>
      <c r="C680" s="1" t="n">
        <v>46010</v>
      </c>
      <c r="D680" t="inlineStr">
        <is>
          <t>ÖSTERGÖTLANDS LÄN</t>
        </is>
      </c>
      <c r="E680" t="inlineStr">
        <is>
          <t>LINKÖPING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60004-2022</t>
        </is>
      </c>
      <c r="B681" s="1" t="n">
        <v>44909.47206018519</v>
      </c>
      <c r="C681" s="1" t="n">
        <v>46010</v>
      </c>
      <c r="D681" t="inlineStr">
        <is>
          <t>ÖSTERGÖTLANDS LÄN</t>
        </is>
      </c>
      <c r="E681" t="inlineStr">
        <is>
          <t>LINKÖPING</t>
        </is>
      </c>
      <c r="G681" t="n">
        <v>2.2</v>
      </c>
      <c r="H681" t="n">
        <v>0</v>
      </c>
      <c r="I681" t="n">
        <v>0</v>
      </c>
      <c r="J681" t="n">
        <v>0</v>
      </c>
      <c r="K681" t="n">
        <v>0</v>
      </c>
      <c r="L681" t="n">
        <v>0</v>
      </c>
      <c r="M681" t="n">
        <v>0</v>
      </c>
      <c r="N681" t="n">
        <v>0</v>
      </c>
      <c r="O681" t="n">
        <v>0</v>
      </c>
      <c r="P681" t="n">
        <v>0</v>
      </c>
      <c r="Q681" t="n">
        <v>0</v>
      </c>
      <c r="R681" s="2" t="inlineStr"/>
    </row>
    <row r="682" ht="15" customHeight="1">
      <c r="A682" t="inlineStr">
        <is>
          <t>A 60010-2022</t>
        </is>
      </c>
      <c r="B682" s="1" t="n">
        <v>44909.4740625</v>
      </c>
      <c r="C682" s="1" t="n">
        <v>46010</v>
      </c>
      <c r="D682" t="inlineStr">
        <is>
          <t>ÖSTERGÖTLANDS LÄN</t>
        </is>
      </c>
      <c r="E682" t="inlineStr">
        <is>
          <t>LINKÖPING</t>
        </is>
      </c>
      <c r="G682" t="n">
        <v>1.2</v>
      </c>
      <c r="H682" t="n">
        <v>0</v>
      </c>
      <c r="I682" t="n">
        <v>0</v>
      </c>
      <c r="J682" t="n">
        <v>0</v>
      </c>
      <c r="K682" t="n">
        <v>0</v>
      </c>
      <c r="L682" t="n">
        <v>0</v>
      </c>
      <c r="M682" t="n">
        <v>0</v>
      </c>
      <c r="N682" t="n">
        <v>0</v>
      </c>
      <c r="O682" t="n">
        <v>0</v>
      </c>
      <c r="P682" t="n">
        <v>0</v>
      </c>
      <c r="Q682" t="n">
        <v>0</v>
      </c>
      <c r="R682" s="2" t="inlineStr"/>
    </row>
    <row r="683" ht="15" customHeight="1">
      <c r="A683" t="inlineStr">
        <is>
          <t>A 53827-2023</t>
        </is>
      </c>
      <c r="B683" s="1" t="n">
        <v>45230</v>
      </c>
      <c r="C683" s="1" t="n">
        <v>46010</v>
      </c>
      <c r="D683" t="inlineStr">
        <is>
          <t>ÖSTERGÖTLANDS LÄN</t>
        </is>
      </c>
      <c r="E683" t="inlineStr">
        <is>
          <t>LINKÖPING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4256-2022</t>
        </is>
      </c>
      <c r="B684" s="1" t="n">
        <v>44588</v>
      </c>
      <c r="C684" s="1" t="n">
        <v>46010</v>
      </c>
      <c r="D684" t="inlineStr">
        <is>
          <t>ÖSTERGÖTLANDS LÄN</t>
        </is>
      </c>
      <c r="E684" t="inlineStr">
        <is>
          <t>LINKÖPING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61649-2023</t>
        </is>
      </c>
      <c r="B685" s="1" t="n">
        <v>45265</v>
      </c>
      <c r="C685" s="1" t="n">
        <v>46010</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223-2024</t>
        </is>
      </c>
      <c r="B686" s="1" t="n">
        <v>45294.72739583333</v>
      </c>
      <c r="C686" s="1" t="n">
        <v>46010</v>
      </c>
      <c r="D686" t="inlineStr">
        <is>
          <t>ÖSTERGÖTLANDS LÄN</t>
        </is>
      </c>
      <c r="E686" t="inlineStr">
        <is>
          <t>LINKÖPING</t>
        </is>
      </c>
      <c r="G686" t="n">
        <v>2.2</v>
      </c>
      <c r="H686" t="n">
        <v>0</v>
      </c>
      <c r="I686" t="n">
        <v>0</v>
      </c>
      <c r="J686" t="n">
        <v>0</v>
      </c>
      <c r="K686" t="n">
        <v>0</v>
      </c>
      <c r="L686" t="n">
        <v>0</v>
      </c>
      <c r="M686" t="n">
        <v>0</v>
      </c>
      <c r="N686" t="n">
        <v>0</v>
      </c>
      <c r="O686" t="n">
        <v>0</v>
      </c>
      <c r="P686" t="n">
        <v>0</v>
      </c>
      <c r="Q686" t="n">
        <v>0</v>
      </c>
      <c r="R686" s="2" t="inlineStr"/>
    </row>
    <row r="687" ht="15" customHeight="1">
      <c r="A687" t="inlineStr">
        <is>
          <t>A 19464-2024</t>
        </is>
      </c>
      <c r="B687" s="1" t="n">
        <v>45429</v>
      </c>
      <c r="C687" s="1" t="n">
        <v>46010</v>
      </c>
      <c r="D687" t="inlineStr">
        <is>
          <t>ÖSTERGÖTLANDS LÄN</t>
        </is>
      </c>
      <c r="E687" t="inlineStr">
        <is>
          <t>LINKÖPING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630-2024</t>
        </is>
      </c>
      <c r="B688" s="1" t="n">
        <v>45299.67736111111</v>
      </c>
      <c r="C688" s="1" t="n">
        <v>46010</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30433-2024</t>
        </is>
      </c>
      <c r="B689" s="1" t="n">
        <v>45491.69741898148</v>
      </c>
      <c r="C689" s="1" t="n">
        <v>46010</v>
      </c>
      <c r="D689" t="inlineStr">
        <is>
          <t>ÖSTERGÖTLANDS LÄN</t>
        </is>
      </c>
      <c r="E689" t="inlineStr">
        <is>
          <t>LINKÖPING</t>
        </is>
      </c>
      <c r="G689" t="n">
        <v>1.7</v>
      </c>
      <c r="H689" t="n">
        <v>0</v>
      </c>
      <c r="I689" t="n">
        <v>0</v>
      </c>
      <c r="J689" t="n">
        <v>0</v>
      </c>
      <c r="K689" t="n">
        <v>0</v>
      </c>
      <c r="L689" t="n">
        <v>0</v>
      </c>
      <c r="M689" t="n">
        <v>0</v>
      </c>
      <c r="N689" t="n">
        <v>0</v>
      </c>
      <c r="O689" t="n">
        <v>0</v>
      </c>
      <c r="P689" t="n">
        <v>0</v>
      </c>
      <c r="Q689" t="n">
        <v>0</v>
      </c>
      <c r="R689" s="2" t="inlineStr"/>
    </row>
    <row r="690" ht="15" customHeight="1">
      <c r="A690" t="inlineStr">
        <is>
          <t>A 63528-2023</t>
        </is>
      </c>
      <c r="B690" s="1" t="n">
        <v>45274.94810185185</v>
      </c>
      <c r="C690" s="1" t="n">
        <v>46010</v>
      </c>
      <c r="D690" t="inlineStr">
        <is>
          <t>ÖSTERGÖTLANDS LÄN</t>
        </is>
      </c>
      <c r="E690" t="inlineStr">
        <is>
          <t>LINKÖPING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61936-2023</t>
        </is>
      </c>
      <c r="B691" s="1" t="n">
        <v>45266.54534722222</v>
      </c>
      <c r="C691" s="1" t="n">
        <v>46010</v>
      </c>
      <c r="D691" t="inlineStr">
        <is>
          <t>ÖSTERGÖTLANDS LÄN</t>
        </is>
      </c>
      <c r="E691" t="inlineStr">
        <is>
          <t>LINKÖPING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62492-2023</t>
        </is>
      </c>
      <c r="B692" s="1" t="n">
        <v>45268.58987268519</v>
      </c>
      <c r="C692" s="1" t="n">
        <v>46010</v>
      </c>
      <c r="D692" t="inlineStr">
        <is>
          <t>ÖSTERGÖTLANDS LÄN</t>
        </is>
      </c>
      <c r="E692" t="inlineStr">
        <is>
          <t>LINKÖPING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674-2024</t>
        </is>
      </c>
      <c r="B693" s="1" t="n">
        <v>45300.34408564815</v>
      </c>
      <c r="C693" s="1" t="n">
        <v>46010</v>
      </c>
      <c r="D693" t="inlineStr">
        <is>
          <t>ÖSTERGÖTLANDS LÄN</t>
        </is>
      </c>
      <c r="E693" t="inlineStr">
        <is>
          <t>LINKÖPING</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6782-2024</t>
        </is>
      </c>
      <c r="B694" s="1" t="n">
        <v>45342</v>
      </c>
      <c r="C694" s="1" t="n">
        <v>46010</v>
      </c>
      <c r="D694" t="inlineStr">
        <is>
          <t>ÖSTERGÖTLANDS LÄN</t>
        </is>
      </c>
      <c r="E694" t="inlineStr">
        <is>
          <t>LINKÖPING</t>
        </is>
      </c>
      <c r="G694" t="n">
        <v>1.1</v>
      </c>
      <c r="H694" t="n">
        <v>0</v>
      </c>
      <c r="I694" t="n">
        <v>0</v>
      </c>
      <c r="J694" t="n">
        <v>0</v>
      </c>
      <c r="K694" t="n">
        <v>0</v>
      </c>
      <c r="L694" t="n">
        <v>0</v>
      </c>
      <c r="M694" t="n">
        <v>0</v>
      </c>
      <c r="N694" t="n">
        <v>0</v>
      </c>
      <c r="O694" t="n">
        <v>0</v>
      </c>
      <c r="P694" t="n">
        <v>0</v>
      </c>
      <c r="Q694" t="n">
        <v>0</v>
      </c>
      <c r="R694" s="2" t="inlineStr"/>
    </row>
    <row r="695" ht="15" customHeight="1">
      <c r="A695" t="inlineStr">
        <is>
          <t>A 10094-2024</t>
        </is>
      </c>
      <c r="B695" s="1" t="n">
        <v>45364</v>
      </c>
      <c r="C695" s="1" t="n">
        <v>46010</v>
      </c>
      <c r="D695" t="inlineStr">
        <is>
          <t>ÖSTERGÖTLANDS LÄN</t>
        </is>
      </c>
      <c r="E695" t="inlineStr">
        <is>
          <t>LINKÖPING</t>
        </is>
      </c>
      <c r="F695" t="inlineStr">
        <is>
          <t>Övriga Aktiebolag</t>
        </is>
      </c>
      <c r="G695" t="n">
        <v>1.9</v>
      </c>
      <c r="H695" t="n">
        <v>0</v>
      </c>
      <c r="I695" t="n">
        <v>0</v>
      </c>
      <c r="J695" t="n">
        <v>0</v>
      </c>
      <c r="K695" t="n">
        <v>0</v>
      </c>
      <c r="L695" t="n">
        <v>0</v>
      </c>
      <c r="M695" t="n">
        <v>0</v>
      </c>
      <c r="N695" t="n">
        <v>0</v>
      </c>
      <c r="O695" t="n">
        <v>0</v>
      </c>
      <c r="P695" t="n">
        <v>0</v>
      </c>
      <c r="Q695" t="n">
        <v>0</v>
      </c>
      <c r="R695" s="2" t="inlineStr"/>
    </row>
    <row r="696" ht="15" customHeight="1">
      <c r="A696" t="inlineStr">
        <is>
          <t>A 63684-2023</t>
        </is>
      </c>
      <c r="B696" s="1" t="n">
        <v>45275</v>
      </c>
      <c r="C696" s="1" t="n">
        <v>46010</v>
      </c>
      <c r="D696" t="inlineStr">
        <is>
          <t>ÖSTERGÖTLANDS LÄN</t>
        </is>
      </c>
      <c r="E696" t="inlineStr">
        <is>
          <t>LINKÖPING</t>
        </is>
      </c>
      <c r="G696" t="n">
        <v>0.4</v>
      </c>
      <c r="H696" t="n">
        <v>0</v>
      </c>
      <c r="I696" t="n">
        <v>0</v>
      </c>
      <c r="J696" t="n">
        <v>0</v>
      </c>
      <c r="K696" t="n">
        <v>0</v>
      </c>
      <c r="L696" t="n">
        <v>0</v>
      </c>
      <c r="M696" t="n">
        <v>0</v>
      </c>
      <c r="N696" t="n">
        <v>0</v>
      </c>
      <c r="O696" t="n">
        <v>0</v>
      </c>
      <c r="P696" t="n">
        <v>0</v>
      </c>
      <c r="Q696" t="n">
        <v>0</v>
      </c>
      <c r="R696" s="2" t="inlineStr"/>
    </row>
    <row r="697" ht="15" customHeight="1">
      <c r="A697" t="inlineStr">
        <is>
          <t>A 63688-2023</t>
        </is>
      </c>
      <c r="B697" s="1" t="n">
        <v>45275</v>
      </c>
      <c r="C697" s="1" t="n">
        <v>46010</v>
      </c>
      <c r="D697" t="inlineStr">
        <is>
          <t>ÖSTERGÖTLANDS LÄN</t>
        </is>
      </c>
      <c r="E697" t="inlineStr">
        <is>
          <t>LINKÖPING</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63691-2023</t>
        </is>
      </c>
      <c r="B698" s="1" t="n">
        <v>45275</v>
      </c>
      <c r="C698" s="1" t="n">
        <v>46010</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36657-2023</t>
        </is>
      </c>
      <c r="B699" s="1" t="n">
        <v>45153.5702662037</v>
      </c>
      <c r="C699" s="1" t="n">
        <v>46010</v>
      </c>
      <c r="D699" t="inlineStr">
        <is>
          <t>ÖSTERGÖTLANDS LÄN</t>
        </is>
      </c>
      <c r="E699" t="inlineStr">
        <is>
          <t>LINKÖPING</t>
        </is>
      </c>
      <c r="F699" t="inlineStr">
        <is>
          <t>Allmännings- och besparingsskogar</t>
        </is>
      </c>
      <c r="G699" t="n">
        <v>2</v>
      </c>
      <c r="H699" t="n">
        <v>0</v>
      </c>
      <c r="I699" t="n">
        <v>0</v>
      </c>
      <c r="J699" t="n">
        <v>0</v>
      </c>
      <c r="K699" t="n">
        <v>0</v>
      </c>
      <c r="L699" t="n">
        <v>0</v>
      </c>
      <c r="M699" t="n">
        <v>0</v>
      </c>
      <c r="N699" t="n">
        <v>0</v>
      </c>
      <c r="O699" t="n">
        <v>0</v>
      </c>
      <c r="P699" t="n">
        <v>0</v>
      </c>
      <c r="Q699" t="n">
        <v>0</v>
      </c>
      <c r="R699" s="2" t="inlineStr"/>
    </row>
    <row r="700" ht="15" customHeight="1">
      <c r="A700" t="inlineStr">
        <is>
          <t>A 14667-2024</t>
        </is>
      </c>
      <c r="B700" s="1" t="n">
        <v>45397.42005787037</v>
      </c>
      <c r="C700" s="1" t="n">
        <v>46010</v>
      </c>
      <c r="D700" t="inlineStr">
        <is>
          <t>ÖSTERGÖTLANDS LÄN</t>
        </is>
      </c>
      <c r="E700" t="inlineStr">
        <is>
          <t>LINKÖPING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15714-2024</t>
        </is>
      </c>
      <c r="B701" s="1" t="n">
        <v>45404.48288194444</v>
      </c>
      <c r="C701" s="1" t="n">
        <v>46010</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37715-2022</t>
        </is>
      </c>
      <c r="B702" s="1" t="n">
        <v>44810</v>
      </c>
      <c r="C702" s="1" t="n">
        <v>46010</v>
      </c>
      <c r="D702" t="inlineStr">
        <is>
          <t>ÖSTERGÖTLANDS LÄN</t>
        </is>
      </c>
      <c r="E702" t="inlineStr">
        <is>
          <t>LINKÖPING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30429-2024</t>
        </is>
      </c>
      <c r="B703" s="1" t="n">
        <v>45491.68972222223</v>
      </c>
      <c r="C703" s="1" t="n">
        <v>46010</v>
      </c>
      <c r="D703" t="inlineStr">
        <is>
          <t>ÖSTERGÖTLANDS LÄN</t>
        </is>
      </c>
      <c r="E703" t="inlineStr">
        <is>
          <t>LINKÖPING</t>
        </is>
      </c>
      <c r="G703" t="n">
        <v>2.2</v>
      </c>
      <c r="H703" t="n">
        <v>0</v>
      </c>
      <c r="I703" t="n">
        <v>0</v>
      </c>
      <c r="J703" t="n">
        <v>0</v>
      </c>
      <c r="K703" t="n">
        <v>0</v>
      </c>
      <c r="L703" t="n">
        <v>0</v>
      </c>
      <c r="M703" t="n">
        <v>0</v>
      </c>
      <c r="N703" t="n">
        <v>0</v>
      </c>
      <c r="O703" t="n">
        <v>0</v>
      </c>
      <c r="P703" t="n">
        <v>0</v>
      </c>
      <c r="Q703" t="n">
        <v>0</v>
      </c>
      <c r="R703" s="2" t="inlineStr"/>
    </row>
    <row r="704" ht="15" customHeight="1">
      <c r="A704" t="inlineStr">
        <is>
          <t>A 30435-2024</t>
        </is>
      </c>
      <c r="B704" s="1" t="n">
        <v>45491.69962962963</v>
      </c>
      <c r="C704" s="1" t="n">
        <v>46010</v>
      </c>
      <c r="D704" t="inlineStr">
        <is>
          <t>ÖSTERGÖTLANDS LÄN</t>
        </is>
      </c>
      <c r="E704" t="inlineStr">
        <is>
          <t>LINKÖPING</t>
        </is>
      </c>
      <c r="G704" t="n">
        <v>1.9</v>
      </c>
      <c r="H704" t="n">
        <v>0</v>
      </c>
      <c r="I704" t="n">
        <v>0</v>
      </c>
      <c r="J704" t="n">
        <v>0</v>
      </c>
      <c r="K704" t="n">
        <v>0</v>
      </c>
      <c r="L704" t="n">
        <v>0</v>
      </c>
      <c r="M704" t="n">
        <v>0</v>
      </c>
      <c r="N704" t="n">
        <v>0</v>
      </c>
      <c r="O704" t="n">
        <v>0</v>
      </c>
      <c r="P704" t="n">
        <v>0</v>
      </c>
      <c r="Q704" t="n">
        <v>0</v>
      </c>
      <c r="R704" s="2" t="inlineStr"/>
    </row>
    <row r="705" ht="15" customHeight="1">
      <c r="A705" t="inlineStr">
        <is>
          <t>A 4927-2021</t>
        </is>
      </c>
      <c r="B705" s="1" t="n">
        <v>44227.57215277778</v>
      </c>
      <c r="C705" s="1" t="n">
        <v>46010</v>
      </c>
      <c r="D705" t="inlineStr">
        <is>
          <t>ÖSTERGÖTLANDS LÄN</t>
        </is>
      </c>
      <c r="E705" t="inlineStr">
        <is>
          <t>LINKÖPING</t>
        </is>
      </c>
      <c r="G705" t="n">
        <v>0.3</v>
      </c>
      <c r="H705" t="n">
        <v>0</v>
      </c>
      <c r="I705" t="n">
        <v>0</v>
      </c>
      <c r="J705" t="n">
        <v>0</v>
      </c>
      <c r="K705" t="n">
        <v>0</v>
      </c>
      <c r="L705" t="n">
        <v>0</v>
      </c>
      <c r="M705" t="n">
        <v>0</v>
      </c>
      <c r="N705" t="n">
        <v>0</v>
      </c>
      <c r="O705" t="n">
        <v>0</v>
      </c>
      <c r="P705" t="n">
        <v>0</v>
      </c>
      <c r="Q705" t="n">
        <v>0</v>
      </c>
      <c r="R705" s="2" t="inlineStr"/>
    </row>
    <row r="706" ht="15" customHeight="1">
      <c r="A706" t="inlineStr">
        <is>
          <t>A 38231-2022</t>
        </is>
      </c>
      <c r="B706" s="1" t="n">
        <v>44812</v>
      </c>
      <c r="C706" s="1" t="n">
        <v>46010</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34557-2022</t>
        </is>
      </c>
      <c r="B707" s="1" t="n">
        <v>44794.57074074074</v>
      </c>
      <c r="C707" s="1" t="n">
        <v>46010</v>
      </c>
      <c r="D707" t="inlineStr">
        <is>
          <t>ÖSTERGÖTLANDS LÄN</t>
        </is>
      </c>
      <c r="E707" t="inlineStr">
        <is>
          <t>LINKÖPING</t>
        </is>
      </c>
      <c r="G707" t="n">
        <v>1.8</v>
      </c>
      <c r="H707" t="n">
        <v>0</v>
      </c>
      <c r="I707" t="n">
        <v>0</v>
      </c>
      <c r="J707" t="n">
        <v>0</v>
      </c>
      <c r="K707" t="n">
        <v>0</v>
      </c>
      <c r="L707" t="n">
        <v>0</v>
      </c>
      <c r="M707" t="n">
        <v>0</v>
      </c>
      <c r="N707" t="n">
        <v>0</v>
      </c>
      <c r="O707" t="n">
        <v>0</v>
      </c>
      <c r="P707" t="n">
        <v>0</v>
      </c>
      <c r="Q707" t="n">
        <v>0</v>
      </c>
      <c r="R707" s="2" t="inlineStr"/>
    </row>
    <row r="708" ht="15" customHeight="1">
      <c r="A708" t="inlineStr">
        <is>
          <t>A 13011-2022</t>
        </is>
      </c>
      <c r="B708" s="1" t="n">
        <v>44643</v>
      </c>
      <c r="C708" s="1" t="n">
        <v>46010</v>
      </c>
      <c r="D708" t="inlineStr">
        <is>
          <t>ÖSTERGÖTLANDS LÄN</t>
        </is>
      </c>
      <c r="E708" t="inlineStr">
        <is>
          <t>LINKÖPING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617-2024</t>
        </is>
      </c>
      <c r="B709" s="1" t="n">
        <v>45299.66028935185</v>
      </c>
      <c r="C709" s="1" t="n">
        <v>46010</v>
      </c>
      <c r="D709" t="inlineStr">
        <is>
          <t>ÖSTERGÖTLANDS LÄN</t>
        </is>
      </c>
      <c r="E709" t="inlineStr">
        <is>
          <t>LINKÖPING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19362-2023</t>
        </is>
      </c>
      <c r="B710" s="1" t="n">
        <v>45049</v>
      </c>
      <c r="C710" s="1" t="n">
        <v>46010</v>
      </c>
      <c r="D710" t="inlineStr">
        <is>
          <t>ÖSTERGÖTLANDS LÄN</t>
        </is>
      </c>
      <c r="E710" t="inlineStr">
        <is>
          <t>LINKÖPING</t>
        </is>
      </c>
      <c r="G710" t="n">
        <v>0.1</v>
      </c>
      <c r="H710" t="n">
        <v>0</v>
      </c>
      <c r="I710" t="n">
        <v>0</v>
      </c>
      <c r="J710" t="n">
        <v>0</v>
      </c>
      <c r="K710" t="n">
        <v>0</v>
      </c>
      <c r="L710" t="n">
        <v>0</v>
      </c>
      <c r="M710" t="n">
        <v>0</v>
      </c>
      <c r="N710" t="n">
        <v>0</v>
      </c>
      <c r="O710" t="n">
        <v>0</v>
      </c>
      <c r="P710" t="n">
        <v>0</v>
      </c>
      <c r="Q710" t="n">
        <v>0</v>
      </c>
      <c r="R710" s="2" t="inlineStr"/>
    </row>
    <row r="711" ht="15" customHeight="1">
      <c r="A711" t="inlineStr">
        <is>
          <t>A 19132-2023</t>
        </is>
      </c>
      <c r="B711" s="1" t="n">
        <v>45048.54754629629</v>
      </c>
      <c r="C711" s="1" t="n">
        <v>46010</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31635-2023</t>
        </is>
      </c>
      <c r="B712" s="1" t="n">
        <v>45105</v>
      </c>
      <c r="C712" s="1" t="n">
        <v>46010</v>
      </c>
      <c r="D712" t="inlineStr">
        <is>
          <t>ÖSTERGÖTLANDS LÄN</t>
        </is>
      </c>
      <c r="E712" t="inlineStr">
        <is>
          <t>LINKÖPING</t>
        </is>
      </c>
      <c r="F712" t="inlineStr">
        <is>
          <t>Övriga statliga verk och myndigheter</t>
        </is>
      </c>
      <c r="G712" t="n">
        <v>4.6</v>
      </c>
      <c r="H712" t="n">
        <v>0</v>
      </c>
      <c r="I712" t="n">
        <v>0</v>
      </c>
      <c r="J712" t="n">
        <v>0</v>
      </c>
      <c r="K712" t="n">
        <v>0</v>
      </c>
      <c r="L712" t="n">
        <v>0</v>
      </c>
      <c r="M712" t="n">
        <v>0</v>
      </c>
      <c r="N712" t="n">
        <v>0</v>
      </c>
      <c r="O712" t="n">
        <v>0</v>
      </c>
      <c r="P712" t="n">
        <v>0</v>
      </c>
      <c r="Q712" t="n">
        <v>0</v>
      </c>
      <c r="R712" s="2" t="inlineStr"/>
    </row>
    <row r="713" ht="15" customHeight="1">
      <c r="A713" t="inlineStr">
        <is>
          <t>A 20296-2025</t>
        </is>
      </c>
      <c r="B713" s="1" t="n">
        <v>45774.74922453704</v>
      </c>
      <c r="C713" s="1" t="n">
        <v>46010</v>
      </c>
      <c r="D713" t="inlineStr">
        <is>
          <t>ÖSTERGÖTLANDS LÄN</t>
        </is>
      </c>
      <c r="E713" t="inlineStr">
        <is>
          <t>LINKÖPING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22770-2024</t>
        </is>
      </c>
      <c r="B714" s="1" t="n">
        <v>45448.4634375</v>
      </c>
      <c r="C714" s="1" t="n">
        <v>46010</v>
      </c>
      <c r="D714" t="inlineStr">
        <is>
          <t>ÖSTERGÖTLANDS LÄN</t>
        </is>
      </c>
      <c r="E714" t="inlineStr">
        <is>
          <t>LINKÖPING</t>
        </is>
      </c>
      <c r="F714" t="inlineStr">
        <is>
          <t>Sveaskog</t>
        </is>
      </c>
      <c r="G714" t="n">
        <v>3.4</v>
      </c>
      <c r="H714" t="n">
        <v>0</v>
      </c>
      <c r="I714" t="n">
        <v>0</v>
      </c>
      <c r="J714" t="n">
        <v>0</v>
      </c>
      <c r="K714" t="n">
        <v>0</v>
      </c>
      <c r="L714" t="n">
        <v>0</v>
      </c>
      <c r="M714" t="n">
        <v>0</v>
      </c>
      <c r="N714" t="n">
        <v>0</v>
      </c>
      <c r="O714" t="n">
        <v>0</v>
      </c>
      <c r="P714" t="n">
        <v>0</v>
      </c>
      <c r="Q714" t="n">
        <v>0</v>
      </c>
      <c r="R714" s="2" t="inlineStr"/>
    </row>
    <row r="715" ht="15" customHeight="1">
      <c r="A715" t="inlineStr">
        <is>
          <t>A 11595-2025</t>
        </is>
      </c>
      <c r="B715" s="1" t="n">
        <v>45727.41893518518</v>
      </c>
      <c r="C715" s="1" t="n">
        <v>46010</v>
      </c>
      <c r="D715" t="inlineStr">
        <is>
          <t>ÖSTERGÖTLANDS LÄN</t>
        </is>
      </c>
      <c r="E715" t="inlineStr">
        <is>
          <t>LINKÖPING</t>
        </is>
      </c>
      <c r="G715" t="n">
        <v>6.6</v>
      </c>
      <c r="H715" t="n">
        <v>0</v>
      </c>
      <c r="I715" t="n">
        <v>0</v>
      </c>
      <c r="J715" t="n">
        <v>0</v>
      </c>
      <c r="K715" t="n">
        <v>0</v>
      </c>
      <c r="L715" t="n">
        <v>0</v>
      </c>
      <c r="M715" t="n">
        <v>0</v>
      </c>
      <c r="N715" t="n">
        <v>0</v>
      </c>
      <c r="O715" t="n">
        <v>0</v>
      </c>
      <c r="P715" t="n">
        <v>0</v>
      </c>
      <c r="Q715" t="n">
        <v>0</v>
      </c>
      <c r="R715" s="2" t="inlineStr"/>
    </row>
    <row r="716" ht="15" customHeight="1">
      <c r="A716" t="inlineStr">
        <is>
          <t>A 48839-2022</t>
        </is>
      </c>
      <c r="B716" s="1" t="n">
        <v>44859</v>
      </c>
      <c r="C716" s="1" t="n">
        <v>46010</v>
      </c>
      <c r="D716" t="inlineStr">
        <is>
          <t>ÖSTERGÖTLANDS LÄN</t>
        </is>
      </c>
      <c r="E716" t="inlineStr">
        <is>
          <t>LINKÖPING</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8967-2025</t>
        </is>
      </c>
      <c r="B717" s="1" t="n">
        <v>45712</v>
      </c>
      <c r="C717" s="1" t="n">
        <v>46010</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63678-2023</t>
        </is>
      </c>
      <c r="B718" s="1" t="n">
        <v>45275.64769675926</v>
      </c>
      <c r="C718" s="1" t="n">
        <v>46010</v>
      </c>
      <c r="D718" t="inlineStr">
        <is>
          <t>ÖSTERGÖTLANDS LÄN</t>
        </is>
      </c>
      <c r="E718" t="inlineStr">
        <is>
          <t>LINKÖPING</t>
        </is>
      </c>
      <c r="F718" t="inlineStr">
        <is>
          <t>Övriga Aktiebolag</t>
        </is>
      </c>
      <c r="G718" t="n">
        <v>0.4</v>
      </c>
      <c r="H718" t="n">
        <v>0</v>
      </c>
      <c r="I718" t="n">
        <v>0</v>
      </c>
      <c r="J718" t="n">
        <v>0</v>
      </c>
      <c r="K718" t="n">
        <v>0</v>
      </c>
      <c r="L718" t="n">
        <v>0</v>
      </c>
      <c r="M718" t="n">
        <v>0</v>
      </c>
      <c r="N718" t="n">
        <v>0</v>
      </c>
      <c r="O718" t="n">
        <v>0</v>
      </c>
      <c r="P718" t="n">
        <v>0</v>
      </c>
      <c r="Q718" t="n">
        <v>0</v>
      </c>
      <c r="R718" s="2" t="inlineStr"/>
    </row>
    <row r="719" ht="15" customHeight="1">
      <c r="A719" t="inlineStr">
        <is>
          <t>A 1844-2025</t>
        </is>
      </c>
      <c r="B719" s="1" t="n">
        <v>45671.57730324074</v>
      </c>
      <c r="C719" s="1" t="n">
        <v>46010</v>
      </c>
      <c r="D719" t="inlineStr">
        <is>
          <t>ÖSTERGÖTLANDS LÄN</t>
        </is>
      </c>
      <c r="E719" t="inlineStr">
        <is>
          <t>LINKÖPING</t>
        </is>
      </c>
      <c r="G719" t="n">
        <v>2</v>
      </c>
      <c r="H719" t="n">
        <v>0</v>
      </c>
      <c r="I719" t="n">
        <v>0</v>
      </c>
      <c r="J719" t="n">
        <v>0</v>
      </c>
      <c r="K719" t="n">
        <v>0</v>
      </c>
      <c r="L719" t="n">
        <v>0</v>
      </c>
      <c r="M719" t="n">
        <v>0</v>
      </c>
      <c r="N719" t="n">
        <v>0</v>
      </c>
      <c r="O719" t="n">
        <v>0</v>
      </c>
      <c r="P719" t="n">
        <v>0</v>
      </c>
      <c r="Q719" t="n">
        <v>0</v>
      </c>
      <c r="R719" s="2" t="inlineStr"/>
    </row>
    <row r="720" ht="15" customHeight="1">
      <c r="A720" t="inlineStr">
        <is>
          <t>A 21165-2025</t>
        </is>
      </c>
      <c r="B720" s="1" t="n">
        <v>45779.39417824074</v>
      </c>
      <c r="C720" s="1" t="n">
        <v>46010</v>
      </c>
      <c r="D720" t="inlineStr">
        <is>
          <t>ÖSTERGÖTLANDS LÄN</t>
        </is>
      </c>
      <c r="E720" t="inlineStr">
        <is>
          <t>LINKÖPING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21155-2025</t>
        </is>
      </c>
      <c r="B721" s="1" t="n">
        <v>45779.37586805555</v>
      </c>
      <c r="C721" s="1" t="n">
        <v>46010</v>
      </c>
      <c r="D721" t="inlineStr">
        <is>
          <t>ÖSTERGÖTLANDS LÄN</t>
        </is>
      </c>
      <c r="E721" t="inlineStr">
        <is>
          <t>LINKÖPING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22264-2025</t>
        </is>
      </c>
      <c r="B722" s="1" t="n">
        <v>45785</v>
      </c>
      <c r="C722" s="1" t="n">
        <v>46010</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9473-2024</t>
        </is>
      </c>
      <c r="B723" s="1" t="n">
        <v>45359.55474537037</v>
      </c>
      <c r="C723" s="1" t="n">
        <v>46010</v>
      </c>
      <c r="D723" t="inlineStr">
        <is>
          <t>ÖSTERGÖTLANDS LÄN</t>
        </is>
      </c>
      <c r="E723" t="inlineStr">
        <is>
          <t>LINKÖPING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6859-2024</t>
        </is>
      </c>
      <c r="B724" s="1" t="n">
        <v>45342</v>
      </c>
      <c r="C724" s="1" t="n">
        <v>46010</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44287-2024</t>
        </is>
      </c>
      <c r="B725" s="1" t="n">
        <v>45573.50582175926</v>
      </c>
      <c r="C725" s="1" t="n">
        <v>46010</v>
      </c>
      <c r="D725" t="inlineStr">
        <is>
          <t>ÖSTERGÖTLANDS LÄN</t>
        </is>
      </c>
      <c r="E725" t="inlineStr">
        <is>
          <t>LINKÖPING</t>
        </is>
      </c>
      <c r="G725" t="n">
        <v>12.7</v>
      </c>
      <c r="H725" t="n">
        <v>0</v>
      </c>
      <c r="I725" t="n">
        <v>0</v>
      </c>
      <c r="J725" t="n">
        <v>0</v>
      </c>
      <c r="K725" t="n">
        <v>0</v>
      </c>
      <c r="L725" t="n">
        <v>0</v>
      </c>
      <c r="M725" t="n">
        <v>0</v>
      </c>
      <c r="N725" t="n">
        <v>0</v>
      </c>
      <c r="O725" t="n">
        <v>0</v>
      </c>
      <c r="P725" t="n">
        <v>0</v>
      </c>
      <c r="Q725" t="n">
        <v>0</v>
      </c>
      <c r="R725" s="2" t="inlineStr"/>
    </row>
    <row r="726" ht="15" customHeight="1">
      <c r="A726" t="inlineStr">
        <is>
          <t>A 22364-2025</t>
        </is>
      </c>
      <c r="B726" s="1" t="n">
        <v>45786.46930555555</v>
      </c>
      <c r="C726" s="1" t="n">
        <v>46010</v>
      </c>
      <c r="D726" t="inlineStr">
        <is>
          <t>ÖSTERGÖTLANDS LÄN</t>
        </is>
      </c>
      <c r="E726" t="inlineStr">
        <is>
          <t>LINKÖPING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572-2025</t>
        </is>
      </c>
      <c r="B727" s="1" t="n">
        <v>45664.56349537037</v>
      </c>
      <c r="C727" s="1" t="n">
        <v>46010</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10797-2024</t>
        </is>
      </c>
      <c r="B728" s="1" t="n">
        <v>45369.6190162037</v>
      </c>
      <c r="C728" s="1" t="n">
        <v>46010</v>
      </c>
      <c r="D728" t="inlineStr">
        <is>
          <t>ÖSTERGÖTLANDS LÄN</t>
        </is>
      </c>
      <c r="E728" t="inlineStr">
        <is>
          <t>LINKÖPING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38580-2024</t>
        </is>
      </c>
      <c r="B729" s="1" t="n">
        <v>45546.64825231482</v>
      </c>
      <c r="C729" s="1" t="n">
        <v>46010</v>
      </c>
      <c r="D729" t="inlineStr">
        <is>
          <t>ÖSTERGÖTLANDS LÄN</t>
        </is>
      </c>
      <c r="E729" t="inlineStr">
        <is>
          <t>LINKÖPING</t>
        </is>
      </c>
      <c r="G729" t="n">
        <v>4.8</v>
      </c>
      <c r="H729" t="n">
        <v>0</v>
      </c>
      <c r="I729" t="n">
        <v>0</v>
      </c>
      <c r="J729" t="n">
        <v>0</v>
      </c>
      <c r="K729" t="n">
        <v>0</v>
      </c>
      <c r="L729" t="n">
        <v>0</v>
      </c>
      <c r="M729" t="n">
        <v>0</v>
      </c>
      <c r="N729" t="n">
        <v>0</v>
      </c>
      <c r="O729" t="n">
        <v>0</v>
      </c>
      <c r="P729" t="n">
        <v>0</v>
      </c>
      <c r="Q729" t="n">
        <v>0</v>
      </c>
      <c r="R729" s="2" t="inlineStr"/>
    </row>
    <row r="730">
      <c r="A730" t="inlineStr">
        <is>
          <t>A 57752-2023</t>
        </is>
      </c>
      <c r="B730" s="1" t="n">
        <v>45246.78474537037</v>
      </c>
      <c r="C730" s="1" t="n">
        <v>46010</v>
      </c>
      <c r="D730" t="inlineStr">
        <is>
          <t>ÖSTERGÖTLANDS LÄN</t>
        </is>
      </c>
      <c r="E730" t="inlineStr">
        <is>
          <t>LINKÖPING</t>
        </is>
      </c>
      <c r="G730" t="n">
        <v>1.1</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2025-12-19T10:37:44Z</dcterms:created>
  <dcterms:modified xmlns:dcterms="http://purl.org/dc/terms/" xmlns:xsi="http://www.w3.org/2001/XMLSchema-instance" xsi:type="dcterms:W3CDTF">2025-12-19T10:37:44Z</dcterms:modified>
</cp:coreProperties>
</file>