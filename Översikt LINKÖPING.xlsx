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46094</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46094</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46094</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56271-2021</t>
        </is>
      </c>
      <c r="B11" s="1" t="n">
        <v>44479</v>
      </c>
      <c r="C11" s="1" t="n">
        <v>46094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40970-2021</t>
        </is>
      </c>
      <c r="B12" s="1" t="n">
        <v>44421</v>
      </c>
      <c r="C12" s="1" t="n">
        <v>46094</v>
      </c>
      <c r="D12" t="inlineStr">
        <is>
          <t>ÖSTERGÖTLANDS LÄN</t>
        </is>
      </c>
      <c r="E12" t="inlineStr">
        <is>
          <t>LINKÖPING</t>
        </is>
      </c>
      <c r="F12" t="inlineStr">
        <is>
          <t>Kommuner</t>
        </is>
      </c>
      <c r="G12" t="n">
        <v>2.2</v>
      </c>
      <c r="H12" t="n">
        <v>2</v>
      </c>
      <c r="I12" t="n">
        <v>2</v>
      </c>
      <c r="J12" t="n">
        <v>0</v>
      </c>
      <c r="K12" t="n">
        <v>1</v>
      </c>
      <c r="L12" t="n">
        <v>0</v>
      </c>
      <c r="M12" t="n">
        <v>0</v>
      </c>
      <c r="N12" t="n">
        <v>0</v>
      </c>
      <c r="O12" t="n">
        <v>1</v>
      </c>
      <c r="P12" t="n">
        <v>1</v>
      </c>
      <c r="Q12" t="n">
        <v>4</v>
      </c>
      <c r="R12" s="2" t="inlineStr">
        <is>
          <t>Bombmurkla
Fjällig taggsvamp s.str.
Kryddspindling
Blåsippa</t>
        </is>
      </c>
      <c r="S12">
        <f>HYPERLINK("https://klasma.github.io/Logging_0580/artfynd/A 40970-2021 artfynd.xlsx", "A 40970-2021")</f>
        <v/>
      </c>
      <c r="T12">
        <f>HYPERLINK("https://klasma.github.io/Logging_0580/kartor/A 40970-2021 karta.png", "A 40970-2021")</f>
        <v/>
      </c>
      <c r="U12">
        <f>HYPERLINK("https://klasma.github.io/Logging_0580/knärot/A 40970-2021 karta knärot.png", "A 40970-2021")</f>
        <v/>
      </c>
      <c r="V12">
        <f>HYPERLINK("https://klasma.github.io/Logging_0580/klagomål/A 40970-2021 FSC-klagomål.docx", "A 40970-2021")</f>
        <v/>
      </c>
      <c r="W12">
        <f>HYPERLINK("https://klasma.github.io/Logging_0580/klagomålsmail/A 40970-2021 FSC-klagomål mail.docx", "A 40970-2021")</f>
        <v/>
      </c>
      <c r="X12">
        <f>HYPERLINK("https://klasma.github.io/Logging_0580/tillsyn/A 40970-2021 tillsynsbegäran.docx", "A 40970-2021")</f>
        <v/>
      </c>
      <c r="Y12">
        <f>HYPERLINK("https://klasma.github.io/Logging_0580/tillsynsmail/A 40970-2021 tillsynsbegäran mail.docx", "A 40970-2021")</f>
        <v/>
      </c>
    </row>
    <row r="13" ht="15" customHeight="1">
      <c r="A13" t="inlineStr">
        <is>
          <t>A 40469-2024</t>
        </is>
      </c>
      <c r="B13" s="1" t="n">
        <v>45555.53145833333</v>
      </c>
      <c r="C13" s="1" t="n">
        <v>46094</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9192-2025</t>
        </is>
      </c>
      <c r="B14" s="1" t="n">
        <v>45714.45943287037</v>
      </c>
      <c r="C14" s="1" t="n">
        <v>46094</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15475-2021</t>
        </is>
      </c>
      <c r="B15" s="1" t="n">
        <v>44285</v>
      </c>
      <c r="C15" s="1" t="n">
        <v>46094</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17502-2022</t>
        </is>
      </c>
      <c r="B16" s="1" t="n">
        <v>44679</v>
      </c>
      <c r="C16" s="1" t="n">
        <v>46094</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48329-2025</t>
        </is>
      </c>
      <c r="B17" s="1" t="n">
        <v>45932</v>
      </c>
      <c r="C17" s="1" t="n">
        <v>46094</v>
      </c>
      <c r="D17" t="inlineStr">
        <is>
          <t>ÖSTERGÖTLANDS LÄN</t>
        </is>
      </c>
      <c r="E17" t="inlineStr">
        <is>
          <t>LINKÖPING</t>
        </is>
      </c>
      <c r="F17" t="inlineStr">
        <is>
          <t>Övriga Aktiebolag</t>
        </is>
      </c>
      <c r="G17" t="n">
        <v>2.2</v>
      </c>
      <c r="H17" t="n">
        <v>1</v>
      </c>
      <c r="I17" t="n">
        <v>3</v>
      </c>
      <c r="J17" t="n">
        <v>0</v>
      </c>
      <c r="K17" t="n">
        <v>0</v>
      </c>
      <c r="L17" t="n">
        <v>0</v>
      </c>
      <c r="M17" t="n">
        <v>0</v>
      </c>
      <c r="N17" t="n">
        <v>0</v>
      </c>
      <c r="O17" t="n">
        <v>0</v>
      </c>
      <c r="P17" t="n">
        <v>0</v>
      </c>
      <c r="Q17" t="n">
        <v>4</v>
      </c>
      <c r="R17" s="2" t="inlineStr">
        <is>
          <t>Blanksvart trämyra
Dolkstekelsglasvinge
Granbarkgnagare
Blåsippa</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577-2025</t>
        </is>
      </c>
      <c r="B18" s="1" t="n">
        <v>45664.56525462963</v>
      </c>
      <c r="C18" s="1" t="n">
        <v>46094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38913-2023</t>
        </is>
      </c>
      <c r="B19" s="1" t="n">
        <v>45163</v>
      </c>
      <c r="C19" s="1" t="n">
        <v>46094</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55341-2024</t>
        </is>
      </c>
      <c r="B20" s="1" t="n">
        <v>45621.71255787037</v>
      </c>
      <c r="C20" s="1" t="n">
        <v>46094</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49999-2025</t>
        </is>
      </c>
      <c r="B21" s="1" t="n">
        <v>45943.30185185185</v>
      </c>
      <c r="C21" s="1" t="n">
        <v>46094</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17275-2025</t>
        </is>
      </c>
      <c r="B22" s="1" t="n">
        <v>45756.55734953703</v>
      </c>
      <c r="C22" s="1" t="n">
        <v>46094</v>
      </c>
      <c r="D22" t="inlineStr">
        <is>
          <t>ÖSTERGÖTLANDS LÄN</t>
        </is>
      </c>
      <c r="E22" t="inlineStr">
        <is>
          <t>LINKÖPING</t>
        </is>
      </c>
      <c r="G22" t="n">
        <v>2.9</v>
      </c>
      <c r="H22" t="n">
        <v>1</v>
      </c>
      <c r="I22" t="n">
        <v>2</v>
      </c>
      <c r="J22" t="n">
        <v>1</v>
      </c>
      <c r="K22" t="n">
        <v>0</v>
      </c>
      <c r="L22" t="n">
        <v>0</v>
      </c>
      <c r="M22" t="n">
        <v>0</v>
      </c>
      <c r="N22" t="n">
        <v>0</v>
      </c>
      <c r="O22" t="n">
        <v>1</v>
      </c>
      <c r="P22" t="n">
        <v>0</v>
      </c>
      <c r="Q22" t="n">
        <v>3</v>
      </c>
      <c r="R22" s="2" t="inlineStr">
        <is>
          <t>Talltita
Fällmossa
Platt fjädermossa</t>
        </is>
      </c>
      <c r="S22">
        <f>HYPERLINK("https://klasma.github.io/Logging_0580/artfynd/A 17275-2025 artfynd.xlsx", "A 17275-2025")</f>
        <v/>
      </c>
      <c r="T22">
        <f>HYPERLINK("https://klasma.github.io/Logging_0580/kartor/A 17275-2025 karta.png", "A 17275-2025")</f>
        <v/>
      </c>
      <c r="V22">
        <f>HYPERLINK("https://klasma.github.io/Logging_0580/klagomål/A 17275-2025 FSC-klagomål.docx", "A 17275-2025")</f>
        <v/>
      </c>
      <c r="W22">
        <f>HYPERLINK("https://klasma.github.io/Logging_0580/klagomålsmail/A 17275-2025 FSC-klagomål mail.docx", "A 17275-2025")</f>
        <v/>
      </c>
      <c r="X22">
        <f>HYPERLINK("https://klasma.github.io/Logging_0580/tillsyn/A 17275-2025 tillsynsbegäran.docx", "A 17275-2025")</f>
        <v/>
      </c>
      <c r="Y22">
        <f>HYPERLINK("https://klasma.github.io/Logging_0580/tillsynsmail/A 17275-2025 tillsynsbegäran mail.docx", "A 17275-2025")</f>
        <v/>
      </c>
      <c r="Z22">
        <f>HYPERLINK("https://klasma.github.io/Logging_0580/fåglar/A 17275-2025 prioriterade fågelarter.docx", "A 17275-2025")</f>
        <v/>
      </c>
    </row>
    <row r="23" ht="15" customHeight="1">
      <c r="A23" t="inlineStr">
        <is>
          <t>A 6353-2026</t>
        </is>
      </c>
      <c r="B23" s="1" t="n">
        <v>46055.61385416667</v>
      </c>
      <c r="C23" s="1" t="n">
        <v>46094</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11048-2026</t>
        </is>
      </c>
      <c r="B24" s="1" t="n">
        <v>46079.58841435185</v>
      </c>
      <c r="C24" s="1" t="n">
        <v>46094</v>
      </c>
      <c r="D24" t="inlineStr">
        <is>
          <t>ÖSTERGÖTLANDS LÄN</t>
        </is>
      </c>
      <c r="E24" t="inlineStr">
        <is>
          <t>LINKÖPING</t>
        </is>
      </c>
      <c r="G24" t="n">
        <v>4.1</v>
      </c>
      <c r="H24" t="n">
        <v>0</v>
      </c>
      <c r="I24" t="n">
        <v>3</v>
      </c>
      <c r="J24" t="n">
        <v>0</v>
      </c>
      <c r="K24" t="n">
        <v>0</v>
      </c>
      <c r="L24" t="n">
        <v>0</v>
      </c>
      <c r="M24" t="n">
        <v>0</v>
      </c>
      <c r="N24" t="n">
        <v>0</v>
      </c>
      <c r="O24" t="n">
        <v>0</v>
      </c>
      <c r="P24" t="n">
        <v>0</v>
      </c>
      <c r="Q24" t="n">
        <v>3</v>
      </c>
      <c r="R24" s="2" t="inlineStr">
        <is>
          <t>Svart trolldruva
Sårläka
Tibast</t>
        </is>
      </c>
      <c r="S24">
        <f>HYPERLINK("https://klasma.github.io/Logging_0580/artfynd/A 11048-2026 artfynd.xlsx", "A 11048-2026")</f>
        <v/>
      </c>
      <c r="T24">
        <f>HYPERLINK("https://klasma.github.io/Logging_0580/kartor/A 11048-2026 karta.png", "A 11048-2026")</f>
        <v/>
      </c>
      <c r="V24">
        <f>HYPERLINK("https://klasma.github.io/Logging_0580/klagomål/A 11048-2026 FSC-klagomål.docx", "A 11048-2026")</f>
        <v/>
      </c>
      <c r="W24">
        <f>HYPERLINK("https://klasma.github.io/Logging_0580/klagomålsmail/A 11048-2026 FSC-klagomål mail.docx", "A 11048-2026")</f>
        <v/>
      </c>
      <c r="X24">
        <f>HYPERLINK("https://klasma.github.io/Logging_0580/tillsyn/A 11048-2026 tillsynsbegäran.docx", "A 11048-2026")</f>
        <v/>
      </c>
      <c r="Y24">
        <f>HYPERLINK("https://klasma.github.io/Logging_0580/tillsynsmail/A 11048-2026 tillsynsbegäran mail.docx", "A 11048-2026")</f>
        <v/>
      </c>
    </row>
    <row r="25" ht="15" customHeight="1">
      <c r="A25" t="inlineStr">
        <is>
          <t>A 11097-2026</t>
        </is>
      </c>
      <c r="B25" s="1" t="n">
        <v>46079.64511574074</v>
      </c>
      <c r="C25" s="1" t="n">
        <v>46094</v>
      </c>
      <c r="D25" t="inlineStr">
        <is>
          <t>ÖSTERGÖTLANDS LÄN</t>
        </is>
      </c>
      <c r="E25" t="inlineStr">
        <is>
          <t>LINKÖPING</t>
        </is>
      </c>
      <c r="G25" t="n">
        <v>3.7</v>
      </c>
      <c r="H25" t="n">
        <v>0</v>
      </c>
      <c r="I25" t="n">
        <v>1</v>
      </c>
      <c r="J25" t="n">
        <v>2</v>
      </c>
      <c r="K25" t="n">
        <v>0</v>
      </c>
      <c r="L25" t="n">
        <v>0</v>
      </c>
      <c r="M25" t="n">
        <v>0</v>
      </c>
      <c r="N25" t="n">
        <v>0</v>
      </c>
      <c r="O25" t="n">
        <v>2</v>
      </c>
      <c r="P25" t="n">
        <v>0</v>
      </c>
      <c r="Q25" t="n">
        <v>3</v>
      </c>
      <c r="R25" s="2" t="inlineStr">
        <is>
          <t>Bäcksidenmossa
Vedtrappmossa
Trubbfjädermossa</t>
        </is>
      </c>
      <c r="S25">
        <f>HYPERLINK("https://klasma.github.io/Logging_0580/artfynd/A 11097-2026 artfynd.xlsx", "A 11097-2026")</f>
        <v/>
      </c>
      <c r="T25">
        <f>HYPERLINK("https://klasma.github.io/Logging_0580/kartor/A 11097-2026 karta.png", "A 11097-2026")</f>
        <v/>
      </c>
      <c r="V25">
        <f>HYPERLINK("https://klasma.github.io/Logging_0580/klagomål/A 11097-2026 FSC-klagomål.docx", "A 11097-2026")</f>
        <v/>
      </c>
      <c r="W25">
        <f>HYPERLINK("https://klasma.github.io/Logging_0580/klagomålsmail/A 11097-2026 FSC-klagomål mail.docx", "A 11097-2026")</f>
        <v/>
      </c>
      <c r="X25">
        <f>HYPERLINK("https://klasma.github.io/Logging_0580/tillsyn/A 11097-2026 tillsynsbegäran.docx", "A 11097-2026")</f>
        <v/>
      </c>
      <c r="Y25">
        <f>HYPERLINK("https://klasma.github.io/Logging_0580/tillsynsmail/A 11097-2026 tillsynsbegäran mail.docx", "A 11097-2026")</f>
        <v/>
      </c>
    </row>
    <row r="26" ht="15" customHeight="1">
      <c r="A26" t="inlineStr">
        <is>
          <t>A 17520-2022</t>
        </is>
      </c>
      <c r="B26" s="1" t="n">
        <v>44679</v>
      </c>
      <c r="C26" s="1" t="n">
        <v>46094</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46094</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21326-2025</t>
        </is>
      </c>
      <c r="B28" s="1" t="n">
        <v>45782.35407407407</v>
      </c>
      <c r="C28" s="1" t="n">
        <v>46094</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46094</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46094</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50404-2023</t>
        </is>
      </c>
      <c r="B31" s="1" t="n">
        <v>45216</v>
      </c>
      <c r="C31" s="1" t="n">
        <v>46094</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38137-2021</t>
        </is>
      </c>
      <c r="B32" s="1" t="n">
        <v>44405.38357638889</v>
      </c>
      <c r="C32" s="1" t="n">
        <v>46094</v>
      </c>
      <c r="D32" t="inlineStr">
        <is>
          <t>ÖSTERGÖTLANDS LÄN</t>
        </is>
      </c>
      <c r="E32" t="inlineStr">
        <is>
          <t>LINKÖPING</t>
        </is>
      </c>
      <c r="G32" t="n">
        <v>2</v>
      </c>
      <c r="H32" t="n">
        <v>0</v>
      </c>
      <c r="I32" t="n">
        <v>2</v>
      </c>
      <c r="J32" t="n">
        <v>0</v>
      </c>
      <c r="K32" t="n">
        <v>0</v>
      </c>
      <c r="L32" t="n">
        <v>0</v>
      </c>
      <c r="M32" t="n">
        <v>0</v>
      </c>
      <c r="N32" t="n">
        <v>0</v>
      </c>
      <c r="O32" t="n">
        <v>0</v>
      </c>
      <c r="P32" t="n">
        <v>0</v>
      </c>
      <c r="Q32" t="n">
        <v>2</v>
      </c>
      <c r="R32" s="2" t="inlineStr">
        <is>
          <t>Blomkålssvamp
Mandelriska</t>
        </is>
      </c>
      <c r="S32">
        <f>HYPERLINK("https://klasma.github.io/Logging_0580/artfynd/A 38137-2021 artfynd.xlsx", "A 38137-2021")</f>
        <v/>
      </c>
      <c r="T32">
        <f>HYPERLINK("https://klasma.github.io/Logging_0580/kartor/A 38137-2021 karta.png", "A 38137-2021")</f>
        <v/>
      </c>
      <c r="V32">
        <f>HYPERLINK("https://klasma.github.io/Logging_0580/klagomål/A 38137-2021 FSC-klagomål.docx", "A 38137-2021")</f>
        <v/>
      </c>
      <c r="W32">
        <f>HYPERLINK("https://klasma.github.io/Logging_0580/klagomålsmail/A 38137-2021 FSC-klagomål mail.docx", "A 38137-2021")</f>
        <v/>
      </c>
      <c r="X32">
        <f>HYPERLINK("https://klasma.github.io/Logging_0580/tillsyn/A 38137-2021 tillsynsbegäran.docx", "A 38137-2021")</f>
        <v/>
      </c>
      <c r="Y32">
        <f>HYPERLINK("https://klasma.github.io/Logging_0580/tillsynsmail/A 38137-2021 tillsynsbegäran mail.docx", "A 38137-2021")</f>
        <v/>
      </c>
    </row>
    <row r="33" ht="15" customHeight="1">
      <c r="A33" t="inlineStr">
        <is>
          <t>A 58068-2021</t>
        </is>
      </c>
      <c r="B33" s="1" t="n">
        <v>44487</v>
      </c>
      <c r="C33" s="1" t="n">
        <v>46094</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27795-2025</t>
        </is>
      </c>
      <c r="B34" s="1" t="n">
        <v>45816.7908912037</v>
      </c>
      <c r="C34" s="1" t="n">
        <v>46094</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14879-2024</t>
        </is>
      </c>
      <c r="B35" s="1" t="n">
        <v>45398</v>
      </c>
      <c r="C35" s="1" t="n">
        <v>46094</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8818-2025</t>
        </is>
      </c>
      <c r="B36" s="1" t="n">
        <v>45712</v>
      </c>
      <c r="C36" s="1" t="n">
        <v>46094</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25985-2025</t>
        </is>
      </c>
      <c r="B37" s="1" t="n">
        <v>45804.64479166667</v>
      </c>
      <c r="C37" s="1" t="n">
        <v>46094</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41751-2023</t>
        </is>
      </c>
      <c r="B38" s="1" t="n">
        <v>45176</v>
      </c>
      <c r="C38" s="1" t="n">
        <v>46094</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58068-2021</t>
        </is>
      </c>
      <c r="B39" s="1" t="n">
        <v>44487</v>
      </c>
      <c r="C39" s="1" t="n">
        <v>46094</v>
      </c>
      <c r="D39" t="inlineStr">
        <is>
          <t>ÖSTERGÖTLANDS LÄN</t>
        </is>
      </c>
      <c r="E39" t="inlineStr">
        <is>
          <t>LINKÖPING</t>
        </is>
      </c>
      <c r="F39" t="inlineStr">
        <is>
          <t>Övriga Aktiebolag</t>
        </is>
      </c>
      <c r="G39" t="n">
        <v>1.2</v>
      </c>
      <c r="H39" t="n">
        <v>0</v>
      </c>
      <c r="I39" t="n">
        <v>0</v>
      </c>
      <c r="J39" t="n">
        <v>2</v>
      </c>
      <c r="K39" t="n">
        <v>0</v>
      </c>
      <c r="L39" t="n">
        <v>0</v>
      </c>
      <c r="M39" t="n">
        <v>0</v>
      </c>
      <c r="N39" t="n">
        <v>0</v>
      </c>
      <c r="O39" t="n">
        <v>2</v>
      </c>
      <c r="P39" t="n">
        <v>0</v>
      </c>
      <c r="Q39" t="n">
        <v>2</v>
      </c>
      <c r="R39" s="2" t="inlineStr">
        <is>
          <t>Rödbrun blekspik
Skuggorangelav</t>
        </is>
      </c>
      <c r="S39">
        <f>HYPERLINK("https://klasma.github.io/Logging_0580/artfynd/A 58068-2021 artfynd.xlsx", "A 58068-2021")</f>
        <v/>
      </c>
      <c r="T39">
        <f>HYPERLINK("https://klasma.github.io/Logging_0580/kartor/A 58068-2021 karta.png", "A 58068-2021")</f>
        <v/>
      </c>
      <c r="V39">
        <f>HYPERLINK("https://klasma.github.io/Logging_0580/klagomål/A 58068-2021 FSC-klagomål.docx", "A 58068-2021")</f>
        <v/>
      </c>
      <c r="W39">
        <f>HYPERLINK("https://klasma.github.io/Logging_0580/klagomålsmail/A 58068-2021 FSC-klagomål mail.docx", "A 58068-2021")</f>
        <v/>
      </c>
      <c r="X39">
        <f>HYPERLINK("https://klasma.github.io/Logging_0580/tillsyn/A 58068-2021 tillsynsbegäran.docx", "A 58068-2021")</f>
        <v/>
      </c>
      <c r="Y39">
        <f>HYPERLINK("https://klasma.github.io/Logging_0580/tillsynsmail/A 58068-2021 tillsynsbegäran mail.docx", "A 58068-2021")</f>
        <v/>
      </c>
    </row>
    <row r="40" ht="15" customHeight="1">
      <c r="A40" t="inlineStr">
        <is>
          <t>A 42858-2023</t>
        </is>
      </c>
      <c r="B40" s="1" t="n">
        <v>45177</v>
      </c>
      <c r="C40" s="1" t="n">
        <v>46094</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22040-2023</t>
        </is>
      </c>
      <c r="B41" s="1" t="n">
        <v>45068</v>
      </c>
      <c r="C41" s="1" t="n">
        <v>46094</v>
      </c>
      <c r="D41" t="inlineStr">
        <is>
          <t>ÖSTERGÖTLANDS LÄN</t>
        </is>
      </c>
      <c r="E41" t="inlineStr">
        <is>
          <t>LINKÖPING</t>
        </is>
      </c>
      <c r="F41" t="inlineStr">
        <is>
          <t>Kommuner</t>
        </is>
      </c>
      <c r="G41" t="n">
        <v>1</v>
      </c>
      <c r="H41" t="n">
        <v>1</v>
      </c>
      <c r="I41" t="n">
        <v>1</v>
      </c>
      <c r="J41" t="n">
        <v>0</v>
      </c>
      <c r="K41" t="n">
        <v>1</v>
      </c>
      <c r="L41" t="n">
        <v>0</v>
      </c>
      <c r="M41" t="n">
        <v>0</v>
      </c>
      <c r="N41" t="n">
        <v>0</v>
      </c>
      <c r="O41" t="n">
        <v>1</v>
      </c>
      <c r="P41" t="n">
        <v>1</v>
      </c>
      <c r="Q41" t="n">
        <v>2</v>
      </c>
      <c r="R41" s="2" t="inlineStr">
        <is>
          <t>Bombmurkla
Skarp dropptaggsvamp</t>
        </is>
      </c>
      <c r="S41">
        <f>HYPERLINK("https://klasma.github.io/Logging_0580/artfynd/A 22040-2023 artfynd.xlsx", "A 22040-2023")</f>
        <v/>
      </c>
      <c r="T41">
        <f>HYPERLINK("https://klasma.github.io/Logging_0580/kartor/A 22040-2023 karta.png", "A 22040-2023")</f>
        <v/>
      </c>
      <c r="V41">
        <f>HYPERLINK("https://klasma.github.io/Logging_0580/klagomål/A 22040-2023 FSC-klagomål.docx", "A 22040-2023")</f>
        <v/>
      </c>
      <c r="W41">
        <f>HYPERLINK("https://klasma.github.io/Logging_0580/klagomålsmail/A 22040-2023 FSC-klagomål mail.docx", "A 22040-2023")</f>
        <v/>
      </c>
      <c r="X41">
        <f>HYPERLINK("https://klasma.github.io/Logging_0580/tillsyn/A 22040-2023 tillsynsbegäran.docx", "A 22040-2023")</f>
        <v/>
      </c>
      <c r="Y41">
        <f>HYPERLINK("https://klasma.github.io/Logging_0580/tillsynsmail/A 22040-2023 tillsynsbegäran mail.docx", "A 22040-2023")</f>
        <v/>
      </c>
    </row>
    <row r="42" ht="15" customHeight="1">
      <c r="A42" t="inlineStr">
        <is>
          <t>A 55344-2024</t>
        </is>
      </c>
      <c r="B42" s="1" t="n">
        <v>45621.7202662037</v>
      </c>
      <c r="C42" s="1" t="n">
        <v>46094</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49188-2024</t>
        </is>
      </c>
      <c r="B43" s="1" t="n">
        <v>45595</v>
      </c>
      <c r="C43" s="1" t="n">
        <v>46094</v>
      </c>
      <c r="D43" t="inlineStr">
        <is>
          <t>ÖSTERGÖTLANDS LÄN</t>
        </is>
      </c>
      <c r="E43" t="inlineStr">
        <is>
          <t>LINKÖPING</t>
        </is>
      </c>
      <c r="G43" t="n">
        <v>3.1</v>
      </c>
      <c r="H43" t="n">
        <v>0</v>
      </c>
      <c r="I43" t="n">
        <v>0</v>
      </c>
      <c r="J43" t="n">
        <v>0</v>
      </c>
      <c r="K43" t="n">
        <v>0</v>
      </c>
      <c r="L43" t="n">
        <v>1</v>
      </c>
      <c r="M43" t="n">
        <v>1</v>
      </c>
      <c r="N43" t="n">
        <v>0</v>
      </c>
      <c r="O43" t="n">
        <v>2</v>
      </c>
      <c r="P43" t="n">
        <v>2</v>
      </c>
      <c r="Q43" t="n">
        <v>2</v>
      </c>
      <c r="R43" s="2" t="inlineStr">
        <is>
          <t>Skogsalm
Ask</t>
        </is>
      </c>
      <c r="S43">
        <f>HYPERLINK("https://klasma.github.io/Logging_0580/artfynd/A 49188-2024 artfynd.xlsx", "A 49188-2024")</f>
        <v/>
      </c>
      <c r="T43">
        <f>HYPERLINK("https://klasma.github.io/Logging_0580/kartor/A 49188-2024 karta.png", "A 49188-2024")</f>
        <v/>
      </c>
      <c r="V43">
        <f>HYPERLINK("https://klasma.github.io/Logging_0580/klagomål/A 49188-2024 FSC-klagomål.docx", "A 49188-2024")</f>
        <v/>
      </c>
      <c r="W43">
        <f>HYPERLINK("https://klasma.github.io/Logging_0580/klagomålsmail/A 49188-2024 FSC-klagomål mail.docx", "A 49188-2024")</f>
        <v/>
      </c>
      <c r="X43">
        <f>HYPERLINK("https://klasma.github.io/Logging_0580/tillsyn/A 49188-2024 tillsynsbegäran.docx", "A 49188-2024")</f>
        <v/>
      </c>
      <c r="Y43">
        <f>HYPERLINK("https://klasma.github.io/Logging_0580/tillsynsmail/A 49188-2024 tillsynsbegäran mail.docx", "A 49188-2024")</f>
        <v/>
      </c>
    </row>
    <row r="44" ht="15" customHeight="1">
      <c r="A44" t="inlineStr">
        <is>
          <t>A 11613-2025</t>
        </is>
      </c>
      <c r="B44" s="1" t="n">
        <v>45727.44623842592</v>
      </c>
      <c r="C44" s="1" t="n">
        <v>46094</v>
      </c>
      <c r="D44" t="inlineStr">
        <is>
          <t>ÖSTERGÖTLANDS LÄN</t>
        </is>
      </c>
      <c r="E44" t="inlineStr">
        <is>
          <t>LINKÖPING</t>
        </is>
      </c>
      <c r="G44" t="n">
        <v>5.7</v>
      </c>
      <c r="H44" t="n">
        <v>1</v>
      </c>
      <c r="I44" t="n">
        <v>1</v>
      </c>
      <c r="J44" t="n">
        <v>0</v>
      </c>
      <c r="K44" t="n">
        <v>1</v>
      </c>
      <c r="L44" t="n">
        <v>0</v>
      </c>
      <c r="M44" t="n">
        <v>0</v>
      </c>
      <c r="N44" t="n">
        <v>0</v>
      </c>
      <c r="O44" t="n">
        <v>1</v>
      </c>
      <c r="P44" t="n">
        <v>1</v>
      </c>
      <c r="Q44" t="n">
        <v>2</v>
      </c>
      <c r="R44" s="2" t="inlineStr">
        <is>
          <t>Knärot
Grönpyrola</t>
        </is>
      </c>
      <c r="S44">
        <f>HYPERLINK("https://klasma.github.io/Logging_0580/artfynd/A 11613-2025 artfynd.xlsx", "A 11613-2025")</f>
        <v/>
      </c>
      <c r="T44">
        <f>HYPERLINK("https://klasma.github.io/Logging_0580/kartor/A 11613-2025 karta.png", "A 11613-2025")</f>
        <v/>
      </c>
      <c r="U44">
        <f>HYPERLINK("https://klasma.github.io/Logging_0580/knärot/A 11613-2025 karta knärot.png", "A 11613-2025")</f>
        <v/>
      </c>
      <c r="V44">
        <f>HYPERLINK("https://klasma.github.io/Logging_0580/klagomål/A 11613-2025 FSC-klagomål.docx", "A 11613-2025")</f>
        <v/>
      </c>
      <c r="W44">
        <f>HYPERLINK("https://klasma.github.io/Logging_0580/klagomålsmail/A 11613-2025 FSC-klagomål mail.docx", "A 11613-2025")</f>
        <v/>
      </c>
      <c r="X44">
        <f>HYPERLINK("https://klasma.github.io/Logging_0580/tillsyn/A 11613-2025 tillsynsbegäran.docx", "A 11613-2025")</f>
        <v/>
      </c>
      <c r="Y44">
        <f>HYPERLINK("https://klasma.github.io/Logging_0580/tillsynsmail/A 11613-2025 tillsynsbegäran mail.docx", "A 11613-2025")</f>
        <v/>
      </c>
    </row>
    <row r="45" ht="15" customHeight="1">
      <c r="A45" t="inlineStr">
        <is>
          <t>A 50048-2025</t>
        </is>
      </c>
      <c r="B45" s="1" t="n">
        <v>45941</v>
      </c>
      <c r="C45" s="1" t="n">
        <v>46094</v>
      </c>
      <c r="D45" t="inlineStr">
        <is>
          <t>ÖSTERGÖTLANDS LÄN</t>
        </is>
      </c>
      <c r="E45" t="inlineStr">
        <is>
          <t>LINKÖPING</t>
        </is>
      </c>
      <c r="G45" t="n">
        <v>2.4</v>
      </c>
      <c r="H45" t="n">
        <v>2</v>
      </c>
      <c r="I45" t="n">
        <v>0</v>
      </c>
      <c r="J45" t="n">
        <v>1</v>
      </c>
      <c r="K45" t="n">
        <v>0</v>
      </c>
      <c r="L45" t="n">
        <v>0</v>
      </c>
      <c r="M45" t="n">
        <v>0</v>
      </c>
      <c r="N45" t="n">
        <v>0</v>
      </c>
      <c r="O45" t="n">
        <v>1</v>
      </c>
      <c r="P45" t="n">
        <v>0</v>
      </c>
      <c r="Q45" t="n">
        <v>2</v>
      </c>
      <c r="R45" s="2" t="inlineStr">
        <is>
          <t>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3912-2026</t>
        </is>
      </c>
      <c r="B46" s="1" t="n">
        <v>46043.71958333333</v>
      </c>
      <c r="C46" s="1" t="n">
        <v>46094</v>
      </c>
      <c r="D46" t="inlineStr">
        <is>
          <t>ÖSTERGÖTLANDS LÄN</t>
        </is>
      </c>
      <c r="E46" t="inlineStr">
        <is>
          <t>LINKÖPING</t>
        </is>
      </c>
      <c r="F46" t="inlineStr">
        <is>
          <t>Kyrkan</t>
        </is>
      </c>
      <c r="G46" t="n">
        <v>6.8</v>
      </c>
      <c r="H46" t="n">
        <v>1</v>
      </c>
      <c r="I46" t="n">
        <v>1</v>
      </c>
      <c r="J46" t="n">
        <v>0</v>
      </c>
      <c r="K46" t="n">
        <v>1</v>
      </c>
      <c r="L46" t="n">
        <v>0</v>
      </c>
      <c r="M46" t="n">
        <v>0</v>
      </c>
      <c r="N46" t="n">
        <v>0</v>
      </c>
      <c r="O46" t="n">
        <v>1</v>
      </c>
      <c r="P46" t="n">
        <v>1</v>
      </c>
      <c r="Q46" t="n">
        <v>2</v>
      </c>
      <c r="R46" s="2" t="inlineStr">
        <is>
          <t>Knärot
Grönpyrola</t>
        </is>
      </c>
      <c r="S46">
        <f>HYPERLINK("https://klasma.github.io/Logging_0580/artfynd/A 3912-2026 artfynd.xlsx", "A 3912-2026")</f>
        <v/>
      </c>
      <c r="T46">
        <f>HYPERLINK("https://klasma.github.io/Logging_0580/kartor/A 3912-2026 karta.png", "A 3912-2026")</f>
        <v/>
      </c>
      <c r="U46">
        <f>HYPERLINK("https://klasma.github.io/Logging_0580/knärot/A 3912-2026 karta knärot.png", "A 3912-2026")</f>
        <v/>
      </c>
      <c r="V46">
        <f>HYPERLINK("https://klasma.github.io/Logging_0580/klagomål/A 3912-2026 FSC-klagomål.docx", "A 3912-2026")</f>
        <v/>
      </c>
      <c r="W46">
        <f>HYPERLINK("https://klasma.github.io/Logging_0580/klagomålsmail/A 3912-2026 FSC-klagomål mail.docx", "A 3912-2026")</f>
        <v/>
      </c>
      <c r="X46">
        <f>HYPERLINK("https://klasma.github.io/Logging_0580/tillsyn/A 3912-2026 tillsynsbegäran.docx", "A 3912-2026")</f>
        <v/>
      </c>
      <c r="Y46">
        <f>HYPERLINK("https://klasma.github.io/Logging_0580/tillsynsmail/A 3912-2026 tillsynsbegäran mail.docx", "A 3912-2026")</f>
        <v/>
      </c>
    </row>
    <row r="47" ht="15" customHeight="1">
      <c r="A47" t="inlineStr">
        <is>
          <t>A 12494-2026</t>
        </is>
      </c>
      <c r="B47" s="1" t="n">
        <v>46090.56896990741</v>
      </c>
      <c r="C47" s="1" t="n">
        <v>46094</v>
      </c>
      <c r="D47" t="inlineStr">
        <is>
          <t>ÖSTERGÖTLANDS LÄN</t>
        </is>
      </c>
      <c r="E47" t="inlineStr">
        <is>
          <t>LINKÖPING</t>
        </is>
      </c>
      <c r="G47" t="n">
        <v>3.4</v>
      </c>
      <c r="H47" t="n">
        <v>0</v>
      </c>
      <c r="I47" t="n">
        <v>0</v>
      </c>
      <c r="J47" t="n">
        <v>1</v>
      </c>
      <c r="K47" t="n">
        <v>1</v>
      </c>
      <c r="L47" t="n">
        <v>0</v>
      </c>
      <c r="M47" t="n">
        <v>0</v>
      </c>
      <c r="N47" t="n">
        <v>0</v>
      </c>
      <c r="O47" t="n">
        <v>2</v>
      </c>
      <c r="P47" t="n">
        <v>1</v>
      </c>
      <c r="Q47" t="n">
        <v>2</v>
      </c>
      <c r="R47" s="2" t="inlineStr">
        <is>
          <t>Slåttergubbe
Svinrot</t>
        </is>
      </c>
      <c r="S47">
        <f>HYPERLINK("https://klasma.github.io/Logging_0580/artfynd/A 12494-2026 artfynd.xlsx", "A 12494-2026")</f>
        <v/>
      </c>
      <c r="T47">
        <f>HYPERLINK("https://klasma.github.io/Logging_0580/kartor/A 12494-2026 karta.png", "A 12494-2026")</f>
        <v/>
      </c>
      <c r="V47">
        <f>HYPERLINK("https://klasma.github.io/Logging_0580/klagomål/A 12494-2026 FSC-klagomål.docx", "A 12494-2026")</f>
        <v/>
      </c>
      <c r="W47">
        <f>HYPERLINK("https://klasma.github.io/Logging_0580/klagomålsmail/A 12494-2026 FSC-klagomål mail.docx", "A 12494-2026")</f>
        <v/>
      </c>
      <c r="X47">
        <f>HYPERLINK("https://klasma.github.io/Logging_0580/tillsyn/A 12494-2026 tillsynsbegäran.docx", "A 12494-2026")</f>
        <v/>
      </c>
      <c r="Y47">
        <f>HYPERLINK("https://klasma.github.io/Logging_0580/tillsynsmail/A 12494-2026 tillsynsbegäran mail.docx", "A 12494-2026")</f>
        <v/>
      </c>
    </row>
    <row r="48" ht="15" customHeight="1">
      <c r="A48" t="inlineStr">
        <is>
          <t>A 38129-2021</t>
        </is>
      </c>
      <c r="B48" s="1" t="n">
        <v>44405.37199074074</v>
      </c>
      <c r="C48" s="1" t="n">
        <v>46094</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56250-2021</t>
        </is>
      </c>
      <c r="B49" s="1" t="n">
        <v>44479</v>
      </c>
      <c r="C49" s="1" t="n">
        <v>46094</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46496-2022</t>
        </is>
      </c>
      <c r="B50" s="1" t="n">
        <v>44848</v>
      </c>
      <c r="C50" s="1" t="n">
        <v>46094</v>
      </c>
      <c r="D50" t="inlineStr">
        <is>
          <t>ÖSTERGÖTLANDS LÄN</t>
        </is>
      </c>
      <c r="E50" t="inlineStr">
        <is>
          <t>LINKÖPING</t>
        </is>
      </c>
      <c r="G50" t="n">
        <v>1.1</v>
      </c>
      <c r="H50" t="n">
        <v>0</v>
      </c>
      <c r="I50" t="n">
        <v>0</v>
      </c>
      <c r="J50" t="n">
        <v>1</v>
      </c>
      <c r="K50" t="n">
        <v>0</v>
      </c>
      <c r="L50" t="n">
        <v>0</v>
      </c>
      <c r="M50" t="n">
        <v>0</v>
      </c>
      <c r="N50" t="n">
        <v>0</v>
      </c>
      <c r="O50" t="n">
        <v>1</v>
      </c>
      <c r="P50" t="n">
        <v>0</v>
      </c>
      <c r="Q50" t="n">
        <v>1</v>
      </c>
      <c r="R50" s="2" t="inlineStr">
        <is>
          <t>Bredbrämad bastardsvärmare</t>
        </is>
      </c>
      <c r="S50">
        <f>HYPERLINK("https://klasma.github.io/Logging_0580/artfynd/A 46496-2022 artfynd.xlsx", "A 46496-2022")</f>
        <v/>
      </c>
      <c r="T50">
        <f>HYPERLINK("https://klasma.github.io/Logging_0580/kartor/A 46496-2022 karta.png", "A 46496-2022")</f>
        <v/>
      </c>
      <c r="V50">
        <f>HYPERLINK("https://klasma.github.io/Logging_0580/klagomål/A 46496-2022 FSC-klagomål.docx", "A 46496-2022")</f>
        <v/>
      </c>
      <c r="W50">
        <f>HYPERLINK("https://klasma.github.io/Logging_0580/klagomålsmail/A 46496-2022 FSC-klagomål mail.docx", "A 46496-2022")</f>
        <v/>
      </c>
      <c r="X50">
        <f>HYPERLINK("https://klasma.github.io/Logging_0580/tillsyn/A 46496-2022 tillsynsbegäran.docx", "A 46496-2022")</f>
        <v/>
      </c>
      <c r="Y50">
        <f>HYPERLINK("https://klasma.github.io/Logging_0580/tillsynsmail/A 46496-2022 tillsynsbegäran mail.docx", "A 46496-2022")</f>
        <v/>
      </c>
    </row>
    <row r="51" ht="15" customHeight="1">
      <c r="A51" t="inlineStr">
        <is>
          <t>A 43017-2021</t>
        </is>
      </c>
      <c r="B51" s="1" t="n">
        <v>44431</v>
      </c>
      <c r="C51" s="1" t="n">
        <v>46094</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71127-2021</t>
        </is>
      </c>
      <c r="B52" s="1" t="n">
        <v>44537</v>
      </c>
      <c r="C52" s="1" t="n">
        <v>46094</v>
      </c>
      <c r="D52" t="inlineStr">
        <is>
          <t>ÖSTERGÖTLANDS LÄN</t>
        </is>
      </c>
      <c r="E52" t="inlineStr">
        <is>
          <t>LINKÖPING</t>
        </is>
      </c>
      <c r="F52" t="inlineStr">
        <is>
          <t>Kommuner</t>
        </is>
      </c>
      <c r="G52" t="n">
        <v>7.2</v>
      </c>
      <c r="H52" t="n">
        <v>0</v>
      </c>
      <c r="I52" t="n">
        <v>0</v>
      </c>
      <c r="J52" t="n">
        <v>1</v>
      </c>
      <c r="K52" t="n">
        <v>0</v>
      </c>
      <c r="L52" t="n">
        <v>0</v>
      </c>
      <c r="M52" t="n">
        <v>0</v>
      </c>
      <c r="N52" t="n">
        <v>0</v>
      </c>
      <c r="O52" t="n">
        <v>1</v>
      </c>
      <c r="P52" t="n">
        <v>0</v>
      </c>
      <c r="Q52" t="n">
        <v>1</v>
      </c>
      <c r="R52" s="2" t="inlineStr">
        <is>
          <t>Svinrot</t>
        </is>
      </c>
      <c r="S52">
        <f>HYPERLINK("https://klasma.github.io/Logging_0580/artfynd/A 71127-2021 artfynd.xlsx", "A 71127-2021")</f>
        <v/>
      </c>
      <c r="T52">
        <f>HYPERLINK("https://klasma.github.io/Logging_0580/kartor/A 71127-2021 karta.png", "A 71127-2021")</f>
        <v/>
      </c>
      <c r="V52">
        <f>HYPERLINK("https://klasma.github.io/Logging_0580/klagomål/A 71127-2021 FSC-klagomål.docx", "A 71127-2021")</f>
        <v/>
      </c>
      <c r="W52">
        <f>HYPERLINK("https://klasma.github.io/Logging_0580/klagomålsmail/A 71127-2021 FSC-klagomål mail.docx", "A 71127-2021")</f>
        <v/>
      </c>
      <c r="X52">
        <f>HYPERLINK("https://klasma.github.io/Logging_0580/tillsyn/A 71127-2021 tillsynsbegäran.docx", "A 71127-2021")</f>
        <v/>
      </c>
      <c r="Y52">
        <f>HYPERLINK("https://klasma.github.io/Logging_0580/tillsynsmail/A 71127-2021 tillsynsbegäran mail.docx", "A 71127-2021")</f>
        <v/>
      </c>
    </row>
    <row r="53" ht="15" customHeight="1">
      <c r="A53" t="inlineStr">
        <is>
          <t>A 126-2024</t>
        </is>
      </c>
      <c r="B53" s="1" t="n">
        <v>45294</v>
      </c>
      <c r="C53" s="1" t="n">
        <v>46094</v>
      </c>
      <c r="D53" t="inlineStr">
        <is>
          <t>ÖSTERGÖTLANDS LÄN</t>
        </is>
      </c>
      <c r="E53" t="inlineStr">
        <is>
          <t>LINKÖPING</t>
        </is>
      </c>
      <c r="G53" t="n">
        <v>1</v>
      </c>
      <c r="H53" t="n">
        <v>0</v>
      </c>
      <c r="I53" t="n">
        <v>1</v>
      </c>
      <c r="J53" t="n">
        <v>0</v>
      </c>
      <c r="K53" t="n">
        <v>0</v>
      </c>
      <c r="L53" t="n">
        <v>0</v>
      </c>
      <c r="M53" t="n">
        <v>0</v>
      </c>
      <c r="N53" t="n">
        <v>0</v>
      </c>
      <c r="O53" t="n">
        <v>0</v>
      </c>
      <c r="P53" t="n">
        <v>0</v>
      </c>
      <c r="Q53" t="n">
        <v>1</v>
      </c>
      <c r="R53" s="2" t="inlineStr">
        <is>
          <t>Blåmossa</t>
        </is>
      </c>
      <c r="S53">
        <f>HYPERLINK("https://klasma.github.io/Logging_0580/artfynd/A 126-2024 artfynd.xlsx", "A 126-2024")</f>
        <v/>
      </c>
      <c r="T53">
        <f>HYPERLINK("https://klasma.github.io/Logging_0580/kartor/A 126-2024 karta.png", "A 126-2024")</f>
        <v/>
      </c>
      <c r="V53">
        <f>HYPERLINK("https://klasma.github.io/Logging_0580/klagomål/A 126-2024 FSC-klagomål.docx", "A 126-2024")</f>
        <v/>
      </c>
      <c r="W53">
        <f>HYPERLINK("https://klasma.github.io/Logging_0580/klagomålsmail/A 126-2024 FSC-klagomål mail.docx", "A 126-2024")</f>
        <v/>
      </c>
      <c r="X53">
        <f>HYPERLINK("https://klasma.github.io/Logging_0580/tillsyn/A 126-2024 tillsynsbegäran.docx", "A 126-2024")</f>
        <v/>
      </c>
      <c r="Y53">
        <f>HYPERLINK("https://klasma.github.io/Logging_0580/tillsynsmail/A 126-2024 tillsynsbegäran mail.docx", "A 126-2024")</f>
        <v/>
      </c>
    </row>
    <row r="54" ht="15" customHeight="1">
      <c r="A54" t="inlineStr">
        <is>
          <t>A 931-2025</t>
        </is>
      </c>
      <c r="B54" s="1" t="n">
        <v>45665.88498842593</v>
      </c>
      <c r="C54" s="1" t="n">
        <v>46094</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46094</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46094</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46094</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60573-2021</t>
        </is>
      </c>
      <c r="B58" s="1" t="n">
        <v>44496</v>
      </c>
      <c r="C58" s="1" t="n">
        <v>46094</v>
      </c>
      <c r="D58" t="inlineStr">
        <is>
          <t>ÖSTERGÖTLANDS LÄN</t>
        </is>
      </c>
      <c r="E58" t="inlineStr">
        <is>
          <t>LINKÖPING</t>
        </is>
      </c>
      <c r="F58" t="inlineStr">
        <is>
          <t>Övriga Aktiebolag</t>
        </is>
      </c>
      <c r="G58" t="n">
        <v>5.6</v>
      </c>
      <c r="H58" t="n">
        <v>0</v>
      </c>
      <c r="I58" t="n">
        <v>0</v>
      </c>
      <c r="J58" t="n">
        <v>1</v>
      </c>
      <c r="K58" t="n">
        <v>0</v>
      </c>
      <c r="L58" t="n">
        <v>0</v>
      </c>
      <c r="M58" t="n">
        <v>0</v>
      </c>
      <c r="N58" t="n">
        <v>0</v>
      </c>
      <c r="O58" t="n">
        <v>1</v>
      </c>
      <c r="P58" t="n">
        <v>0</v>
      </c>
      <c r="Q58" t="n">
        <v>1</v>
      </c>
      <c r="R58" s="2" t="inlineStr">
        <is>
          <t>Sommarfibbla</t>
        </is>
      </c>
      <c r="S58">
        <f>HYPERLINK("https://klasma.github.io/Logging_0580/artfynd/A 60573-2021 artfynd.xlsx", "A 60573-2021")</f>
        <v/>
      </c>
      <c r="T58">
        <f>HYPERLINK("https://klasma.github.io/Logging_0580/kartor/A 60573-2021 karta.png", "A 60573-2021")</f>
        <v/>
      </c>
      <c r="V58">
        <f>HYPERLINK("https://klasma.github.io/Logging_0580/klagomål/A 60573-2021 FSC-klagomål.docx", "A 60573-2021")</f>
        <v/>
      </c>
      <c r="W58">
        <f>HYPERLINK("https://klasma.github.io/Logging_0580/klagomålsmail/A 60573-2021 FSC-klagomål mail.docx", "A 60573-2021")</f>
        <v/>
      </c>
      <c r="X58">
        <f>HYPERLINK("https://klasma.github.io/Logging_0580/tillsyn/A 60573-2021 tillsynsbegäran.docx", "A 60573-2021")</f>
        <v/>
      </c>
      <c r="Y58">
        <f>HYPERLINK("https://klasma.github.io/Logging_0580/tillsynsmail/A 60573-2021 tillsynsbegäran mail.docx", "A 60573-2021")</f>
        <v/>
      </c>
    </row>
    <row r="59" ht="15" customHeight="1">
      <c r="A59" t="inlineStr">
        <is>
          <t>A 41749-2023</t>
        </is>
      </c>
      <c r="B59" s="1" t="n">
        <v>45176</v>
      </c>
      <c r="C59" s="1" t="n">
        <v>46094</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14096-2021</t>
        </is>
      </c>
      <c r="B60" s="1" t="n">
        <v>44278</v>
      </c>
      <c r="C60" s="1" t="n">
        <v>46094</v>
      </c>
      <c r="D60" t="inlineStr">
        <is>
          <t>ÖSTERGÖTLANDS LÄN</t>
        </is>
      </c>
      <c r="E60" t="inlineStr">
        <is>
          <t>LINKÖPING</t>
        </is>
      </c>
      <c r="G60" t="n">
        <v>1.7</v>
      </c>
      <c r="H60" t="n">
        <v>0</v>
      </c>
      <c r="I60" t="n">
        <v>0</v>
      </c>
      <c r="J60" t="n">
        <v>1</v>
      </c>
      <c r="K60" t="n">
        <v>0</v>
      </c>
      <c r="L60" t="n">
        <v>0</v>
      </c>
      <c r="M60" t="n">
        <v>0</v>
      </c>
      <c r="N60" t="n">
        <v>0</v>
      </c>
      <c r="O60" t="n">
        <v>1</v>
      </c>
      <c r="P60" t="n">
        <v>0</v>
      </c>
      <c r="Q60" t="n">
        <v>1</v>
      </c>
      <c r="R60" s="2" t="inlineStr">
        <is>
          <t>Vedtrappmossa</t>
        </is>
      </c>
      <c r="S60">
        <f>HYPERLINK("https://klasma.github.io/Logging_0580/artfynd/A 14096-2021 artfynd.xlsx", "A 14096-2021")</f>
        <v/>
      </c>
      <c r="T60">
        <f>HYPERLINK("https://klasma.github.io/Logging_0580/kartor/A 14096-2021 karta.png", "A 14096-2021")</f>
        <v/>
      </c>
      <c r="V60">
        <f>HYPERLINK("https://klasma.github.io/Logging_0580/klagomål/A 14096-2021 FSC-klagomål.docx", "A 14096-2021")</f>
        <v/>
      </c>
      <c r="W60">
        <f>HYPERLINK("https://klasma.github.io/Logging_0580/klagomålsmail/A 14096-2021 FSC-klagomål mail.docx", "A 14096-2021")</f>
        <v/>
      </c>
      <c r="X60">
        <f>HYPERLINK("https://klasma.github.io/Logging_0580/tillsyn/A 14096-2021 tillsynsbegäran.docx", "A 14096-2021")</f>
        <v/>
      </c>
      <c r="Y60">
        <f>HYPERLINK("https://klasma.github.io/Logging_0580/tillsynsmail/A 14096-2021 tillsynsbegäran mail.docx", "A 14096-2021")</f>
        <v/>
      </c>
    </row>
    <row r="61" ht="15" customHeight="1">
      <c r="A61" t="inlineStr">
        <is>
          <t>A 59948-2022</t>
        </is>
      </c>
      <c r="B61" s="1" t="n">
        <v>44909</v>
      </c>
      <c r="C61" s="1" t="n">
        <v>46094</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17513-2022</t>
        </is>
      </c>
      <c r="B62" s="1" t="n">
        <v>44679</v>
      </c>
      <c r="C62" s="1" t="n">
        <v>46094</v>
      </c>
      <c r="D62" t="inlineStr">
        <is>
          <t>ÖSTERGÖTLANDS LÄN</t>
        </is>
      </c>
      <c r="E62" t="inlineStr">
        <is>
          <t>LINKÖPING</t>
        </is>
      </c>
      <c r="F62" t="inlineStr">
        <is>
          <t>Kommuner</t>
        </is>
      </c>
      <c r="G62" t="n">
        <v>1.6</v>
      </c>
      <c r="H62" t="n">
        <v>0</v>
      </c>
      <c r="I62" t="n">
        <v>0</v>
      </c>
      <c r="J62" t="n">
        <v>1</v>
      </c>
      <c r="K62" t="n">
        <v>0</v>
      </c>
      <c r="L62" t="n">
        <v>0</v>
      </c>
      <c r="M62" t="n">
        <v>0</v>
      </c>
      <c r="N62" t="n">
        <v>0</v>
      </c>
      <c r="O62" t="n">
        <v>1</v>
      </c>
      <c r="P62" t="n">
        <v>0</v>
      </c>
      <c r="Q62" t="n">
        <v>1</v>
      </c>
      <c r="R62" s="2" t="inlineStr">
        <is>
          <t>Sexfläckig bastardsvärmare</t>
        </is>
      </c>
      <c r="S62">
        <f>HYPERLINK("https://klasma.github.io/Logging_0580/artfynd/A 17513-2022 artfynd.xlsx", "A 17513-2022")</f>
        <v/>
      </c>
      <c r="T62">
        <f>HYPERLINK("https://klasma.github.io/Logging_0580/kartor/A 17513-2022 karta.png", "A 17513-2022")</f>
        <v/>
      </c>
      <c r="V62">
        <f>HYPERLINK("https://klasma.github.io/Logging_0580/klagomål/A 17513-2022 FSC-klagomål.docx", "A 17513-2022")</f>
        <v/>
      </c>
      <c r="W62">
        <f>HYPERLINK("https://klasma.github.io/Logging_0580/klagomålsmail/A 17513-2022 FSC-klagomål mail.docx", "A 17513-2022")</f>
        <v/>
      </c>
      <c r="X62">
        <f>HYPERLINK("https://klasma.github.io/Logging_0580/tillsyn/A 17513-2022 tillsynsbegäran.docx", "A 17513-2022")</f>
        <v/>
      </c>
      <c r="Y62">
        <f>HYPERLINK("https://klasma.github.io/Logging_0580/tillsynsmail/A 17513-2022 tillsynsbegäran mail.docx", "A 17513-2022")</f>
        <v/>
      </c>
    </row>
    <row r="63" ht="15" customHeight="1">
      <c r="A63" t="inlineStr">
        <is>
          <t>A 22526-2025</t>
        </is>
      </c>
      <c r="B63" s="1" t="n">
        <v>45786.78096064815</v>
      </c>
      <c r="C63" s="1" t="n">
        <v>46094</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27403-2025</t>
        </is>
      </c>
      <c r="B64" s="1" t="n">
        <v>45812.72518518518</v>
      </c>
      <c r="C64" s="1" t="n">
        <v>46094</v>
      </c>
      <c r="D64" t="inlineStr">
        <is>
          <t>ÖSTERGÖTLANDS LÄN</t>
        </is>
      </c>
      <c r="E64" t="inlineStr">
        <is>
          <t>LINKÖPING</t>
        </is>
      </c>
      <c r="G64" t="n">
        <v>1.4</v>
      </c>
      <c r="H64" t="n">
        <v>0</v>
      </c>
      <c r="I64" t="n">
        <v>0</v>
      </c>
      <c r="J64" t="n">
        <v>1</v>
      </c>
      <c r="K64" t="n">
        <v>0</v>
      </c>
      <c r="L64" t="n">
        <v>0</v>
      </c>
      <c r="M64" t="n">
        <v>0</v>
      </c>
      <c r="N64" t="n">
        <v>0</v>
      </c>
      <c r="O64" t="n">
        <v>1</v>
      </c>
      <c r="P64" t="n">
        <v>0</v>
      </c>
      <c r="Q64" t="n">
        <v>1</v>
      </c>
      <c r="R64" s="2" t="inlineStr">
        <is>
          <t>Tallticka</t>
        </is>
      </c>
      <c r="S64">
        <f>HYPERLINK("https://klasma.github.io/Logging_0580/artfynd/A 27403-2025 artfynd.xlsx", "A 27403-2025")</f>
        <v/>
      </c>
      <c r="T64">
        <f>HYPERLINK("https://klasma.github.io/Logging_0580/kartor/A 27403-2025 karta.png", "A 27403-2025")</f>
        <v/>
      </c>
      <c r="V64">
        <f>HYPERLINK("https://klasma.github.io/Logging_0580/klagomål/A 27403-2025 FSC-klagomål.docx", "A 27403-2025")</f>
        <v/>
      </c>
      <c r="W64">
        <f>HYPERLINK("https://klasma.github.io/Logging_0580/klagomålsmail/A 27403-2025 FSC-klagomål mail.docx", "A 27403-2025")</f>
        <v/>
      </c>
      <c r="X64">
        <f>HYPERLINK("https://klasma.github.io/Logging_0580/tillsyn/A 27403-2025 tillsynsbegäran.docx", "A 27403-2025")</f>
        <v/>
      </c>
      <c r="Y64">
        <f>HYPERLINK("https://klasma.github.io/Logging_0580/tillsynsmail/A 27403-2025 tillsynsbegäran mail.docx", "A 27403-2025")</f>
        <v/>
      </c>
    </row>
    <row r="65" ht="15" customHeight="1">
      <c r="A65" t="inlineStr">
        <is>
          <t>A 37683-2024</t>
        </is>
      </c>
      <c r="B65" s="1" t="n">
        <v>45541.59120370371</v>
      </c>
      <c r="C65" s="1" t="n">
        <v>46094</v>
      </c>
      <c r="D65" t="inlineStr">
        <is>
          <t>ÖSTERGÖTLANDS LÄN</t>
        </is>
      </c>
      <c r="E65" t="inlineStr">
        <is>
          <t>LINKÖPING</t>
        </is>
      </c>
      <c r="G65" t="n">
        <v>0.6</v>
      </c>
      <c r="H65" t="n">
        <v>0</v>
      </c>
      <c r="I65" t="n">
        <v>1</v>
      </c>
      <c r="J65" t="n">
        <v>0</v>
      </c>
      <c r="K65" t="n">
        <v>0</v>
      </c>
      <c r="L65" t="n">
        <v>0</v>
      </c>
      <c r="M65" t="n">
        <v>0</v>
      </c>
      <c r="N65" t="n">
        <v>0</v>
      </c>
      <c r="O65" t="n">
        <v>0</v>
      </c>
      <c r="P65" t="n">
        <v>0</v>
      </c>
      <c r="Q65" t="n">
        <v>1</v>
      </c>
      <c r="R65" s="2" t="inlineStr">
        <is>
          <t>Tibast</t>
        </is>
      </c>
      <c r="S65">
        <f>HYPERLINK("https://klasma.github.io/Logging_0580/artfynd/A 37683-2024 artfynd.xlsx", "A 37683-2024")</f>
        <v/>
      </c>
      <c r="T65">
        <f>HYPERLINK("https://klasma.github.io/Logging_0580/kartor/A 37683-2024 karta.png", "A 37683-2024")</f>
        <v/>
      </c>
      <c r="V65">
        <f>HYPERLINK("https://klasma.github.io/Logging_0580/klagomål/A 37683-2024 FSC-klagomål.docx", "A 37683-2024")</f>
        <v/>
      </c>
      <c r="W65">
        <f>HYPERLINK("https://klasma.github.io/Logging_0580/klagomålsmail/A 37683-2024 FSC-klagomål mail.docx", "A 37683-2024")</f>
        <v/>
      </c>
      <c r="X65">
        <f>HYPERLINK("https://klasma.github.io/Logging_0580/tillsyn/A 37683-2024 tillsynsbegäran.docx", "A 37683-2024")</f>
        <v/>
      </c>
      <c r="Y65">
        <f>HYPERLINK("https://klasma.github.io/Logging_0580/tillsynsmail/A 37683-2024 tillsynsbegäran mail.docx", "A 37683-2024")</f>
        <v/>
      </c>
    </row>
    <row r="66" ht="15" customHeight="1">
      <c r="A66" t="inlineStr">
        <is>
          <t>A 29393-2025</t>
        </is>
      </c>
      <c r="B66" s="1" t="n">
        <v>45824.6057175926</v>
      </c>
      <c r="C66" s="1" t="n">
        <v>46094</v>
      </c>
      <c r="D66" t="inlineStr">
        <is>
          <t>ÖSTERGÖTLANDS LÄN</t>
        </is>
      </c>
      <c r="E66" t="inlineStr">
        <is>
          <t>LINKÖPING</t>
        </is>
      </c>
      <c r="F66" t="inlineStr">
        <is>
          <t>Sveaskog</t>
        </is>
      </c>
      <c r="G66" t="n">
        <v>24.6</v>
      </c>
      <c r="H66" t="n">
        <v>1</v>
      </c>
      <c r="I66" t="n">
        <v>0</v>
      </c>
      <c r="J66" t="n">
        <v>0</v>
      </c>
      <c r="K66" t="n">
        <v>1</v>
      </c>
      <c r="L66" t="n">
        <v>0</v>
      </c>
      <c r="M66" t="n">
        <v>0</v>
      </c>
      <c r="N66" t="n">
        <v>0</v>
      </c>
      <c r="O66" t="n">
        <v>1</v>
      </c>
      <c r="P66" t="n">
        <v>1</v>
      </c>
      <c r="Q66" t="n">
        <v>1</v>
      </c>
      <c r="R66" s="2" t="inlineStr">
        <is>
          <t>Skogsgås</t>
        </is>
      </c>
      <c r="S66">
        <f>HYPERLINK("https://klasma.github.io/Logging_0580/artfynd/A 29393-2025 artfynd.xlsx", "A 29393-2025")</f>
        <v/>
      </c>
      <c r="T66">
        <f>HYPERLINK("https://klasma.github.io/Logging_0580/kartor/A 29393-2025 karta.png", "A 29393-2025")</f>
        <v/>
      </c>
      <c r="V66">
        <f>HYPERLINK("https://klasma.github.io/Logging_0580/klagomål/A 29393-2025 FSC-klagomål.docx", "A 29393-2025")</f>
        <v/>
      </c>
      <c r="W66">
        <f>HYPERLINK("https://klasma.github.io/Logging_0580/klagomålsmail/A 29393-2025 FSC-klagomål mail.docx", "A 29393-2025")</f>
        <v/>
      </c>
      <c r="X66">
        <f>HYPERLINK("https://klasma.github.io/Logging_0580/tillsyn/A 29393-2025 tillsynsbegäran.docx", "A 29393-2025")</f>
        <v/>
      </c>
      <c r="Y66">
        <f>HYPERLINK("https://klasma.github.io/Logging_0580/tillsynsmail/A 29393-2025 tillsynsbegäran mail.docx", "A 29393-2025")</f>
        <v/>
      </c>
      <c r="Z66">
        <f>HYPERLINK("https://klasma.github.io/Logging_0580/fåglar/A 29393-2025 prioriterade fågelarter.docx", "A 29393-2025")</f>
        <v/>
      </c>
    </row>
    <row r="67" ht="15" customHeight="1">
      <c r="A67" t="inlineStr">
        <is>
          <t>A 3395-2023</t>
        </is>
      </c>
      <c r="B67" s="1" t="n">
        <v>44949</v>
      </c>
      <c r="C67" s="1" t="n">
        <v>46094</v>
      </c>
      <c r="D67" t="inlineStr">
        <is>
          <t>ÖSTERGÖTLANDS LÄN</t>
        </is>
      </c>
      <c r="E67" t="inlineStr">
        <is>
          <t>LINKÖPING</t>
        </is>
      </c>
      <c r="G67" t="n">
        <v>2</v>
      </c>
      <c r="H67" t="n">
        <v>0</v>
      </c>
      <c r="I67" t="n">
        <v>0</v>
      </c>
      <c r="J67" t="n">
        <v>1</v>
      </c>
      <c r="K67" t="n">
        <v>0</v>
      </c>
      <c r="L67" t="n">
        <v>0</v>
      </c>
      <c r="M67" t="n">
        <v>0</v>
      </c>
      <c r="N67" t="n">
        <v>0</v>
      </c>
      <c r="O67" t="n">
        <v>1</v>
      </c>
      <c r="P67" t="n">
        <v>0</v>
      </c>
      <c r="Q67" t="n">
        <v>1</v>
      </c>
      <c r="R67" s="2" t="inlineStr">
        <is>
          <t>Sommarfibbla</t>
        </is>
      </c>
      <c r="S67">
        <f>HYPERLINK("https://klasma.github.io/Logging_0580/artfynd/A 3395-2023 artfynd.xlsx", "A 3395-2023")</f>
        <v/>
      </c>
      <c r="T67">
        <f>HYPERLINK("https://klasma.github.io/Logging_0580/kartor/A 3395-2023 karta.png", "A 3395-2023")</f>
        <v/>
      </c>
      <c r="V67">
        <f>HYPERLINK("https://klasma.github.io/Logging_0580/klagomål/A 3395-2023 FSC-klagomål.docx", "A 3395-2023")</f>
        <v/>
      </c>
      <c r="W67">
        <f>HYPERLINK("https://klasma.github.io/Logging_0580/klagomålsmail/A 3395-2023 FSC-klagomål mail.docx", "A 3395-2023")</f>
        <v/>
      </c>
      <c r="X67">
        <f>HYPERLINK("https://klasma.github.io/Logging_0580/tillsyn/A 3395-2023 tillsynsbegäran.docx", "A 3395-2023")</f>
        <v/>
      </c>
      <c r="Y67">
        <f>HYPERLINK("https://klasma.github.io/Logging_0580/tillsynsmail/A 3395-2023 tillsynsbegäran mail.docx", "A 3395-2023")</f>
        <v/>
      </c>
    </row>
    <row r="68" ht="15" customHeight="1">
      <c r="A68" t="inlineStr">
        <is>
          <t>A 19103-2021</t>
        </is>
      </c>
      <c r="B68" s="1" t="n">
        <v>44308</v>
      </c>
      <c r="C68" s="1" t="n">
        <v>46094</v>
      </c>
      <c r="D68" t="inlineStr">
        <is>
          <t>ÖSTERGÖTLANDS LÄN</t>
        </is>
      </c>
      <c r="E68" t="inlineStr">
        <is>
          <t>LINKÖPING</t>
        </is>
      </c>
      <c r="G68" t="n">
        <v>4.7</v>
      </c>
      <c r="H68" t="n">
        <v>0</v>
      </c>
      <c r="I68" t="n">
        <v>0</v>
      </c>
      <c r="J68" t="n">
        <v>1</v>
      </c>
      <c r="K68" t="n">
        <v>0</v>
      </c>
      <c r="L68" t="n">
        <v>0</v>
      </c>
      <c r="M68" t="n">
        <v>0</v>
      </c>
      <c r="N68" t="n">
        <v>0</v>
      </c>
      <c r="O68" t="n">
        <v>1</v>
      </c>
      <c r="P68" t="n">
        <v>0</v>
      </c>
      <c r="Q68" t="n">
        <v>1</v>
      </c>
      <c r="R68" s="2" t="inlineStr">
        <is>
          <t>Tallticka</t>
        </is>
      </c>
      <c r="S68">
        <f>HYPERLINK("https://klasma.github.io/Logging_0580/artfynd/A 19103-2021 artfynd.xlsx", "A 19103-2021")</f>
        <v/>
      </c>
      <c r="T68">
        <f>HYPERLINK("https://klasma.github.io/Logging_0580/kartor/A 19103-2021 karta.png", "A 19103-2021")</f>
        <v/>
      </c>
      <c r="V68">
        <f>HYPERLINK("https://klasma.github.io/Logging_0580/klagomål/A 19103-2021 FSC-klagomål.docx", "A 19103-2021")</f>
        <v/>
      </c>
      <c r="W68">
        <f>HYPERLINK("https://klasma.github.io/Logging_0580/klagomålsmail/A 19103-2021 FSC-klagomål mail.docx", "A 19103-2021")</f>
        <v/>
      </c>
      <c r="X68">
        <f>HYPERLINK("https://klasma.github.io/Logging_0580/tillsyn/A 19103-2021 tillsynsbegäran.docx", "A 19103-2021")</f>
        <v/>
      </c>
      <c r="Y68">
        <f>HYPERLINK("https://klasma.github.io/Logging_0580/tillsynsmail/A 19103-2021 tillsynsbegäran mail.docx", "A 19103-2021")</f>
        <v/>
      </c>
    </row>
    <row r="69" ht="15" customHeight="1">
      <c r="A69" t="inlineStr">
        <is>
          <t>A 56651-2023</t>
        </is>
      </c>
      <c r="B69" s="1" t="n">
        <v>45243</v>
      </c>
      <c r="C69" s="1" t="n">
        <v>46094</v>
      </c>
      <c r="D69" t="inlineStr">
        <is>
          <t>ÖSTERGÖTLANDS LÄN</t>
        </is>
      </c>
      <c r="E69" t="inlineStr">
        <is>
          <t>LINKÖPING</t>
        </is>
      </c>
      <c r="F69" t="inlineStr">
        <is>
          <t>Övriga Aktiebolag</t>
        </is>
      </c>
      <c r="G69" t="n">
        <v>2.3</v>
      </c>
      <c r="H69" t="n">
        <v>0</v>
      </c>
      <c r="I69" t="n">
        <v>0</v>
      </c>
      <c r="J69" t="n">
        <v>1</v>
      </c>
      <c r="K69" t="n">
        <v>0</v>
      </c>
      <c r="L69" t="n">
        <v>0</v>
      </c>
      <c r="M69" t="n">
        <v>0</v>
      </c>
      <c r="N69" t="n">
        <v>0</v>
      </c>
      <c r="O69" t="n">
        <v>1</v>
      </c>
      <c r="P69" t="n">
        <v>0</v>
      </c>
      <c r="Q69" t="n">
        <v>1</v>
      </c>
      <c r="R69" s="2" t="inlineStr">
        <is>
          <t>Gul dropplav</t>
        </is>
      </c>
      <c r="S69">
        <f>HYPERLINK("https://klasma.github.io/Logging_0580/artfynd/A 56651-2023 artfynd.xlsx", "A 56651-2023")</f>
        <v/>
      </c>
      <c r="T69">
        <f>HYPERLINK("https://klasma.github.io/Logging_0580/kartor/A 56651-2023 karta.png", "A 56651-2023")</f>
        <v/>
      </c>
      <c r="V69">
        <f>HYPERLINK("https://klasma.github.io/Logging_0580/klagomål/A 56651-2023 FSC-klagomål.docx", "A 56651-2023")</f>
        <v/>
      </c>
      <c r="W69">
        <f>HYPERLINK("https://klasma.github.io/Logging_0580/klagomålsmail/A 56651-2023 FSC-klagomål mail.docx", "A 56651-2023")</f>
        <v/>
      </c>
      <c r="X69">
        <f>HYPERLINK("https://klasma.github.io/Logging_0580/tillsyn/A 56651-2023 tillsynsbegäran.docx", "A 56651-2023")</f>
        <v/>
      </c>
      <c r="Y69">
        <f>HYPERLINK("https://klasma.github.io/Logging_0580/tillsynsmail/A 56651-2023 tillsynsbegäran mail.docx", "A 56651-2023")</f>
        <v/>
      </c>
    </row>
    <row r="70" ht="15" customHeight="1">
      <c r="A70" t="inlineStr">
        <is>
          <t>A 17444-2025</t>
        </is>
      </c>
      <c r="B70" s="1" t="n">
        <v>45757.43452546297</v>
      </c>
      <c r="C70" s="1" t="n">
        <v>46094</v>
      </c>
      <c r="D70" t="inlineStr">
        <is>
          <t>ÖSTERGÖTLANDS LÄN</t>
        </is>
      </c>
      <c r="E70" t="inlineStr">
        <is>
          <t>LINKÖPING</t>
        </is>
      </c>
      <c r="G70" t="n">
        <v>1.3</v>
      </c>
      <c r="H70" t="n">
        <v>1</v>
      </c>
      <c r="I70" t="n">
        <v>0</v>
      </c>
      <c r="J70" t="n">
        <v>1</v>
      </c>
      <c r="K70" t="n">
        <v>0</v>
      </c>
      <c r="L70" t="n">
        <v>0</v>
      </c>
      <c r="M70" t="n">
        <v>0</v>
      </c>
      <c r="N70" t="n">
        <v>0</v>
      </c>
      <c r="O70" t="n">
        <v>1</v>
      </c>
      <c r="P70" t="n">
        <v>0</v>
      </c>
      <c r="Q70" t="n">
        <v>1</v>
      </c>
      <c r="R70" s="2" t="inlineStr">
        <is>
          <t>Dårgräsfjäril</t>
        </is>
      </c>
      <c r="S70">
        <f>HYPERLINK("https://klasma.github.io/Logging_0580/artfynd/A 17444-2025 artfynd.xlsx", "A 17444-2025")</f>
        <v/>
      </c>
      <c r="T70">
        <f>HYPERLINK("https://klasma.github.io/Logging_0580/kartor/A 17444-2025 karta.png", "A 17444-2025")</f>
        <v/>
      </c>
      <c r="V70">
        <f>HYPERLINK("https://klasma.github.io/Logging_0580/klagomål/A 17444-2025 FSC-klagomål.docx", "A 17444-2025")</f>
        <v/>
      </c>
      <c r="W70">
        <f>HYPERLINK("https://klasma.github.io/Logging_0580/klagomålsmail/A 17444-2025 FSC-klagomål mail.docx", "A 17444-2025")</f>
        <v/>
      </c>
      <c r="X70">
        <f>HYPERLINK("https://klasma.github.io/Logging_0580/tillsyn/A 17444-2025 tillsynsbegäran.docx", "A 17444-2025")</f>
        <v/>
      </c>
      <c r="Y70">
        <f>HYPERLINK("https://klasma.github.io/Logging_0580/tillsynsmail/A 17444-2025 tillsynsbegäran mail.docx", "A 17444-2025")</f>
        <v/>
      </c>
    </row>
    <row r="71" ht="15" customHeight="1">
      <c r="A71" t="inlineStr">
        <is>
          <t>A 5911-2022</t>
        </is>
      </c>
      <c r="B71" s="1" t="n">
        <v>44597</v>
      </c>
      <c r="C71" s="1" t="n">
        <v>46094</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50806-2023</t>
        </is>
      </c>
      <c r="B72" s="1" t="n">
        <v>45217</v>
      </c>
      <c r="C72" s="1" t="n">
        <v>46094</v>
      </c>
      <c r="D72" t="inlineStr">
        <is>
          <t>ÖSTERGÖTLANDS LÄN</t>
        </is>
      </c>
      <c r="E72" t="inlineStr">
        <is>
          <t>LINKÖPING</t>
        </is>
      </c>
      <c r="F72" t="inlineStr">
        <is>
          <t>Övriga Aktiebolag</t>
        </is>
      </c>
      <c r="G72" t="n">
        <v>0.7</v>
      </c>
      <c r="H72" t="n">
        <v>1</v>
      </c>
      <c r="I72" t="n">
        <v>0</v>
      </c>
      <c r="J72" t="n">
        <v>0</v>
      </c>
      <c r="K72" t="n">
        <v>0</v>
      </c>
      <c r="L72" t="n">
        <v>0</v>
      </c>
      <c r="M72" t="n">
        <v>0</v>
      </c>
      <c r="N72" t="n">
        <v>0</v>
      </c>
      <c r="O72" t="n">
        <v>0</v>
      </c>
      <c r="P72" t="n">
        <v>0</v>
      </c>
      <c r="Q72" t="n">
        <v>1</v>
      </c>
      <c r="R72" s="2" t="inlineStr">
        <is>
          <t>Gullviva</t>
        </is>
      </c>
      <c r="S72">
        <f>HYPERLINK("https://klasma.github.io/Logging_0580/artfynd/A 50806-2023 artfynd.xlsx", "A 50806-2023")</f>
        <v/>
      </c>
      <c r="T72">
        <f>HYPERLINK("https://klasma.github.io/Logging_0580/kartor/A 50806-2023 karta.png", "A 50806-2023")</f>
        <v/>
      </c>
      <c r="V72">
        <f>HYPERLINK("https://klasma.github.io/Logging_0580/klagomål/A 50806-2023 FSC-klagomål.docx", "A 50806-2023")</f>
        <v/>
      </c>
      <c r="W72">
        <f>HYPERLINK("https://klasma.github.io/Logging_0580/klagomålsmail/A 50806-2023 FSC-klagomål mail.docx", "A 50806-2023")</f>
        <v/>
      </c>
      <c r="X72">
        <f>HYPERLINK("https://klasma.github.io/Logging_0580/tillsyn/A 50806-2023 tillsynsbegäran.docx", "A 50806-2023")</f>
        <v/>
      </c>
      <c r="Y72">
        <f>HYPERLINK("https://klasma.github.io/Logging_0580/tillsynsmail/A 50806-2023 tillsynsbegäran mail.docx", "A 50806-2023")</f>
        <v/>
      </c>
    </row>
    <row r="73" ht="15" customHeight="1">
      <c r="A73" t="inlineStr">
        <is>
          <t>A 36723-2023</t>
        </is>
      </c>
      <c r="B73" s="1" t="n">
        <v>45153</v>
      </c>
      <c r="C73" s="1" t="n">
        <v>46094</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90-2024</t>
        </is>
      </c>
      <c r="B74" s="1" t="n">
        <v>45293</v>
      </c>
      <c r="C74" s="1" t="n">
        <v>46094</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40315-2024</t>
        </is>
      </c>
      <c r="B75" s="1" t="n">
        <v>45554.7571875</v>
      </c>
      <c r="C75" s="1" t="n">
        <v>46094</v>
      </c>
      <c r="D75" t="inlineStr">
        <is>
          <t>ÖSTERGÖTLANDS LÄN</t>
        </is>
      </c>
      <c r="E75" t="inlineStr">
        <is>
          <t>LINKÖPING</t>
        </is>
      </c>
      <c r="F75" t="inlineStr">
        <is>
          <t>Allmännings- och besparingsskogar</t>
        </is>
      </c>
      <c r="G75" t="n">
        <v>15.8</v>
      </c>
      <c r="H75" t="n">
        <v>0</v>
      </c>
      <c r="I75" t="n">
        <v>0</v>
      </c>
      <c r="J75" t="n">
        <v>0</v>
      </c>
      <c r="K75" t="n">
        <v>0</v>
      </c>
      <c r="L75" t="n">
        <v>0</v>
      </c>
      <c r="M75" t="n">
        <v>1</v>
      </c>
      <c r="N75" t="n">
        <v>0</v>
      </c>
      <c r="O75" t="n">
        <v>1</v>
      </c>
      <c r="P75" t="n">
        <v>1</v>
      </c>
      <c r="Q75" t="n">
        <v>1</v>
      </c>
      <c r="R75" s="2" t="inlineStr">
        <is>
          <t>Skogsalm</t>
        </is>
      </c>
      <c r="S75">
        <f>HYPERLINK("https://klasma.github.io/Logging_0580/artfynd/A 40315-2024 artfynd.xlsx", "A 40315-2024")</f>
        <v/>
      </c>
      <c r="T75">
        <f>HYPERLINK("https://klasma.github.io/Logging_0580/kartor/A 40315-2024 karta.png", "A 40315-2024")</f>
        <v/>
      </c>
      <c r="V75">
        <f>HYPERLINK("https://klasma.github.io/Logging_0580/klagomål/A 40315-2024 FSC-klagomål.docx", "A 40315-2024")</f>
        <v/>
      </c>
      <c r="W75">
        <f>HYPERLINK("https://klasma.github.io/Logging_0580/klagomålsmail/A 40315-2024 FSC-klagomål mail.docx", "A 40315-2024")</f>
        <v/>
      </c>
      <c r="X75">
        <f>HYPERLINK("https://klasma.github.io/Logging_0580/tillsyn/A 40315-2024 tillsynsbegäran.docx", "A 40315-2024")</f>
        <v/>
      </c>
      <c r="Y75">
        <f>HYPERLINK("https://klasma.github.io/Logging_0580/tillsynsmail/A 40315-2024 tillsynsbegäran mail.docx", "A 40315-2024")</f>
        <v/>
      </c>
    </row>
    <row r="76" ht="15" customHeight="1">
      <c r="A76" t="inlineStr">
        <is>
          <t>A 39457-2023</t>
        </is>
      </c>
      <c r="B76" s="1" t="n">
        <v>45166</v>
      </c>
      <c r="C76" s="1" t="n">
        <v>46094</v>
      </c>
      <c r="D76" t="inlineStr">
        <is>
          <t>ÖSTERGÖTLANDS LÄN</t>
        </is>
      </c>
      <c r="E76" t="inlineStr">
        <is>
          <t>LINKÖPING</t>
        </is>
      </c>
      <c r="G76" t="n">
        <v>2.1</v>
      </c>
      <c r="H76" t="n">
        <v>1</v>
      </c>
      <c r="I76" t="n">
        <v>0</v>
      </c>
      <c r="J76" t="n">
        <v>0</v>
      </c>
      <c r="K76" t="n">
        <v>0</v>
      </c>
      <c r="L76" t="n">
        <v>0</v>
      </c>
      <c r="M76" t="n">
        <v>0</v>
      </c>
      <c r="N76" t="n">
        <v>0</v>
      </c>
      <c r="O76" t="n">
        <v>0</v>
      </c>
      <c r="P76" t="n">
        <v>0</v>
      </c>
      <c r="Q76" t="n">
        <v>1</v>
      </c>
      <c r="R76" s="2" t="inlineStr">
        <is>
          <t>Sparvuggla</t>
        </is>
      </c>
      <c r="S76">
        <f>HYPERLINK("https://klasma.github.io/Logging_0580/artfynd/A 39457-2023 artfynd.xlsx", "A 39457-2023")</f>
        <v/>
      </c>
      <c r="T76">
        <f>HYPERLINK("https://klasma.github.io/Logging_0580/kartor/A 39457-2023 karta.png", "A 39457-2023")</f>
        <v/>
      </c>
      <c r="V76">
        <f>HYPERLINK("https://klasma.github.io/Logging_0580/klagomål/A 39457-2023 FSC-klagomål.docx", "A 39457-2023")</f>
        <v/>
      </c>
      <c r="W76">
        <f>HYPERLINK("https://klasma.github.io/Logging_0580/klagomålsmail/A 39457-2023 FSC-klagomål mail.docx", "A 39457-2023")</f>
        <v/>
      </c>
      <c r="X76">
        <f>HYPERLINK("https://klasma.github.io/Logging_0580/tillsyn/A 39457-2023 tillsynsbegäran.docx", "A 39457-2023")</f>
        <v/>
      </c>
      <c r="Y76">
        <f>HYPERLINK("https://klasma.github.io/Logging_0580/tillsynsmail/A 39457-2023 tillsynsbegäran mail.docx", "A 39457-2023")</f>
        <v/>
      </c>
      <c r="Z76">
        <f>HYPERLINK("https://klasma.github.io/Logging_0580/fåglar/A 39457-2023 prioriterade fågelarter.docx", "A 39457-2023")</f>
        <v/>
      </c>
    </row>
    <row r="77" ht="15" customHeight="1">
      <c r="A77" t="inlineStr">
        <is>
          <t>A 35948-2023</t>
        </is>
      </c>
      <c r="B77" s="1" t="n">
        <v>45148</v>
      </c>
      <c r="C77" s="1" t="n">
        <v>46094</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62071-2023</t>
        </is>
      </c>
      <c r="B78" s="1" t="n">
        <v>45266.73542824074</v>
      </c>
      <c r="C78" s="1" t="n">
        <v>46094</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3397-2023</t>
        </is>
      </c>
      <c r="B79" s="1" t="n">
        <v>44949</v>
      </c>
      <c r="C79" s="1" t="n">
        <v>46094</v>
      </c>
      <c r="D79" t="inlineStr">
        <is>
          <t>ÖSTERGÖTLANDS LÄN</t>
        </is>
      </c>
      <c r="E79" t="inlineStr">
        <is>
          <t>LINKÖPING</t>
        </is>
      </c>
      <c r="G79" t="n">
        <v>4.1</v>
      </c>
      <c r="H79" t="n">
        <v>0</v>
      </c>
      <c r="I79" t="n">
        <v>0</v>
      </c>
      <c r="J79" t="n">
        <v>1</v>
      </c>
      <c r="K79" t="n">
        <v>0</v>
      </c>
      <c r="L79" t="n">
        <v>0</v>
      </c>
      <c r="M79" t="n">
        <v>0</v>
      </c>
      <c r="N79" t="n">
        <v>0</v>
      </c>
      <c r="O79" t="n">
        <v>1</v>
      </c>
      <c r="P79" t="n">
        <v>0</v>
      </c>
      <c r="Q79" t="n">
        <v>1</v>
      </c>
      <c r="R79" s="2" t="inlineStr">
        <is>
          <t>Svinrot</t>
        </is>
      </c>
      <c r="S79">
        <f>HYPERLINK("https://klasma.github.io/Logging_0580/artfynd/A 3397-2023 artfynd.xlsx", "A 3397-2023")</f>
        <v/>
      </c>
      <c r="T79">
        <f>HYPERLINK("https://klasma.github.io/Logging_0580/kartor/A 3397-2023 karta.png", "A 3397-2023")</f>
        <v/>
      </c>
      <c r="V79">
        <f>HYPERLINK("https://klasma.github.io/Logging_0580/klagomål/A 3397-2023 FSC-klagomål.docx", "A 3397-2023")</f>
        <v/>
      </c>
      <c r="W79">
        <f>HYPERLINK("https://klasma.github.io/Logging_0580/klagomålsmail/A 3397-2023 FSC-klagomål mail.docx", "A 3397-2023")</f>
        <v/>
      </c>
      <c r="X79">
        <f>HYPERLINK("https://klasma.github.io/Logging_0580/tillsyn/A 3397-2023 tillsynsbegäran.docx", "A 3397-2023")</f>
        <v/>
      </c>
      <c r="Y79">
        <f>HYPERLINK("https://klasma.github.io/Logging_0580/tillsynsmail/A 3397-2023 tillsynsbegäran mail.docx", "A 3397-2023")</f>
        <v/>
      </c>
    </row>
    <row r="80" ht="15" customHeight="1">
      <c r="A80" t="inlineStr">
        <is>
          <t>A 15290-2025</t>
        </is>
      </c>
      <c r="B80" s="1" t="n">
        <v>45745.45288194445</v>
      </c>
      <c r="C80" s="1" t="n">
        <v>46094</v>
      </c>
      <c r="D80" t="inlineStr">
        <is>
          <t>ÖSTERGÖTLANDS LÄN</t>
        </is>
      </c>
      <c r="E80" t="inlineStr">
        <is>
          <t>LINKÖPING</t>
        </is>
      </c>
      <c r="G80" t="n">
        <v>18.4</v>
      </c>
      <c r="H80" t="n">
        <v>1</v>
      </c>
      <c r="I80" t="n">
        <v>0</v>
      </c>
      <c r="J80" t="n">
        <v>1</v>
      </c>
      <c r="K80" t="n">
        <v>0</v>
      </c>
      <c r="L80" t="n">
        <v>0</v>
      </c>
      <c r="M80" t="n">
        <v>0</v>
      </c>
      <c r="N80" t="n">
        <v>0</v>
      </c>
      <c r="O80" t="n">
        <v>1</v>
      </c>
      <c r="P80" t="n">
        <v>0</v>
      </c>
      <c r="Q80" t="n">
        <v>1</v>
      </c>
      <c r="R80" s="2" t="inlineStr">
        <is>
          <t>Havsörn</t>
        </is>
      </c>
      <c r="S80">
        <f>HYPERLINK("https://klasma.github.io/Logging_0580/artfynd/A 15290-2025 artfynd.xlsx", "A 15290-2025")</f>
        <v/>
      </c>
      <c r="T80">
        <f>HYPERLINK("https://klasma.github.io/Logging_0580/kartor/A 15290-2025 karta.png", "A 15290-2025")</f>
        <v/>
      </c>
      <c r="V80">
        <f>HYPERLINK("https://klasma.github.io/Logging_0580/klagomål/A 15290-2025 FSC-klagomål.docx", "A 15290-2025")</f>
        <v/>
      </c>
      <c r="W80">
        <f>HYPERLINK("https://klasma.github.io/Logging_0580/klagomålsmail/A 15290-2025 FSC-klagomål mail.docx", "A 15290-2025")</f>
        <v/>
      </c>
      <c r="X80">
        <f>HYPERLINK("https://klasma.github.io/Logging_0580/tillsyn/A 15290-2025 tillsynsbegäran.docx", "A 15290-2025")</f>
        <v/>
      </c>
      <c r="Y80">
        <f>HYPERLINK("https://klasma.github.io/Logging_0580/tillsynsmail/A 15290-2025 tillsynsbegäran mail.docx", "A 15290-2025")</f>
        <v/>
      </c>
      <c r="Z80">
        <f>HYPERLINK("https://klasma.github.io/Logging_0580/fåglar/A 15290-2025 prioriterade fågelarter.docx", "A 15290-2025")</f>
        <v/>
      </c>
    </row>
    <row r="81" ht="15" customHeight="1">
      <c r="A81" t="inlineStr">
        <is>
          <t>A 34881-2023</t>
        </is>
      </c>
      <c r="B81" s="1" t="n">
        <v>45140</v>
      </c>
      <c r="C81" s="1" t="n">
        <v>46094</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Tallticka</t>
        </is>
      </c>
      <c r="S81">
        <f>HYPERLINK("https://klasma.github.io/Logging_0580/artfynd/A 34881-2023 artfynd.xlsx", "A 34881-2023")</f>
        <v/>
      </c>
      <c r="T81">
        <f>HYPERLINK("https://klasma.github.io/Logging_0580/kartor/A 34881-2023 karta.png", "A 34881-2023")</f>
        <v/>
      </c>
      <c r="U81">
        <f>HYPERLINK("https://klasma.github.io/Logging_0580/knärot/A 34881-2023 karta knärot.png", "A 34881-2023")</f>
        <v/>
      </c>
      <c r="V81">
        <f>HYPERLINK("https://klasma.github.io/Logging_0580/klagomål/A 34881-2023 FSC-klagomål.docx", "A 34881-2023")</f>
        <v/>
      </c>
      <c r="W81">
        <f>HYPERLINK("https://klasma.github.io/Logging_0580/klagomålsmail/A 34881-2023 FSC-klagomål mail.docx", "A 34881-2023")</f>
        <v/>
      </c>
      <c r="X81">
        <f>HYPERLINK("https://klasma.github.io/Logging_0580/tillsyn/A 34881-2023 tillsynsbegäran.docx", "A 34881-2023")</f>
        <v/>
      </c>
      <c r="Y81">
        <f>HYPERLINK("https://klasma.github.io/Logging_0580/tillsynsmail/A 34881-2023 tillsynsbegäran mail.docx", "A 34881-2023")</f>
        <v/>
      </c>
    </row>
    <row r="82" ht="15" customHeight="1">
      <c r="A82" t="inlineStr">
        <is>
          <t>A 50471-2024</t>
        </is>
      </c>
      <c r="B82" s="1" t="n">
        <v>45601.47166666666</v>
      </c>
      <c r="C82" s="1" t="n">
        <v>46094</v>
      </c>
      <c r="D82" t="inlineStr">
        <is>
          <t>ÖSTERGÖTLANDS LÄN</t>
        </is>
      </c>
      <c r="E82" t="inlineStr">
        <is>
          <t>LINKÖPING</t>
        </is>
      </c>
      <c r="F82" t="inlineStr">
        <is>
          <t>Övriga Aktiebolag</t>
        </is>
      </c>
      <c r="G82" t="n">
        <v>2</v>
      </c>
      <c r="H82" t="n">
        <v>0</v>
      </c>
      <c r="I82" t="n">
        <v>1</v>
      </c>
      <c r="J82" t="n">
        <v>0</v>
      </c>
      <c r="K82" t="n">
        <v>0</v>
      </c>
      <c r="L82" t="n">
        <v>0</v>
      </c>
      <c r="M82" t="n">
        <v>0</v>
      </c>
      <c r="N82" t="n">
        <v>0</v>
      </c>
      <c r="O82" t="n">
        <v>0</v>
      </c>
      <c r="P82" t="n">
        <v>0</v>
      </c>
      <c r="Q82" t="n">
        <v>1</v>
      </c>
      <c r="R82" s="2" t="inlineStr">
        <is>
          <t>Västlig hakmossa</t>
        </is>
      </c>
      <c r="S82">
        <f>HYPERLINK("https://klasma.github.io/Logging_0580/artfynd/A 50471-2024 artfynd.xlsx", "A 50471-2024")</f>
        <v/>
      </c>
      <c r="T82">
        <f>HYPERLINK("https://klasma.github.io/Logging_0580/kartor/A 50471-2024 karta.png", "A 50471-2024")</f>
        <v/>
      </c>
      <c r="V82">
        <f>HYPERLINK("https://klasma.github.io/Logging_0580/klagomål/A 50471-2024 FSC-klagomål.docx", "A 50471-2024")</f>
        <v/>
      </c>
      <c r="W82">
        <f>HYPERLINK("https://klasma.github.io/Logging_0580/klagomålsmail/A 50471-2024 FSC-klagomål mail.docx", "A 50471-2024")</f>
        <v/>
      </c>
      <c r="X82">
        <f>HYPERLINK("https://klasma.github.io/Logging_0580/tillsyn/A 50471-2024 tillsynsbegäran.docx", "A 50471-2024")</f>
        <v/>
      </c>
      <c r="Y82">
        <f>HYPERLINK("https://klasma.github.io/Logging_0580/tillsynsmail/A 50471-2024 tillsynsbegäran mail.docx", "A 50471-2024")</f>
        <v/>
      </c>
    </row>
    <row r="83" ht="15" customHeight="1">
      <c r="A83" t="inlineStr">
        <is>
          <t>A 17389-2021</t>
        </is>
      </c>
      <c r="B83" s="1" t="n">
        <v>44298.96792824074</v>
      </c>
      <c r="C83" s="1" t="n">
        <v>46094</v>
      </c>
      <c r="D83" t="inlineStr">
        <is>
          <t>ÖSTERGÖTLANDS LÄN</t>
        </is>
      </c>
      <c r="E83" t="inlineStr">
        <is>
          <t>LINKÖPING</t>
        </is>
      </c>
      <c r="G83" t="n">
        <v>5.1</v>
      </c>
      <c r="H83" t="n">
        <v>0</v>
      </c>
      <c r="I83" t="n">
        <v>1</v>
      </c>
      <c r="J83" t="n">
        <v>0</v>
      </c>
      <c r="K83" t="n">
        <v>0</v>
      </c>
      <c r="L83" t="n">
        <v>0</v>
      </c>
      <c r="M83" t="n">
        <v>0</v>
      </c>
      <c r="N83" t="n">
        <v>0</v>
      </c>
      <c r="O83" t="n">
        <v>0</v>
      </c>
      <c r="P83" t="n">
        <v>0</v>
      </c>
      <c r="Q83" t="n">
        <v>1</v>
      </c>
      <c r="R83" s="2" t="inlineStr">
        <is>
          <t>Blomkålssvamp</t>
        </is>
      </c>
      <c r="S83">
        <f>HYPERLINK("https://klasma.github.io/Logging_0580/artfynd/A 17389-2021 artfynd.xlsx", "A 17389-2021")</f>
        <v/>
      </c>
      <c r="T83">
        <f>HYPERLINK("https://klasma.github.io/Logging_0580/kartor/A 17389-2021 karta.png", "A 17389-2021")</f>
        <v/>
      </c>
      <c r="V83">
        <f>HYPERLINK("https://klasma.github.io/Logging_0580/klagomål/A 17389-2021 FSC-klagomål.docx", "A 17389-2021")</f>
        <v/>
      </c>
      <c r="W83">
        <f>HYPERLINK("https://klasma.github.io/Logging_0580/klagomålsmail/A 17389-2021 FSC-klagomål mail.docx", "A 17389-2021")</f>
        <v/>
      </c>
      <c r="X83">
        <f>HYPERLINK("https://klasma.github.io/Logging_0580/tillsyn/A 17389-2021 tillsynsbegäran.docx", "A 17389-2021")</f>
        <v/>
      </c>
      <c r="Y83">
        <f>HYPERLINK("https://klasma.github.io/Logging_0580/tillsynsmail/A 17389-2021 tillsynsbegäran mail.docx", "A 17389-2021")</f>
        <v/>
      </c>
    </row>
    <row r="84" ht="15" customHeight="1">
      <c r="A84" t="inlineStr">
        <is>
          <t>A 20295-2025</t>
        </is>
      </c>
      <c r="B84" s="1" t="n">
        <v>45774.74846064814</v>
      </c>
      <c r="C84" s="1" t="n">
        <v>46094</v>
      </c>
      <c r="D84" t="inlineStr">
        <is>
          <t>ÖSTERGÖTLANDS LÄN</t>
        </is>
      </c>
      <c r="E84" t="inlineStr">
        <is>
          <t>LINKÖPING</t>
        </is>
      </c>
      <c r="G84" t="n">
        <v>3</v>
      </c>
      <c r="H84" t="n">
        <v>0</v>
      </c>
      <c r="I84" t="n">
        <v>0</v>
      </c>
      <c r="J84" t="n">
        <v>1</v>
      </c>
      <c r="K84" t="n">
        <v>0</v>
      </c>
      <c r="L84" t="n">
        <v>0</v>
      </c>
      <c r="M84" t="n">
        <v>0</v>
      </c>
      <c r="N84" t="n">
        <v>0</v>
      </c>
      <c r="O84" t="n">
        <v>1</v>
      </c>
      <c r="P84" t="n">
        <v>0</v>
      </c>
      <c r="Q84" t="n">
        <v>1</v>
      </c>
      <c r="R84" s="2" t="inlineStr">
        <is>
          <t>Tallticka</t>
        </is>
      </c>
      <c r="S84">
        <f>HYPERLINK("https://klasma.github.io/Logging_0580/artfynd/A 20295-2025 artfynd.xlsx", "A 20295-2025")</f>
        <v/>
      </c>
      <c r="T84">
        <f>HYPERLINK("https://klasma.github.io/Logging_0580/kartor/A 20295-2025 karta.png", "A 20295-2025")</f>
        <v/>
      </c>
      <c r="V84">
        <f>HYPERLINK("https://klasma.github.io/Logging_0580/klagomål/A 20295-2025 FSC-klagomål.docx", "A 20295-2025")</f>
        <v/>
      </c>
      <c r="W84">
        <f>HYPERLINK("https://klasma.github.io/Logging_0580/klagomålsmail/A 20295-2025 FSC-klagomål mail.docx", "A 20295-2025")</f>
        <v/>
      </c>
      <c r="X84">
        <f>HYPERLINK("https://klasma.github.io/Logging_0580/tillsyn/A 20295-2025 tillsynsbegäran.docx", "A 20295-2025")</f>
        <v/>
      </c>
      <c r="Y84">
        <f>HYPERLINK("https://klasma.github.io/Logging_0580/tillsynsmail/A 20295-2025 tillsynsbegäran mail.docx", "A 20295-2025")</f>
        <v/>
      </c>
    </row>
    <row r="85" ht="15" customHeight="1">
      <c r="A85" t="inlineStr">
        <is>
          <t>A 56128-2022</t>
        </is>
      </c>
      <c r="B85" s="1" t="n">
        <v>44889</v>
      </c>
      <c r="C85" s="1" t="n">
        <v>46094</v>
      </c>
      <c r="D85" t="inlineStr">
        <is>
          <t>ÖSTERGÖTLANDS LÄN</t>
        </is>
      </c>
      <c r="E85" t="inlineStr">
        <is>
          <t>LINKÖPING</t>
        </is>
      </c>
      <c r="G85" t="n">
        <v>2</v>
      </c>
      <c r="H85" t="n">
        <v>0</v>
      </c>
      <c r="I85" t="n">
        <v>1</v>
      </c>
      <c r="J85" t="n">
        <v>0</v>
      </c>
      <c r="K85" t="n">
        <v>0</v>
      </c>
      <c r="L85" t="n">
        <v>0</v>
      </c>
      <c r="M85" t="n">
        <v>0</v>
      </c>
      <c r="N85" t="n">
        <v>0</v>
      </c>
      <c r="O85" t="n">
        <v>0</v>
      </c>
      <c r="P85" t="n">
        <v>0</v>
      </c>
      <c r="Q85" t="n">
        <v>1</v>
      </c>
      <c r="R85" s="2" t="inlineStr">
        <is>
          <t>Tibast</t>
        </is>
      </c>
      <c r="S85">
        <f>HYPERLINK("https://klasma.github.io/Logging_0580/artfynd/A 56128-2022 artfynd.xlsx", "A 56128-2022")</f>
        <v/>
      </c>
      <c r="T85">
        <f>HYPERLINK("https://klasma.github.io/Logging_0580/kartor/A 56128-2022 karta.png", "A 56128-2022")</f>
        <v/>
      </c>
      <c r="V85">
        <f>HYPERLINK("https://klasma.github.io/Logging_0580/klagomål/A 56128-2022 FSC-klagomål.docx", "A 56128-2022")</f>
        <v/>
      </c>
      <c r="W85">
        <f>HYPERLINK("https://klasma.github.io/Logging_0580/klagomålsmail/A 56128-2022 FSC-klagomål mail.docx", "A 56128-2022")</f>
        <v/>
      </c>
      <c r="X85">
        <f>HYPERLINK("https://klasma.github.io/Logging_0580/tillsyn/A 56128-2022 tillsynsbegäran.docx", "A 56128-2022")</f>
        <v/>
      </c>
      <c r="Y85">
        <f>HYPERLINK("https://klasma.github.io/Logging_0580/tillsynsmail/A 56128-2022 tillsynsbegäran mail.docx", "A 56128-2022")</f>
        <v/>
      </c>
    </row>
    <row r="86" ht="15" customHeight="1">
      <c r="A86" t="inlineStr">
        <is>
          <t>A 40309-2024</t>
        </is>
      </c>
      <c r="B86" s="1" t="n">
        <v>45554.724375</v>
      </c>
      <c r="C86" s="1" t="n">
        <v>46094</v>
      </c>
      <c r="D86" t="inlineStr">
        <is>
          <t>ÖSTERGÖTLANDS LÄN</t>
        </is>
      </c>
      <c r="E86" t="inlineStr">
        <is>
          <t>LINKÖPING</t>
        </is>
      </c>
      <c r="F86" t="inlineStr">
        <is>
          <t>Allmännings- och besparingsskogar</t>
        </is>
      </c>
      <c r="G86" t="n">
        <v>6</v>
      </c>
      <c r="H86" t="n">
        <v>0</v>
      </c>
      <c r="I86" t="n">
        <v>0</v>
      </c>
      <c r="J86" t="n">
        <v>1</v>
      </c>
      <c r="K86" t="n">
        <v>0</v>
      </c>
      <c r="L86" t="n">
        <v>0</v>
      </c>
      <c r="M86" t="n">
        <v>0</v>
      </c>
      <c r="N86" t="n">
        <v>0</v>
      </c>
      <c r="O86" t="n">
        <v>1</v>
      </c>
      <c r="P86" t="n">
        <v>0</v>
      </c>
      <c r="Q86" t="n">
        <v>1</v>
      </c>
      <c r="R86" s="2" t="inlineStr">
        <is>
          <t>Garnlav</t>
        </is>
      </c>
      <c r="S86">
        <f>HYPERLINK("https://klasma.github.io/Logging_0580/artfynd/A 40309-2024 artfynd.xlsx", "A 40309-2024")</f>
        <v/>
      </c>
      <c r="T86">
        <f>HYPERLINK("https://klasma.github.io/Logging_0580/kartor/A 40309-2024 karta.png", "A 40309-2024")</f>
        <v/>
      </c>
      <c r="V86">
        <f>HYPERLINK("https://klasma.github.io/Logging_0580/klagomål/A 40309-2024 FSC-klagomål.docx", "A 40309-2024")</f>
        <v/>
      </c>
      <c r="W86">
        <f>HYPERLINK("https://klasma.github.io/Logging_0580/klagomålsmail/A 40309-2024 FSC-klagomål mail.docx", "A 40309-2024")</f>
        <v/>
      </c>
      <c r="X86">
        <f>HYPERLINK("https://klasma.github.io/Logging_0580/tillsyn/A 40309-2024 tillsynsbegäran.docx", "A 40309-2024")</f>
        <v/>
      </c>
      <c r="Y86">
        <f>HYPERLINK("https://klasma.github.io/Logging_0580/tillsynsmail/A 40309-2024 tillsynsbegäran mail.docx", "A 40309-2024")</f>
        <v/>
      </c>
    </row>
    <row r="87" ht="15" customHeight="1">
      <c r="A87" t="inlineStr">
        <is>
          <t>A 54835-2023</t>
        </is>
      </c>
      <c r="B87" s="1" t="n">
        <v>45236</v>
      </c>
      <c r="C87" s="1" t="n">
        <v>46094</v>
      </c>
      <c r="D87" t="inlineStr">
        <is>
          <t>ÖSTERGÖTLANDS LÄN</t>
        </is>
      </c>
      <c r="E87" t="inlineStr">
        <is>
          <t>LINKÖPING</t>
        </is>
      </c>
      <c r="G87" t="n">
        <v>2</v>
      </c>
      <c r="H87" t="n">
        <v>1</v>
      </c>
      <c r="I87" t="n">
        <v>0</v>
      </c>
      <c r="J87" t="n">
        <v>0</v>
      </c>
      <c r="K87" t="n">
        <v>0</v>
      </c>
      <c r="L87" t="n">
        <v>0</v>
      </c>
      <c r="M87" t="n">
        <v>0</v>
      </c>
      <c r="N87" t="n">
        <v>0</v>
      </c>
      <c r="O87" t="n">
        <v>0</v>
      </c>
      <c r="P87" t="n">
        <v>0</v>
      </c>
      <c r="Q87" t="n">
        <v>1</v>
      </c>
      <c r="R87" s="2" t="inlineStr">
        <is>
          <t>Sparvuggla</t>
        </is>
      </c>
      <c r="S87">
        <f>HYPERLINK("https://klasma.github.io/Logging_0580/artfynd/A 54835-2023 artfynd.xlsx", "A 54835-2023")</f>
        <v/>
      </c>
      <c r="T87">
        <f>HYPERLINK("https://klasma.github.io/Logging_0580/kartor/A 54835-2023 karta.png", "A 54835-2023")</f>
        <v/>
      </c>
      <c r="V87">
        <f>HYPERLINK("https://klasma.github.io/Logging_0580/klagomål/A 54835-2023 FSC-klagomål.docx", "A 54835-2023")</f>
        <v/>
      </c>
      <c r="W87">
        <f>HYPERLINK("https://klasma.github.io/Logging_0580/klagomålsmail/A 54835-2023 FSC-klagomål mail.docx", "A 54835-2023")</f>
        <v/>
      </c>
      <c r="X87">
        <f>HYPERLINK("https://klasma.github.io/Logging_0580/tillsyn/A 54835-2023 tillsynsbegäran.docx", "A 54835-2023")</f>
        <v/>
      </c>
      <c r="Y87">
        <f>HYPERLINK("https://klasma.github.io/Logging_0580/tillsynsmail/A 54835-2023 tillsynsbegäran mail.docx", "A 54835-2023")</f>
        <v/>
      </c>
      <c r="Z87">
        <f>HYPERLINK("https://klasma.github.io/Logging_0580/fåglar/A 54835-2023 prioriterade fågelarter.docx", "A 54835-2023")</f>
        <v/>
      </c>
    </row>
    <row r="88" ht="15" customHeight="1">
      <c r="A88" t="inlineStr">
        <is>
          <t>A 43989-2025</t>
        </is>
      </c>
      <c r="B88" s="1" t="n">
        <v>45915.44128472222</v>
      </c>
      <c r="C88" s="1" t="n">
        <v>46094</v>
      </c>
      <c r="D88" t="inlineStr">
        <is>
          <t>ÖSTERGÖTLANDS LÄN</t>
        </is>
      </c>
      <c r="E88" t="inlineStr">
        <is>
          <t>LINKÖPING</t>
        </is>
      </c>
      <c r="F88" t="inlineStr">
        <is>
          <t>Allmännings- och besparingsskogar</t>
        </is>
      </c>
      <c r="G88" t="n">
        <v>3.5</v>
      </c>
      <c r="H88" t="n">
        <v>0</v>
      </c>
      <c r="I88" t="n">
        <v>0</v>
      </c>
      <c r="J88" t="n">
        <v>1</v>
      </c>
      <c r="K88" t="n">
        <v>0</v>
      </c>
      <c r="L88" t="n">
        <v>0</v>
      </c>
      <c r="M88" t="n">
        <v>0</v>
      </c>
      <c r="N88" t="n">
        <v>0</v>
      </c>
      <c r="O88" t="n">
        <v>1</v>
      </c>
      <c r="P88" t="n">
        <v>0</v>
      </c>
      <c r="Q88" t="n">
        <v>1</v>
      </c>
      <c r="R88" s="2" t="inlineStr">
        <is>
          <t>Kavelhirs</t>
        </is>
      </c>
      <c r="S88">
        <f>HYPERLINK("https://klasma.github.io/Logging_0580/artfynd/A 43989-2025 artfynd.xlsx", "A 43989-2025")</f>
        <v/>
      </c>
      <c r="T88">
        <f>HYPERLINK("https://klasma.github.io/Logging_0580/kartor/A 43989-2025 karta.png", "A 43989-2025")</f>
        <v/>
      </c>
      <c r="V88">
        <f>HYPERLINK("https://klasma.github.io/Logging_0580/klagomål/A 43989-2025 FSC-klagomål.docx", "A 43989-2025")</f>
        <v/>
      </c>
      <c r="W88">
        <f>HYPERLINK("https://klasma.github.io/Logging_0580/klagomålsmail/A 43989-2025 FSC-klagomål mail.docx", "A 43989-2025")</f>
        <v/>
      </c>
      <c r="X88">
        <f>HYPERLINK("https://klasma.github.io/Logging_0580/tillsyn/A 43989-2025 tillsynsbegäran.docx", "A 43989-2025")</f>
        <v/>
      </c>
      <c r="Y88">
        <f>HYPERLINK("https://klasma.github.io/Logging_0580/tillsynsmail/A 43989-2025 tillsynsbegäran mail.docx", "A 43989-2025")</f>
        <v/>
      </c>
    </row>
    <row r="89" ht="15" customHeight="1">
      <c r="A89" t="inlineStr">
        <is>
          <t>A 44760-2025</t>
        </is>
      </c>
      <c r="B89" s="1" t="n">
        <v>45917.71873842592</v>
      </c>
      <c r="C89" s="1" t="n">
        <v>46094</v>
      </c>
      <c r="D89" t="inlineStr">
        <is>
          <t>ÖSTERGÖTLANDS LÄN</t>
        </is>
      </c>
      <c r="E89" t="inlineStr">
        <is>
          <t>LINKÖPING</t>
        </is>
      </c>
      <c r="G89" t="n">
        <v>0.9</v>
      </c>
      <c r="H89" t="n">
        <v>0</v>
      </c>
      <c r="I89" t="n">
        <v>0</v>
      </c>
      <c r="J89" t="n">
        <v>1</v>
      </c>
      <c r="K89" t="n">
        <v>0</v>
      </c>
      <c r="L89" t="n">
        <v>0</v>
      </c>
      <c r="M89" t="n">
        <v>0</v>
      </c>
      <c r="N89" t="n">
        <v>0</v>
      </c>
      <c r="O89" t="n">
        <v>1</v>
      </c>
      <c r="P89" t="n">
        <v>0</v>
      </c>
      <c r="Q89" t="n">
        <v>1</v>
      </c>
      <c r="R89" s="2" t="inlineStr">
        <is>
          <t>Tallticka</t>
        </is>
      </c>
      <c r="S89">
        <f>HYPERLINK("https://klasma.github.io/Logging_0580/artfynd/A 44760-2025 artfynd.xlsx", "A 44760-2025")</f>
        <v/>
      </c>
      <c r="T89">
        <f>HYPERLINK("https://klasma.github.io/Logging_0580/kartor/A 44760-2025 karta.png", "A 44760-2025")</f>
        <v/>
      </c>
      <c r="V89">
        <f>HYPERLINK("https://klasma.github.io/Logging_0580/klagomål/A 44760-2025 FSC-klagomål.docx", "A 44760-2025")</f>
        <v/>
      </c>
      <c r="W89">
        <f>HYPERLINK("https://klasma.github.io/Logging_0580/klagomålsmail/A 44760-2025 FSC-klagomål mail.docx", "A 44760-2025")</f>
        <v/>
      </c>
      <c r="X89">
        <f>HYPERLINK("https://klasma.github.io/Logging_0580/tillsyn/A 44760-2025 tillsynsbegäran.docx", "A 44760-2025")</f>
        <v/>
      </c>
      <c r="Y89">
        <f>HYPERLINK("https://klasma.github.io/Logging_0580/tillsynsmail/A 44760-2025 tillsynsbegäran mail.docx", "A 44760-2025")</f>
        <v/>
      </c>
    </row>
    <row r="90" ht="15" customHeight="1">
      <c r="A90" t="inlineStr">
        <is>
          <t>A 48347-2025</t>
        </is>
      </c>
      <c r="B90" s="1" t="n">
        <v>45932</v>
      </c>
      <c r="C90" s="1" t="n">
        <v>46094</v>
      </c>
      <c r="D90" t="inlineStr">
        <is>
          <t>ÖSTERGÖTLANDS LÄN</t>
        </is>
      </c>
      <c r="E90" t="inlineStr">
        <is>
          <t>LINKÖPING</t>
        </is>
      </c>
      <c r="F90" t="inlineStr">
        <is>
          <t>Övriga Aktiebolag</t>
        </is>
      </c>
      <c r="G90" t="n">
        <v>0.9</v>
      </c>
      <c r="H90" t="n">
        <v>0</v>
      </c>
      <c r="I90" t="n">
        <v>0</v>
      </c>
      <c r="J90" t="n">
        <v>1</v>
      </c>
      <c r="K90" t="n">
        <v>0</v>
      </c>
      <c r="L90" t="n">
        <v>0</v>
      </c>
      <c r="M90" t="n">
        <v>0</v>
      </c>
      <c r="N90" t="n">
        <v>0</v>
      </c>
      <c r="O90" t="n">
        <v>1</v>
      </c>
      <c r="P90" t="n">
        <v>0</v>
      </c>
      <c r="Q90" t="n">
        <v>1</v>
      </c>
      <c r="R90" s="2" t="inlineStr">
        <is>
          <t>Igelkott</t>
        </is>
      </c>
      <c r="S90">
        <f>HYPERLINK("https://klasma.github.io/Logging_0580/artfynd/A 48347-2025 artfynd.xlsx", "A 48347-2025")</f>
        <v/>
      </c>
      <c r="T90">
        <f>HYPERLINK("https://klasma.github.io/Logging_0580/kartor/A 48347-2025 karta.png", "A 48347-2025")</f>
        <v/>
      </c>
      <c r="V90">
        <f>HYPERLINK("https://klasma.github.io/Logging_0580/klagomål/A 48347-2025 FSC-klagomål.docx", "A 48347-2025")</f>
        <v/>
      </c>
      <c r="W90">
        <f>HYPERLINK("https://klasma.github.io/Logging_0580/klagomålsmail/A 48347-2025 FSC-klagomål mail.docx", "A 48347-2025")</f>
        <v/>
      </c>
      <c r="X90">
        <f>HYPERLINK("https://klasma.github.io/Logging_0580/tillsyn/A 48347-2025 tillsynsbegäran.docx", "A 48347-2025")</f>
        <v/>
      </c>
      <c r="Y90">
        <f>HYPERLINK("https://klasma.github.io/Logging_0580/tillsynsmail/A 48347-2025 tillsynsbegäran mail.docx", "A 48347-2025")</f>
        <v/>
      </c>
    </row>
    <row r="91" ht="15" customHeight="1">
      <c r="A91" t="inlineStr">
        <is>
          <t>A 48353-2025</t>
        </is>
      </c>
      <c r="B91" s="1" t="n">
        <v>45932</v>
      </c>
      <c r="C91" s="1" t="n">
        <v>46094</v>
      </c>
      <c r="D91" t="inlineStr">
        <is>
          <t>ÖSTERGÖTLANDS LÄN</t>
        </is>
      </c>
      <c r="E91" t="inlineStr">
        <is>
          <t>LINKÖPING</t>
        </is>
      </c>
      <c r="F91" t="inlineStr">
        <is>
          <t>Övriga Aktiebolag</t>
        </is>
      </c>
      <c r="G91" t="n">
        <v>4.5</v>
      </c>
      <c r="H91" t="n">
        <v>1</v>
      </c>
      <c r="I91" t="n">
        <v>0</v>
      </c>
      <c r="J91" t="n">
        <v>1</v>
      </c>
      <c r="K91" t="n">
        <v>0</v>
      </c>
      <c r="L91" t="n">
        <v>0</v>
      </c>
      <c r="M91" t="n">
        <v>0</v>
      </c>
      <c r="N91" t="n">
        <v>0</v>
      </c>
      <c r="O91" t="n">
        <v>1</v>
      </c>
      <c r="P91" t="n">
        <v>0</v>
      </c>
      <c r="Q91" t="n">
        <v>1</v>
      </c>
      <c r="R91" s="2" t="inlineStr">
        <is>
          <t>Entita</t>
        </is>
      </c>
      <c r="S91">
        <f>HYPERLINK("https://klasma.github.io/Logging_0580/artfynd/A 48353-2025 artfynd.xlsx", "A 48353-2025")</f>
        <v/>
      </c>
      <c r="T91">
        <f>HYPERLINK("https://klasma.github.io/Logging_0580/kartor/A 48353-2025 karta.png", "A 48353-2025")</f>
        <v/>
      </c>
      <c r="V91">
        <f>HYPERLINK("https://klasma.github.io/Logging_0580/klagomål/A 48353-2025 FSC-klagomål.docx", "A 48353-2025")</f>
        <v/>
      </c>
      <c r="W91">
        <f>HYPERLINK("https://klasma.github.io/Logging_0580/klagomålsmail/A 48353-2025 FSC-klagomål mail.docx", "A 48353-2025")</f>
        <v/>
      </c>
      <c r="X91">
        <f>HYPERLINK("https://klasma.github.io/Logging_0580/tillsyn/A 48353-2025 tillsynsbegäran.docx", "A 48353-2025")</f>
        <v/>
      </c>
      <c r="Y91">
        <f>HYPERLINK("https://klasma.github.io/Logging_0580/tillsynsmail/A 48353-2025 tillsynsbegäran mail.docx", "A 48353-2025")</f>
        <v/>
      </c>
      <c r="Z91">
        <f>HYPERLINK("https://klasma.github.io/Logging_0580/fåglar/A 48353-2025 prioriterade fågelarter.docx", "A 48353-2025")</f>
        <v/>
      </c>
    </row>
    <row r="92" ht="15" customHeight="1">
      <c r="A92" t="inlineStr">
        <is>
          <t>A 48273-2025</t>
        </is>
      </c>
      <c r="B92" s="1" t="n">
        <v>45932</v>
      </c>
      <c r="C92" s="1" t="n">
        <v>46094</v>
      </c>
      <c r="D92" t="inlineStr">
        <is>
          <t>ÖSTERGÖTLANDS LÄN</t>
        </is>
      </c>
      <c r="E92" t="inlineStr">
        <is>
          <t>LINKÖPING</t>
        </is>
      </c>
      <c r="F92" t="inlineStr">
        <is>
          <t>Övriga Aktiebolag</t>
        </is>
      </c>
      <c r="G92" t="n">
        <v>4.6</v>
      </c>
      <c r="H92" t="n">
        <v>0</v>
      </c>
      <c r="I92" t="n">
        <v>0</v>
      </c>
      <c r="J92" t="n">
        <v>1</v>
      </c>
      <c r="K92" t="n">
        <v>0</v>
      </c>
      <c r="L92" t="n">
        <v>0</v>
      </c>
      <c r="M92" t="n">
        <v>0</v>
      </c>
      <c r="N92" t="n">
        <v>0</v>
      </c>
      <c r="O92" t="n">
        <v>1</v>
      </c>
      <c r="P92" t="n">
        <v>0</v>
      </c>
      <c r="Q92" t="n">
        <v>1</v>
      </c>
      <c r="R92" s="2" t="inlineStr">
        <is>
          <t>Barrviolspindling</t>
        </is>
      </c>
      <c r="S92">
        <f>HYPERLINK("https://klasma.github.io/Logging_0580/artfynd/A 48273-2025 artfynd.xlsx", "A 48273-2025")</f>
        <v/>
      </c>
      <c r="T92">
        <f>HYPERLINK("https://klasma.github.io/Logging_0580/kartor/A 48273-2025 karta.png", "A 48273-2025")</f>
        <v/>
      </c>
      <c r="V92">
        <f>HYPERLINK("https://klasma.github.io/Logging_0580/klagomål/A 48273-2025 FSC-klagomål.docx", "A 48273-2025")</f>
        <v/>
      </c>
      <c r="W92">
        <f>HYPERLINK("https://klasma.github.io/Logging_0580/klagomålsmail/A 48273-2025 FSC-klagomål mail.docx", "A 48273-2025")</f>
        <v/>
      </c>
      <c r="X92">
        <f>HYPERLINK("https://klasma.github.io/Logging_0580/tillsyn/A 48273-2025 tillsynsbegäran.docx", "A 48273-2025")</f>
        <v/>
      </c>
      <c r="Y92">
        <f>HYPERLINK("https://klasma.github.io/Logging_0580/tillsynsmail/A 48273-2025 tillsynsbegäran mail.docx", "A 48273-2025")</f>
        <v/>
      </c>
    </row>
    <row r="93" ht="15" customHeight="1">
      <c r="A93" t="inlineStr">
        <is>
          <t>A 48298-2025</t>
        </is>
      </c>
      <c r="B93" s="1" t="n">
        <v>45932</v>
      </c>
      <c r="C93" s="1" t="n">
        <v>46094</v>
      </c>
      <c r="D93" t="inlineStr">
        <is>
          <t>ÖSTERGÖTLANDS LÄN</t>
        </is>
      </c>
      <c r="E93" t="inlineStr">
        <is>
          <t>LINKÖPING</t>
        </is>
      </c>
      <c r="F93" t="inlineStr">
        <is>
          <t>Övriga Aktiebolag</t>
        </is>
      </c>
      <c r="G93" t="n">
        <v>1.7</v>
      </c>
      <c r="H93" t="n">
        <v>0</v>
      </c>
      <c r="I93" t="n">
        <v>1</v>
      </c>
      <c r="J93" t="n">
        <v>0</v>
      </c>
      <c r="K93" t="n">
        <v>0</v>
      </c>
      <c r="L93" t="n">
        <v>0</v>
      </c>
      <c r="M93" t="n">
        <v>0</v>
      </c>
      <c r="N93" t="n">
        <v>0</v>
      </c>
      <c r="O93" t="n">
        <v>0</v>
      </c>
      <c r="P93" t="n">
        <v>0</v>
      </c>
      <c r="Q93" t="n">
        <v>1</v>
      </c>
      <c r="R93" s="2" t="inlineStr">
        <is>
          <t>Västlig hakmossa</t>
        </is>
      </c>
      <c r="S93">
        <f>HYPERLINK("https://klasma.github.io/Logging_0580/artfynd/A 48298-2025 artfynd.xlsx", "A 48298-2025")</f>
        <v/>
      </c>
      <c r="T93">
        <f>HYPERLINK("https://klasma.github.io/Logging_0580/kartor/A 48298-2025 karta.png", "A 48298-2025")</f>
        <v/>
      </c>
      <c r="V93">
        <f>HYPERLINK("https://klasma.github.io/Logging_0580/klagomål/A 48298-2025 FSC-klagomål.docx", "A 48298-2025")</f>
        <v/>
      </c>
      <c r="W93">
        <f>HYPERLINK("https://klasma.github.io/Logging_0580/klagomålsmail/A 48298-2025 FSC-klagomål mail.docx", "A 48298-2025")</f>
        <v/>
      </c>
      <c r="X93">
        <f>HYPERLINK("https://klasma.github.io/Logging_0580/tillsyn/A 48298-2025 tillsynsbegäran.docx", "A 48298-2025")</f>
        <v/>
      </c>
      <c r="Y93">
        <f>HYPERLINK("https://klasma.github.io/Logging_0580/tillsynsmail/A 48298-2025 tillsynsbegäran mail.docx", "A 48298-2025")</f>
        <v/>
      </c>
    </row>
    <row r="94" ht="15" customHeight="1">
      <c r="A94" t="inlineStr">
        <is>
          <t>A 50034-2025</t>
        </is>
      </c>
      <c r="B94" s="1" t="n">
        <v>45941</v>
      </c>
      <c r="C94" s="1" t="n">
        <v>46094</v>
      </c>
      <c r="D94" t="inlineStr">
        <is>
          <t>ÖSTERGÖTLANDS LÄN</t>
        </is>
      </c>
      <c r="E94" t="inlineStr">
        <is>
          <t>LINKÖPING</t>
        </is>
      </c>
      <c r="G94" t="n">
        <v>6.2</v>
      </c>
      <c r="H94" t="n">
        <v>0</v>
      </c>
      <c r="I94" t="n">
        <v>0</v>
      </c>
      <c r="J94" t="n">
        <v>0</v>
      </c>
      <c r="K94" t="n">
        <v>0</v>
      </c>
      <c r="L94" t="n">
        <v>0</v>
      </c>
      <c r="M94" t="n">
        <v>1</v>
      </c>
      <c r="N94" t="n">
        <v>0</v>
      </c>
      <c r="O94" t="n">
        <v>1</v>
      </c>
      <c r="P94" t="n">
        <v>1</v>
      </c>
      <c r="Q94" t="n">
        <v>1</v>
      </c>
      <c r="R94" s="2" t="inlineStr">
        <is>
          <t>Skogsalm</t>
        </is>
      </c>
      <c r="S94">
        <f>HYPERLINK("https://klasma.github.io/Logging_0580/artfynd/A 50034-2025 artfynd.xlsx", "A 50034-2025")</f>
        <v/>
      </c>
      <c r="T94">
        <f>HYPERLINK("https://klasma.github.io/Logging_0580/kartor/A 50034-2025 karta.png", "A 50034-2025")</f>
        <v/>
      </c>
      <c r="V94">
        <f>HYPERLINK("https://klasma.github.io/Logging_0580/klagomål/A 50034-2025 FSC-klagomål.docx", "A 50034-2025")</f>
        <v/>
      </c>
      <c r="W94">
        <f>HYPERLINK("https://klasma.github.io/Logging_0580/klagomålsmail/A 50034-2025 FSC-klagomål mail.docx", "A 50034-2025")</f>
        <v/>
      </c>
      <c r="X94">
        <f>HYPERLINK("https://klasma.github.io/Logging_0580/tillsyn/A 50034-2025 tillsynsbegäran.docx", "A 50034-2025")</f>
        <v/>
      </c>
      <c r="Y94">
        <f>HYPERLINK("https://klasma.github.io/Logging_0580/tillsynsmail/A 50034-2025 tillsynsbegäran mail.docx", "A 50034-2025")</f>
        <v/>
      </c>
    </row>
    <row r="95" ht="15" customHeight="1">
      <c r="A95" t="inlineStr">
        <is>
          <t>A 56112-2025</t>
        </is>
      </c>
      <c r="B95" s="1" t="n">
        <v>45973.73625</v>
      </c>
      <c r="C95" s="1" t="n">
        <v>46094</v>
      </c>
      <c r="D95" t="inlineStr">
        <is>
          <t>ÖSTERGÖTLANDS LÄN</t>
        </is>
      </c>
      <c r="E95" t="inlineStr">
        <is>
          <t>LINKÖPING</t>
        </is>
      </c>
      <c r="G95" t="n">
        <v>0.6</v>
      </c>
      <c r="H95" t="n">
        <v>0</v>
      </c>
      <c r="I95" t="n">
        <v>0</v>
      </c>
      <c r="J95" t="n">
        <v>1</v>
      </c>
      <c r="K95" t="n">
        <v>0</v>
      </c>
      <c r="L95" t="n">
        <v>0</v>
      </c>
      <c r="M95" t="n">
        <v>0</v>
      </c>
      <c r="N95" t="n">
        <v>0</v>
      </c>
      <c r="O95" t="n">
        <v>1</v>
      </c>
      <c r="P95" t="n">
        <v>0</v>
      </c>
      <c r="Q95" t="n">
        <v>1</v>
      </c>
      <c r="R95" s="2" t="inlineStr">
        <is>
          <t>Solvända</t>
        </is>
      </c>
      <c r="S95">
        <f>HYPERLINK("https://klasma.github.io/Logging_0580/artfynd/A 56112-2025 artfynd.xlsx", "A 56112-2025")</f>
        <v/>
      </c>
      <c r="T95">
        <f>HYPERLINK("https://klasma.github.io/Logging_0580/kartor/A 56112-2025 karta.png", "A 56112-2025")</f>
        <v/>
      </c>
      <c r="V95">
        <f>HYPERLINK("https://klasma.github.io/Logging_0580/klagomål/A 56112-2025 FSC-klagomål.docx", "A 56112-2025")</f>
        <v/>
      </c>
      <c r="W95">
        <f>HYPERLINK("https://klasma.github.io/Logging_0580/klagomålsmail/A 56112-2025 FSC-klagomål mail.docx", "A 56112-2025")</f>
        <v/>
      </c>
      <c r="X95">
        <f>HYPERLINK("https://klasma.github.io/Logging_0580/tillsyn/A 56112-2025 tillsynsbegäran.docx", "A 56112-2025")</f>
        <v/>
      </c>
      <c r="Y95">
        <f>HYPERLINK("https://klasma.github.io/Logging_0580/tillsynsmail/A 56112-2025 tillsynsbegäran mail.docx", "A 56112-2025")</f>
        <v/>
      </c>
    </row>
    <row r="96" ht="15" customHeight="1">
      <c r="A96" t="inlineStr">
        <is>
          <t>A 59474-2025</t>
        </is>
      </c>
      <c r="B96" s="1" t="n">
        <v>45989.58512731481</v>
      </c>
      <c r="C96" s="1" t="n">
        <v>46094</v>
      </c>
      <c r="D96" t="inlineStr">
        <is>
          <t>ÖSTERGÖTLANDS LÄN</t>
        </is>
      </c>
      <c r="E96" t="inlineStr">
        <is>
          <t>LINKÖPING</t>
        </is>
      </c>
      <c r="G96" t="n">
        <v>8</v>
      </c>
      <c r="H96" t="n">
        <v>0</v>
      </c>
      <c r="I96" t="n">
        <v>1</v>
      </c>
      <c r="J96" t="n">
        <v>0</v>
      </c>
      <c r="K96" t="n">
        <v>0</v>
      </c>
      <c r="L96" t="n">
        <v>0</v>
      </c>
      <c r="M96" t="n">
        <v>0</v>
      </c>
      <c r="N96" t="n">
        <v>0</v>
      </c>
      <c r="O96" t="n">
        <v>0</v>
      </c>
      <c r="P96" t="n">
        <v>0</v>
      </c>
      <c r="Q96" t="n">
        <v>1</v>
      </c>
      <c r="R96" s="2" t="inlineStr">
        <is>
          <t>Fällmossa</t>
        </is>
      </c>
      <c r="S96">
        <f>HYPERLINK("https://klasma.github.io/Logging_0580/artfynd/A 59474-2025 artfynd.xlsx", "A 59474-2025")</f>
        <v/>
      </c>
      <c r="T96">
        <f>HYPERLINK("https://klasma.github.io/Logging_0580/kartor/A 59474-2025 karta.png", "A 59474-2025")</f>
        <v/>
      </c>
      <c r="V96">
        <f>HYPERLINK("https://klasma.github.io/Logging_0580/klagomål/A 59474-2025 FSC-klagomål.docx", "A 59474-2025")</f>
        <v/>
      </c>
      <c r="W96">
        <f>HYPERLINK("https://klasma.github.io/Logging_0580/klagomålsmail/A 59474-2025 FSC-klagomål mail.docx", "A 59474-2025")</f>
        <v/>
      </c>
      <c r="X96">
        <f>HYPERLINK("https://klasma.github.io/Logging_0580/tillsyn/A 59474-2025 tillsynsbegäran.docx", "A 59474-2025")</f>
        <v/>
      </c>
      <c r="Y96">
        <f>HYPERLINK("https://klasma.github.io/Logging_0580/tillsynsmail/A 59474-2025 tillsynsbegäran mail.docx", "A 59474-2025")</f>
        <v/>
      </c>
    </row>
    <row r="97" ht="15" customHeight="1">
      <c r="A97" t="inlineStr">
        <is>
          <t>A 60311-2025</t>
        </is>
      </c>
      <c r="B97" s="1" t="n">
        <v>45994</v>
      </c>
      <c r="C97" s="1" t="n">
        <v>46094</v>
      </c>
      <c r="D97" t="inlineStr">
        <is>
          <t>ÖSTERGÖTLANDS LÄN</t>
        </is>
      </c>
      <c r="E97" t="inlineStr">
        <is>
          <t>LINKÖPING</t>
        </is>
      </c>
      <c r="G97" t="n">
        <v>1.9</v>
      </c>
      <c r="H97" t="n">
        <v>0</v>
      </c>
      <c r="I97" t="n">
        <v>0</v>
      </c>
      <c r="J97" t="n">
        <v>1</v>
      </c>
      <c r="K97" t="n">
        <v>0</v>
      </c>
      <c r="L97" t="n">
        <v>0</v>
      </c>
      <c r="M97" t="n">
        <v>0</v>
      </c>
      <c r="N97" t="n">
        <v>0</v>
      </c>
      <c r="O97" t="n">
        <v>1</v>
      </c>
      <c r="P97" t="n">
        <v>0</v>
      </c>
      <c r="Q97" t="n">
        <v>1</v>
      </c>
      <c r="R97" s="2" t="inlineStr">
        <is>
          <t>Gammelekslav</t>
        </is>
      </c>
      <c r="S97">
        <f>HYPERLINK("https://klasma.github.io/Logging_0580/artfynd/A 60311-2025 artfynd.xlsx", "A 60311-2025")</f>
        <v/>
      </c>
      <c r="T97">
        <f>HYPERLINK("https://klasma.github.io/Logging_0580/kartor/A 60311-2025 karta.png", "A 60311-2025")</f>
        <v/>
      </c>
      <c r="V97">
        <f>HYPERLINK("https://klasma.github.io/Logging_0580/klagomål/A 60311-2025 FSC-klagomål.docx", "A 60311-2025")</f>
        <v/>
      </c>
      <c r="W97">
        <f>HYPERLINK("https://klasma.github.io/Logging_0580/klagomålsmail/A 60311-2025 FSC-klagomål mail.docx", "A 60311-2025")</f>
        <v/>
      </c>
      <c r="X97">
        <f>HYPERLINK("https://klasma.github.io/Logging_0580/tillsyn/A 60311-2025 tillsynsbegäran.docx", "A 60311-2025")</f>
        <v/>
      </c>
      <c r="Y97">
        <f>HYPERLINK("https://klasma.github.io/Logging_0580/tillsynsmail/A 60311-2025 tillsynsbegäran mail.docx", "A 60311-2025")</f>
        <v/>
      </c>
    </row>
    <row r="98" ht="15" customHeight="1">
      <c r="A98" t="inlineStr">
        <is>
          <t>A 38881-2021</t>
        </is>
      </c>
      <c r="B98" s="1" t="n">
        <v>44411.46893518518</v>
      </c>
      <c r="C98" s="1" t="n">
        <v>46094</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46094</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46094</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46094</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46094</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46094</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46094</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46094</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46094</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46094</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46094</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46094</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46094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46094</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46094</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46094</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46094</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46094</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46094</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46094</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46094</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46094</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46094</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46094</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46094</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46094</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46094</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46094</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46094</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46094</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46094</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46094</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46094</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46094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46094</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46094</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46094</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46094</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46094</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46094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46094</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46094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46094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46094</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46094</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46094</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46094</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46094</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46094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46094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46094</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54854-2022</t>
        </is>
      </c>
      <c r="B150" s="1" t="n">
        <v>44884</v>
      </c>
      <c r="C150" s="1" t="n">
        <v>46094</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54855-2022</t>
        </is>
      </c>
      <c r="B151" s="1" t="n">
        <v>44884.59502314815</v>
      </c>
      <c r="C151" s="1" t="n">
        <v>46094</v>
      </c>
      <c r="D151" t="inlineStr">
        <is>
          <t>ÖSTERGÖTLANDS LÄN</t>
        </is>
      </c>
      <c r="E151" t="inlineStr">
        <is>
          <t>LINKÖPING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33891-2021</t>
        </is>
      </c>
      <c r="B152" s="1" t="n">
        <v>44378</v>
      </c>
      <c r="C152" s="1" t="n">
        <v>46094</v>
      </c>
      <c r="D152" t="inlineStr">
        <is>
          <t>ÖSTERGÖTLANDS LÄN</t>
        </is>
      </c>
      <c r="E152" t="inlineStr">
        <is>
          <t>LINKÖPING</t>
        </is>
      </c>
      <c r="G152" t="n">
        <v>5.1</v>
      </c>
      <c r="H152" t="n">
        <v>0</v>
      </c>
      <c r="I152" t="n">
        <v>0</v>
      </c>
      <c r="J152" t="n">
        <v>0</v>
      </c>
      <c r="K152" t="n">
        <v>0</v>
      </c>
      <c r="L152" t="n">
        <v>0</v>
      </c>
      <c r="M152" t="n">
        <v>0</v>
      </c>
      <c r="N152" t="n">
        <v>0</v>
      </c>
      <c r="O152" t="n">
        <v>0</v>
      </c>
      <c r="P152" t="n">
        <v>0</v>
      </c>
      <c r="Q152" t="n">
        <v>0</v>
      </c>
      <c r="R152" s="2" t="inlineStr"/>
    </row>
    <row r="153" ht="15" customHeight="1">
      <c r="A153" t="inlineStr">
        <is>
          <t>A 19254-2021</t>
        </is>
      </c>
      <c r="B153" s="1" t="n">
        <v>44309.38962962963</v>
      </c>
      <c r="C153" s="1" t="n">
        <v>46094</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61302-2021</t>
        </is>
      </c>
      <c r="B154" s="1" t="n">
        <v>44498.63189814815</v>
      </c>
      <c r="C154" s="1" t="n">
        <v>46094</v>
      </c>
      <c r="D154" t="inlineStr">
        <is>
          <t>ÖSTERGÖTLANDS LÄN</t>
        </is>
      </c>
      <c r="E154" t="inlineStr">
        <is>
          <t>LINKÖPING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46094</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20901-2021</t>
        </is>
      </c>
      <c r="B156" s="1" t="n">
        <v>44319</v>
      </c>
      <c r="C156" s="1" t="n">
        <v>46094</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61153-2021</t>
        </is>
      </c>
      <c r="B157" s="1" t="n">
        <v>44497</v>
      </c>
      <c r="C157" s="1" t="n">
        <v>46094</v>
      </c>
      <c r="D157" t="inlineStr">
        <is>
          <t>ÖSTERGÖTLANDS LÄN</t>
        </is>
      </c>
      <c r="E157" t="inlineStr">
        <is>
          <t>LINKÖPING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33885-2021</t>
        </is>
      </c>
      <c r="B158" s="1" t="n">
        <v>44378</v>
      </c>
      <c r="C158" s="1" t="n">
        <v>46094</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12413-2022</t>
        </is>
      </c>
      <c r="B159" s="1" t="n">
        <v>44638</v>
      </c>
      <c r="C159" s="1" t="n">
        <v>46094</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46094</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65398-2021</t>
        </is>
      </c>
      <c r="B161" s="1" t="n">
        <v>44515</v>
      </c>
      <c r="C161" s="1" t="n">
        <v>46094</v>
      </c>
      <c r="D161" t="inlineStr">
        <is>
          <t>ÖSTERGÖTLANDS LÄN</t>
        </is>
      </c>
      <c r="E161" t="inlineStr">
        <is>
          <t>LINKÖPING</t>
        </is>
      </c>
      <c r="F161" t="inlineStr">
        <is>
          <t>Övriga statliga verk och myndigheter</t>
        </is>
      </c>
      <c r="G161" t="n">
        <v>2.4</v>
      </c>
      <c r="H161" t="n">
        <v>0</v>
      </c>
      <c r="I161" t="n">
        <v>0</v>
      </c>
      <c r="J161" t="n">
        <v>0</v>
      </c>
      <c r="K161" t="n">
        <v>0</v>
      </c>
      <c r="L161" t="n">
        <v>0</v>
      </c>
      <c r="M161" t="n">
        <v>0</v>
      </c>
      <c r="N161" t="n">
        <v>0</v>
      </c>
      <c r="O161" t="n">
        <v>0</v>
      </c>
      <c r="P161" t="n">
        <v>0</v>
      </c>
      <c r="Q161" t="n">
        <v>0</v>
      </c>
      <c r="R161" s="2" t="inlineStr"/>
    </row>
    <row r="162" ht="15" customHeight="1">
      <c r="A162" t="inlineStr">
        <is>
          <t>A 46490-2022</t>
        </is>
      </c>
      <c r="B162" s="1" t="n">
        <v>44848</v>
      </c>
      <c r="C162" s="1" t="n">
        <v>46094</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41426-2022</t>
        </is>
      </c>
      <c r="B163" s="1" t="n">
        <v>44826</v>
      </c>
      <c r="C163" s="1" t="n">
        <v>46094</v>
      </c>
      <c r="D163" t="inlineStr">
        <is>
          <t>ÖSTERGÖTLANDS LÄN</t>
        </is>
      </c>
      <c r="E163" t="inlineStr">
        <is>
          <t>LINKÖPING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34162-2022</t>
        </is>
      </c>
      <c r="B164" s="1" t="n">
        <v>44791</v>
      </c>
      <c r="C164" s="1" t="n">
        <v>46094</v>
      </c>
      <c r="D164" t="inlineStr">
        <is>
          <t>ÖSTERGÖTLANDS LÄN</t>
        </is>
      </c>
      <c r="E164" t="inlineStr">
        <is>
          <t>LINKÖPING</t>
        </is>
      </c>
      <c r="G164" t="n">
        <v>3</v>
      </c>
      <c r="H164" t="n">
        <v>0</v>
      </c>
      <c r="I164" t="n">
        <v>0</v>
      </c>
      <c r="J164" t="n">
        <v>0</v>
      </c>
      <c r="K164" t="n">
        <v>0</v>
      </c>
      <c r="L164" t="n">
        <v>0</v>
      </c>
      <c r="M164" t="n">
        <v>0</v>
      </c>
      <c r="N164" t="n">
        <v>0</v>
      </c>
      <c r="O164" t="n">
        <v>0</v>
      </c>
      <c r="P164" t="n">
        <v>0</v>
      </c>
      <c r="Q164" t="n">
        <v>0</v>
      </c>
      <c r="R164" s="2" t="inlineStr"/>
    </row>
    <row r="165" ht="15" customHeight="1">
      <c r="A165" t="inlineStr">
        <is>
          <t>A 67912-2021</t>
        </is>
      </c>
      <c r="B165" s="1" t="n">
        <v>44525</v>
      </c>
      <c r="C165" s="1" t="n">
        <v>46094</v>
      </c>
      <c r="D165" t="inlineStr">
        <is>
          <t>ÖSTERGÖTLANDS LÄN</t>
        </is>
      </c>
      <c r="E165" t="inlineStr">
        <is>
          <t>LINKÖPING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67940-2021</t>
        </is>
      </c>
      <c r="B166" s="1" t="n">
        <v>44525.62849537037</v>
      </c>
      <c r="C166" s="1" t="n">
        <v>46094</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61298-2021</t>
        </is>
      </c>
      <c r="B167" s="1" t="n">
        <v>44498.62533564815</v>
      </c>
      <c r="C167" s="1" t="n">
        <v>46094</v>
      </c>
      <c r="D167" t="inlineStr">
        <is>
          <t>ÖSTERGÖTLANDS LÄN</t>
        </is>
      </c>
      <c r="E167" t="inlineStr">
        <is>
          <t>LINKÖPING</t>
        </is>
      </c>
      <c r="G167" t="n">
        <v>4.3</v>
      </c>
      <c r="H167" t="n">
        <v>0</v>
      </c>
      <c r="I167" t="n">
        <v>0</v>
      </c>
      <c r="J167" t="n">
        <v>0</v>
      </c>
      <c r="K167" t="n">
        <v>0</v>
      </c>
      <c r="L167" t="n">
        <v>0</v>
      </c>
      <c r="M167" t="n">
        <v>0</v>
      </c>
      <c r="N167" t="n">
        <v>0</v>
      </c>
      <c r="O167" t="n">
        <v>0</v>
      </c>
      <c r="P167" t="n">
        <v>0</v>
      </c>
      <c r="Q167" t="n">
        <v>0</v>
      </c>
      <c r="R167" s="2" t="inlineStr"/>
    </row>
    <row r="168" ht="15" customHeight="1">
      <c r="A168" t="inlineStr">
        <is>
          <t>A 61333-2021</t>
        </is>
      </c>
      <c r="B168" s="1" t="n">
        <v>44498.6764699074</v>
      </c>
      <c r="C168" s="1" t="n">
        <v>46094</v>
      </c>
      <c r="D168" t="inlineStr">
        <is>
          <t>ÖSTERGÖTLANDS LÄN</t>
        </is>
      </c>
      <c r="E168" t="inlineStr">
        <is>
          <t>LINKÖPING</t>
        </is>
      </c>
      <c r="G168" t="n">
        <v>7.5</v>
      </c>
      <c r="H168" t="n">
        <v>0</v>
      </c>
      <c r="I168" t="n">
        <v>0</v>
      </c>
      <c r="J168" t="n">
        <v>0</v>
      </c>
      <c r="K168" t="n">
        <v>0</v>
      </c>
      <c r="L168" t="n">
        <v>0</v>
      </c>
      <c r="M168" t="n">
        <v>0</v>
      </c>
      <c r="N168" t="n">
        <v>0</v>
      </c>
      <c r="O168" t="n">
        <v>0</v>
      </c>
      <c r="P168" t="n">
        <v>0</v>
      </c>
      <c r="Q168" t="n">
        <v>0</v>
      </c>
      <c r="R168" s="2" t="inlineStr"/>
    </row>
    <row r="169" ht="15" customHeight="1">
      <c r="A169" t="inlineStr">
        <is>
          <t>A 12412-2022</t>
        </is>
      </c>
      <c r="B169" s="1" t="n">
        <v>44638</v>
      </c>
      <c r="C169" s="1" t="n">
        <v>46094</v>
      </c>
      <c r="D169" t="inlineStr">
        <is>
          <t>ÖSTERGÖTLANDS LÄN</t>
        </is>
      </c>
      <c r="E169" t="inlineStr">
        <is>
          <t>LINKÖPING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28447-2021</t>
        </is>
      </c>
      <c r="B170" s="1" t="n">
        <v>44356</v>
      </c>
      <c r="C170" s="1" t="n">
        <v>46094</v>
      </c>
      <c r="D170" t="inlineStr">
        <is>
          <t>ÖSTERGÖTLANDS LÄN</t>
        </is>
      </c>
      <c r="E170" t="inlineStr">
        <is>
          <t>LINKÖPING</t>
        </is>
      </c>
      <c r="G170" t="n">
        <v>2</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46094</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33134-2022</t>
        </is>
      </c>
      <c r="B172" s="1" t="n">
        <v>44785</v>
      </c>
      <c r="C172" s="1" t="n">
        <v>46094</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31705-2022</t>
        </is>
      </c>
      <c r="B173" s="1" t="n">
        <v>44776.43607638889</v>
      </c>
      <c r="C173" s="1" t="n">
        <v>46094</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46094</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34486-2021</t>
        </is>
      </c>
      <c r="B175" s="1" t="n">
        <v>44382.29295138889</v>
      </c>
      <c r="C175" s="1" t="n">
        <v>46094</v>
      </c>
      <c r="D175" t="inlineStr">
        <is>
          <t>ÖSTERGÖTLANDS LÄN</t>
        </is>
      </c>
      <c r="E175" t="inlineStr">
        <is>
          <t>LINKÖPING</t>
        </is>
      </c>
      <c r="G175" t="n">
        <v>4.4</v>
      </c>
      <c r="H175" t="n">
        <v>0</v>
      </c>
      <c r="I175" t="n">
        <v>0</v>
      </c>
      <c r="J175" t="n">
        <v>0</v>
      </c>
      <c r="K175" t="n">
        <v>0</v>
      </c>
      <c r="L175" t="n">
        <v>0</v>
      </c>
      <c r="M175" t="n">
        <v>0</v>
      </c>
      <c r="N175" t="n">
        <v>0</v>
      </c>
      <c r="O175" t="n">
        <v>0</v>
      </c>
      <c r="P175" t="n">
        <v>0</v>
      </c>
      <c r="Q175" t="n">
        <v>0</v>
      </c>
      <c r="R175" s="2" t="inlineStr"/>
    </row>
    <row r="176" ht="15" customHeight="1">
      <c r="A176" t="inlineStr">
        <is>
          <t>A 19318-2022</t>
        </is>
      </c>
      <c r="B176" s="1" t="n">
        <v>44692.5827662037</v>
      </c>
      <c r="C176" s="1" t="n">
        <v>46094</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46094</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46094</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46094</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46094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54467-2022</t>
        </is>
      </c>
      <c r="B181" s="1" t="n">
        <v>44882</v>
      </c>
      <c r="C181" s="1" t="n">
        <v>46094</v>
      </c>
      <c r="D181" t="inlineStr">
        <is>
          <t>ÖSTERGÖTLANDS LÄN</t>
        </is>
      </c>
      <c r="E181" t="inlineStr">
        <is>
          <t>LINKÖPING</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32255-2021</t>
        </is>
      </c>
      <c r="B182" s="1" t="n">
        <v>44371.45949074074</v>
      </c>
      <c r="C182" s="1" t="n">
        <v>46094</v>
      </c>
      <c r="D182" t="inlineStr">
        <is>
          <t>ÖSTERGÖTLANDS LÄN</t>
        </is>
      </c>
      <c r="E182" t="inlineStr">
        <is>
          <t>LINKÖPING</t>
        </is>
      </c>
      <c r="F182" t="inlineStr">
        <is>
          <t>Övriga Aktiebolag</t>
        </is>
      </c>
      <c r="G182" t="n">
        <v>1.1</v>
      </c>
      <c r="H182" t="n">
        <v>0</v>
      </c>
      <c r="I182" t="n">
        <v>0</v>
      </c>
      <c r="J182" t="n">
        <v>0</v>
      </c>
      <c r="K182" t="n">
        <v>0</v>
      </c>
      <c r="L182" t="n">
        <v>0</v>
      </c>
      <c r="M182" t="n">
        <v>0</v>
      </c>
      <c r="N182" t="n">
        <v>0</v>
      </c>
      <c r="O182" t="n">
        <v>0</v>
      </c>
      <c r="P182" t="n">
        <v>0</v>
      </c>
      <c r="Q182" t="n">
        <v>0</v>
      </c>
      <c r="R182" s="2" t="inlineStr"/>
    </row>
    <row r="183" ht="15" customHeight="1">
      <c r="A183" t="inlineStr">
        <is>
          <t>A 31732-2022</t>
        </is>
      </c>
      <c r="B183" s="1" t="n">
        <v>44776.49267361111</v>
      </c>
      <c r="C183" s="1" t="n">
        <v>46094</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46094</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54845-2023</t>
        </is>
      </c>
      <c r="B185" s="1" t="n">
        <v>45236</v>
      </c>
      <c r="C185" s="1" t="n">
        <v>46094</v>
      </c>
      <c r="D185" t="inlineStr">
        <is>
          <t>ÖSTERGÖTLANDS LÄN</t>
        </is>
      </c>
      <c r="E185" t="inlineStr">
        <is>
          <t>LINKÖPING</t>
        </is>
      </c>
      <c r="F185" t="inlineStr">
        <is>
          <t>Övriga Aktiebolag</t>
        </is>
      </c>
      <c r="G185" t="n">
        <v>5.7</v>
      </c>
      <c r="H185" t="n">
        <v>0</v>
      </c>
      <c r="I185" t="n">
        <v>0</v>
      </c>
      <c r="J185" t="n">
        <v>0</v>
      </c>
      <c r="K185" t="n">
        <v>0</v>
      </c>
      <c r="L185" t="n">
        <v>0</v>
      </c>
      <c r="M185" t="n">
        <v>0</v>
      </c>
      <c r="N185" t="n">
        <v>0</v>
      </c>
      <c r="O185" t="n">
        <v>0</v>
      </c>
      <c r="P185" t="n">
        <v>0</v>
      </c>
      <c r="Q185" t="n">
        <v>0</v>
      </c>
      <c r="R185" s="2" t="inlineStr"/>
    </row>
    <row r="186" ht="15" customHeight="1">
      <c r="A186" t="inlineStr">
        <is>
          <t>A 62488-2023</t>
        </is>
      </c>
      <c r="B186" s="1" t="n">
        <v>45268.5847337963</v>
      </c>
      <c r="C186" s="1" t="n">
        <v>46094</v>
      </c>
      <c r="D186" t="inlineStr">
        <is>
          <t>ÖSTERGÖTLANDS LÄN</t>
        </is>
      </c>
      <c r="E186" t="inlineStr">
        <is>
          <t>LINKÖPING</t>
        </is>
      </c>
      <c r="G186" t="n">
        <v>4.1</v>
      </c>
      <c r="H186" t="n">
        <v>0</v>
      </c>
      <c r="I186" t="n">
        <v>0</v>
      </c>
      <c r="J186" t="n">
        <v>0</v>
      </c>
      <c r="K186" t="n">
        <v>0</v>
      </c>
      <c r="L186" t="n">
        <v>0</v>
      </c>
      <c r="M186" t="n">
        <v>0</v>
      </c>
      <c r="N186" t="n">
        <v>0</v>
      </c>
      <c r="O186" t="n">
        <v>0</v>
      </c>
      <c r="P186" t="n">
        <v>0</v>
      </c>
      <c r="Q186" t="n">
        <v>0</v>
      </c>
      <c r="R186" s="2" t="inlineStr"/>
    </row>
    <row r="187" ht="15" customHeight="1">
      <c r="A187" t="inlineStr">
        <is>
          <t>A 24351-2024</t>
        </is>
      </c>
      <c r="B187" s="1" t="n">
        <v>45457.59011574074</v>
      </c>
      <c r="C187" s="1" t="n">
        <v>46094</v>
      </c>
      <c r="D187" t="inlineStr">
        <is>
          <t>ÖSTERGÖTLANDS LÄN</t>
        </is>
      </c>
      <c r="E187" t="inlineStr">
        <is>
          <t>LINKÖPING</t>
        </is>
      </c>
      <c r="G187" t="n">
        <v>11.9</v>
      </c>
      <c r="H187" t="n">
        <v>0</v>
      </c>
      <c r="I187" t="n">
        <v>0</v>
      </c>
      <c r="J187" t="n">
        <v>0</v>
      </c>
      <c r="K187" t="n">
        <v>0</v>
      </c>
      <c r="L187" t="n">
        <v>0</v>
      </c>
      <c r="M187" t="n">
        <v>0</v>
      </c>
      <c r="N187" t="n">
        <v>0</v>
      </c>
      <c r="O187" t="n">
        <v>0</v>
      </c>
      <c r="P187" t="n">
        <v>0</v>
      </c>
      <c r="Q187" t="n">
        <v>0</v>
      </c>
      <c r="R187" s="2" t="inlineStr"/>
    </row>
    <row r="188" ht="15" customHeight="1">
      <c r="A188" t="inlineStr">
        <is>
          <t>A 61281-2021</t>
        </is>
      </c>
      <c r="B188" s="1" t="n">
        <v>44498.60736111111</v>
      </c>
      <c r="C188" s="1" t="n">
        <v>46094</v>
      </c>
      <c r="D188" t="inlineStr">
        <is>
          <t>ÖSTERGÖTLANDS LÄN</t>
        </is>
      </c>
      <c r="E188" t="inlineStr">
        <is>
          <t>LINKÖPING</t>
        </is>
      </c>
      <c r="G188" t="n">
        <v>4.5</v>
      </c>
      <c r="H188" t="n">
        <v>0</v>
      </c>
      <c r="I188" t="n">
        <v>0</v>
      </c>
      <c r="J188" t="n">
        <v>0</v>
      </c>
      <c r="K188" t="n">
        <v>0</v>
      </c>
      <c r="L188" t="n">
        <v>0</v>
      </c>
      <c r="M188" t="n">
        <v>0</v>
      </c>
      <c r="N188" t="n">
        <v>0</v>
      </c>
      <c r="O188" t="n">
        <v>0</v>
      </c>
      <c r="P188" t="n">
        <v>0</v>
      </c>
      <c r="Q188" t="n">
        <v>0</v>
      </c>
      <c r="R188" s="2" t="inlineStr"/>
    </row>
    <row r="189" ht="15" customHeight="1">
      <c r="A189" t="inlineStr">
        <is>
          <t>A 38235-2022</t>
        </is>
      </c>
      <c r="B189" s="1" t="n">
        <v>44812</v>
      </c>
      <c r="C189" s="1" t="n">
        <v>46094</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34880-2022</t>
        </is>
      </c>
      <c r="B190" s="1" t="n">
        <v>44796</v>
      </c>
      <c r="C190" s="1" t="n">
        <v>46094</v>
      </c>
      <c r="D190" t="inlineStr">
        <is>
          <t>ÖSTERGÖTLANDS LÄN</t>
        </is>
      </c>
      <c r="E190" t="inlineStr">
        <is>
          <t>LINKÖPING</t>
        </is>
      </c>
      <c r="F190" t="inlineStr">
        <is>
          <t>Övriga statliga verk och myndigheter</t>
        </is>
      </c>
      <c r="G190" t="n">
        <v>4</v>
      </c>
      <c r="H190" t="n">
        <v>0</v>
      </c>
      <c r="I190" t="n">
        <v>0</v>
      </c>
      <c r="J190" t="n">
        <v>0</v>
      </c>
      <c r="K190" t="n">
        <v>0</v>
      </c>
      <c r="L190" t="n">
        <v>0</v>
      </c>
      <c r="M190" t="n">
        <v>0</v>
      </c>
      <c r="N190" t="n">
        <v>0</v>
      </c>
      <c r="O190" t="n">
        <v>0</v>
      </c>
      <c r="P190" t="n">
        <v>0</v>
      </c>
      <c r="Q190" t="n">
        <v>0</v>
      </c>
      <c r="R190" s="2" t="inlineStr"/>
    </row>
    <row r="191" ht="15" customHeight="1">
      <c r="A191" t="inlineStr">
        <is>
          <t>A 48042-2022</t>
        </is>
      </c>
      <c r="B191" s="1" t="n">
        <v>44855</v>
      </c>
      <c r="C191" s="1" t="n">
        <v>46094</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52796-2023</t>
        </is>
      </c>
      <c r="B192" s="1" t="n">
        <v>45219</v>
      </c>
      <c r="C192" s="1" t="n">
        <v>46094</v>
      </c>
      <c r="D192" t="inlineStr">
        <is>
          <t>ÖSTERGÖTLANDS LÄN</t>
        </is>
      </c>
      <c r="E192" t="inlineStr">
        <is>
          <t>LINKÖPING</t>
        </is>
      </c>
      <c r="F192" t="inlineStr">
        <is>
          <t>Övriga statliga verk och myndigheter</t>
        </is>
      </c>
      <c r="G192" t="n">
        <v>3.9</v>
      </c>
      <c r="H192" t="n">
        <v>0</v>
      </c>
      <c r="I192" t="n">
        <v>0</v>
      </c>
      <c r="J192" t="n">
        <v>0</v>
      </c>
      <c r="K192" t="n">
        <v>0</v>
      </c>
      <c r="L192" t="n">
        <v>0</v>
      </c>
      <c r="M192" t="n">
        <v>0</v>
      </c>
      <c r="N192" t="n">
        <v>0</v>
      </c>
      <c r="O192" t="n">
        <v>0</v>
      </c>
      <c r="P192" t="n">
        <v>0</v>
      </c>
      <c r="Q192" t="n">
        <v>0</v>
      </c>
      <c r="R192" s="2" t="inlineStr"/>
    </row>
    <row r="193" ht="15" customHeight="1">
      <c r="A193" t="inlineStr">
        <is>
          <t>A 6206-2024</t>
        </is>
      </c>
      <c r="B193" s="1" t="n">
        <v>45337.5977662037</v>
      </c>
      <c r="C193" s="1" t="n">
        <v>46094</v>
      </c>
      <c r="D193" t="inlineStr">
        <is>
          <t>ÖSTERGÖTLANDS LÄN</t>
        </is>
      </c>
      <c r="E193" t="inlineStr">
        <is>
          <t>LINKÖPING</t>
        </is>
      </c>
      <c r="G193" t="n">
        <v>2</v>
      </c>
      <c r="H193" t="n">
        <v>0</v>
      </c>
      <c r="I193" t="n">
        <v>0</v>
      </c>
      <c r="J193" t="n">
        <v>0</v>
      </c>
      <c r="K193" t="n">
        <v>0</v>
      </c>
      <c r="L193" t="n">
        <v>0</v>
      </c>
      <c r="M193" t="n">
        <v>0</v>
      </c>
      <c r="N193" t="n">
        <v>0</v>
      </c>
      <c r="O193" t="n">
        <v>0</v>
      </c>
      <c r="P193" t="n">
        <v>0</v>
      </c>
      <c r="Q193" t="n">
        <v>0</v>
      </c>
      <c r="R193" s="2" t="inlineStr"/>
    </row>
    <row r="194" ht="15" customHeight="1">
      <c r="A194" t="inlineStr">
        <is>
          <t>A 4240-2022</t>
        </is>
      </c>
      <c r="B194" s="1" t="n">
        <v>44588</v>
      </c>
      <c r="C194" s="1" t="n">
        <v>46094</v>
      </c>
      <c r="D194" t="inlineStr">
        <is>
          <t>ÖSTERGÖTLANDS LÄN</t>
        </is>
      </c>
      <c r="E194" t="inlineStr">
        <is>
          <t>LINKÖPING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30855-2022</t>
        </is>
      </c>
      <c r="B195" s="1" t="n">
        <v>44767</v>
      </c>
      <c r="C195" s="1" t="n">
        <v>46094</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168-2024</t>
        </is>
      </c>
      <c r="B196" s="1" t="n">
        <v>45294</v>
      </c>
      <c r="C196" s="1" t="n">
        <v>46094</v>
      </c>
      <c r="D196" t="inlineStr">
        <is>
          <t>ÖSTERGÖTLANDS LÄN</t>
        </is>
      </c>
      <c r="E196" t="inlineStr">
        <is>
          <t>LINKÖPING</t>
        </is>
      </c>
      <c r="F196" t="inlineStr">
        <is>
          <t>Allmännings- och besparingsskogar</t>
        </is>
      </c>
      <c r="G196" t="n">
        <v>8.9</v>
      </c>
      <c r="H196" t="n">
        <v>0</v>
      </c>
      <c r="I196" t="n">
        <v>0</v>
      </c>
      <c r="J196" t="n">
        <v>0</v>
      </c>
      <c r="K196" t="n">
        <v>0</v>
      </c>
      <c r="L196" t="n">
        <v>0</v>
      </c>
      <c r="M196" t="n">
        <v>0</v>
      </c>
      <c r="N196" t="n">
        <v>0</v>
      </c>
      <c r="O196" t="n">
        <v>0</v>
      </c>
      <c r="P196" t="n">
        <v>0</v>
      </c>
      <c r="Q196" t="n">
        <v>0</v>
      </c>
      <c r="R196" s="2" t="inlineStr"/>
    </row>
    <row r="197" ht="15" customHeight="1">
      <c r="A197" t="inlineStr">
        <is>
          <t>A 34877-2023</t>
        </is>
      </c>
      <c r="B197" s="1" t="n">
        <v>45140</v>
      </c>
      <c r="C197" s="1" t="n">
        <v>46094</v>
      </c>
      <c r="D197" t="inlineStr">
        <is>
          <t>ÖSTERGÖTLANDS LÄN</t>
        </is>
      </c>
      <c r="E197" t="inlineStr">
        <is>
          <t>LINKÖPING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3008-2023</t>
        </is>
      </c>
      <c r="B198" s="1" t="n">
        <v>44945.79784722222</v>
      </c>
      <c r="C198" s="1" t="n">
        <v>46094</v>
      </c>
      <c r="D198" t="inlineStr">
        <is>
          <t>ÖSTERGÖTLANDS LÄN</t>
        </is>
      </c>
      <c r="E198" t="inlineStr">
        <is>
          <t>LINKÖPING</t>
        </is>
      </c>
      <c r="G198" t="n">
        <v>19.3</v>
      </c>
      <c r="H198" t="n">
        <v>0</v>
      </c>
      <c r="I198" t="n">
        <v>0</v>
      </c>
      <c r="J198" t="n">
        <v>0</v>
      </c>
      <c r="K198" t="n">
        <v>0</v>
      </c>
      <c r="L198" t="n">
        <v>0</v>
      </c>
      <c r="M198" t="n">
        <v>0</v>
      </c>
      <c r="N198" t="n">
        <v>0</v>
      </c>
      <c r="O198" t="n">
        <v>0</v>
      </c>
      <c r="P198" t="n">
        <v>0</v>
      </c>
      <c r="Q198" t="n">
        <v>0</v>
      </c>
      <c r="R198" s="2" t="inlineStr"/>
    </row>
    <row r="199" ht="15" customHeight="1">
      <c r="A199" t="inlineStr">
        <is>
          <t>A 12035-2025</t>
        </is>
      </c>
      <c r="B199" s="1" t="n">
        <v>45728.64946759259</v>
      </c>
      <c r="C199" s="1" t="n">
        <v>46094</v>
      </c>
      <c r="D199" t="inlineStr">
        <is>
          <t>ÖSTERGÖTLANDS LÄN</t>
        </is>
      </c>
      <c r="E199" t="inlineStr">
        <is>
          <t>LINKÖPING</t>
        </is>
      </c>
      <c r="G199" t="n">
        <v>3.7</v>
      </c>
      <c r="H199" t="n">
        <v>0</v>
      </c>
      <c r="I199" t="n">
        <v>0</v>
      </c>
      <c r="J199" t="n">
        <v>0</v>
      </c>
      <c r="K199" t="n">
        <v>0</v>
      </c>
      <c r="L199" t="n">
        <v>0</v>
      </c>
      <c r="M199" t="n">
        <v>0</v>
      </c>
      <c r="N199" t="n">
        <v>0</v>
      </c>
      <c r="O199" t="n">
        <v>0</v>
      </c>
      <c r="P199" t="n">
        <v>0</v>
      </c>
      <c r="Q199" t="n">
        <v>0</v>
      </c>
      <c r="R199" s="2" t="inlineStr"/>
    </row>
    <row r="200" ht="15" customHeight="1">
      <c r="A200" t="inlineStr">
        <is>
          <t>A 51919-2024</t>
        </is>
      </c>
      <c r="B200" s="1" t="n">
        <v>45607.60791666667</v>
      </c>
      <c r="C200" s="1" t="n">
        <v>46094</v>
      </c>
      <c r="D200" t="inlineStr">
        <is>
          <t>ÖSTERGÖTLANDS LÄN</t>
        </is>
      </c>
      <c r="E200" t="inlineStr">
        <is>
          <t>LINKÖPING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30856-2022</t>
        </is>
      </c>
      <c r="B201" s="1" t="n">
        <v>44767</v>
      </c>
      <c r="C201" s="1" t="n">
        <v>46094</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56623-2024</t>
        </is>
      </c>
      <c r="B202" s="1" t="n">
        <v>45625</v>
      </c>
      <c r="C202" s="1" t="n">
        <v>46094</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11330-2023</t>
        </is>
      </c>
      <c r="B203" s="1" t="n">
        <v>44993.24648148148</v>
      </c>
      <c r="C203" s="1" t="n">
        <v>46094</v>
      </c>
      <c r="D203" t="inlineStr">
        <is>
          <t>ÖSTERGÖTLANDS LÄN</t>
        </is>
      </c>
      <c r="E203" t="inlineStr">
        <is>
          <t>LINKÖPING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63304-2021</t>
        </is>
      </c>
      <c r="B204" s="1" t="n">
        <v>44508.4396412037</v>
      </c>
      <c r="C204" s="1" t="n">
        <v>46094</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46891-2021</t>
        </is>
      </c>
      <c r="B205" s="1" t="n">
        <v>44446.44587962963</v>
      </c>
      <c r="C205" s="1" t="n">
        <v>46094</v>
      </c>
      <c r="D205" t="inlineStr">
        <is>
          <t>ÖSTERGÖTLANDS LÄN</t>
        </is>
      </c>
      <c r="E205" t="inlineStr">
        <is>
          <t>LINKÖPING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46094</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46094</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14528-2025</t>
        </is>
      </c>
      <c r="B208" s="1" t="n">
        <v>45741</v>
      </c>
      <c r="C208" s="1" t="n">
        <v>46094</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28266-2024</t>
        </is>
      </c>
      <c r="B209" s="1" t="n">
        <v>45477.43600694444</v>
      </c>
      <c r="C209" s="1" t="n">
        <v>46094</v>
      </c>
      <c r="D209" t="inlineStr">
        <is>
          <t>ÖSTERGÖTLANDS LÄN</t>
        </is>
      </c>
      <c r="E209" t="inlineStr">
        <is>
          <t>LINKÖPING</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25418-2023</t>
        </is>
      </c>
      <c r="B210" s="1" t="n">
        <v>45089</v>
      </c>
      <c r="C210" s="1" t="n">
        <v>46094</v>
      </c>
      <c r="D210" t="inlineStr">
        <is>
          <t>ÖSTERGÖTLANDS LÄN</t>
        </is>
      </c>
      <c r="E210" t="inlineStr">
        <is>
          <t>LINKÖPING</t>
        </is>
      </c>
      <c r="F210" t="inlineStr">
        <is>
          <t>Övriga Aktiebolag</t>
        </is>
      </c>
      <c r="G210" t="n">
        <v>2.4</v>
      </c>
      <c r="H210" t="n">
        <v>0</v>
      </c>
      <c r="I210" t="n">
        <v>0</v>
      </c>
      <c r="J210" t="n">
        <v>0</v>
      </c>
      <c r="K210" t="n">
        <v>0</v>
      </c>
      <c r="L210" t="n">
        <v>0</v>
      </c>
      <c r="M210" t="n">
        <v>0</v>
      </c>
      <c r="N210" t="n">
        <v>0</v>
      </c>
      <c r="O210" t="n">
        <v>0</v>
      </c>
      <c r="P210" t="n">
        <v>0</v>
      </c>
      <c r="Q210" t="n">
        <v>0</v>
      </c>
      <c r="R210" s="2" t="inlineStr"/>
    </row>
    <row r="211" ht="15" customHeight="1">
      <c r="A211" t="inlineStr">
        <is>
          <t>A 57745-2022</t>
        </is>
      </c>
      <c r="B211" s="1" t="n">
        <v>44897.58119212963</v>
      </c>
      <c r="C211" s="1" t="n">
        <v>46094</v>
      </c>
      <c r="D211" t="inlineStr">
        <is>
          <t>ÖSTERGÖTLANDS LÄN</t>
        </is>
      </c>
      <c r="E211" t="inlineStr">
        <is>
          <t>LINKÖPING</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22772-2024</t>
        </is>
      </c>
      <c r="B212" s="1" t="n">
        <v>45448.46712962963</v>
      </c>
      <c r="C212" s="1" t="n">
        <v>46094</v>
      </c>
      <c r="D212" t="inlineStr">
        <is>
          <t>ÖSTERGÖTLANDS LÄN</t>
        </is>
      </c>
      <c r="E212" t="inlineStr">
        <is>
          <t>LINKÖPING</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3530-2024</t>
        </is>
      </c>
      <c r="B213" s="1" t="n">
        <v>45320.54717592592</v>
      </c>
      <c r="C213" s="1" t="n">
        <v>46094</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62073-2023</t>
        </is>
      </c>
      <c r="B214" s="1" t="n">
        <v>45266.73844907407</v>
      </c>
      <c r="C214" s="1" t="n">
        <v>46094</v>
      </c>
      <c r="D214" t="inlineStr">
        <is>
          <t>ÖSTERGÖTLANDS LÄN</t>
        </is>
      </c>
      <c r="E214" t="inlineStr">
        <is>
          <t>LINKÖPING</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46094</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5872-2025</t>
        </is>
      </c>
      <c r="B216" s="1" t="n">
        <v>45695.36659722222</v>
      </c>
      <c r="C216" s="1" t="n">
        <v>46094</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20455-2024</t>
        </is>
      </c>
      <c r="B217" s="1" t="n">
        <v>45435.65314814815</v>
      </c>
      <c r="C217" s="1" t="n">
        <v>46094</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224-2024</t>
        </is>
      </c>
      <c r="B218" s="1" t="n">
        <v>45294</v>
      </c>
      <c r="C218" s="1" t="n">
        <v>46094</v>
      </c>
      <c r="D218" t="inlineStr">
        <is>
          <t>ÖSTERGÖTLANDS LÄN</t>
        </is>
      </c>
      <c r="E218" t="inlineStr">
        <is>
          <t>LINKÖPING</t>
        </is>
      </c>
      <c r="G218" t="n">
        <v>2.8</v>
      </c>
      <c r="H218" t="n">
        <v>0</v>
      </c>
      <c r="I218" t="n">
        <v>0</v>
      </c>
      <c r="J218" t="n">
        <v>0</v>
      </c>
      <c r="K218" t="n">
        <v>0</v>
      </c>
      <c r="L218" t="n">
        <v>0</v>
      </c>
      <c r="M218" t="n">
        <v>0</v>
      </c>
      <c r="N218" t="n">
        <v>0</v>
      </c>
      <c r="O218" t="n">
        <v>0</v>
      </c>
      <c r="P218" t="n">
        <v>0</v>
      </c>
      <c r="Q218" t="n">
        <v>0</v>
      </c>
      <c r="R218" s="2" t="inlineStr"/>
    </row>
    <row r="219" ht="15" customHeight="1">
      <c r="A219" t="inlineStr">
        <is>
          <t>A 53814-2023</t>
        </is>
      </c>
      <c r="B219" s="1" t="n">
        <v>45231</v>
      </c>
      <c r="C219" s="1" t="n">
        <v>46094</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3432-2023</t>
        </is>
      </c>
      <c r="B220" s="1" t="n">
        <v>44949</v>
      </c>
      <c r="C220" s="1" t="n">
        <v>46094</v>
      </c>
      <c r="D220" t="inlineStr">
        <is>
          <t>ÖSTERGÖTLANDS LÄN</t>
        </is>
      </c>
      <c r="E220" t="inlineStr">
        <is>
          <t>LINKÖPING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1993-2023</t>
        </is>
      </c>
      <c r="B221" s="1" t="n">
        <v>44939</v>
      </c>
      <c r="C221" s="1" t="n">
        <v>46094</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54425-2022</t>
        </is>
      </c>
      <c r="B222" s="1" t="n">
        <v>44882.57453703704</v>
      </c>
      <c r="C222" s="1" t="n">
        <v>46094</v>
      </c>
      <c r="D222" t="inlineStr">
        <is>
          <t>ÖSTERGÖTLANDS LÄN</t>
        </is>
      </c>
      <c r="E222" t="inlineStr">
        <is>
          <t>LINKÖPING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54428-2022</t>
        </is>
      </c>
      <c r="B223" s="1" t="n">
        <v>44882.57643518518</v>
      </c>
      <c r="C223" s="1" t="n">
        <v>46094</v>
      </c>
      <c r="D223" t="inlineStr">
        <is>
          <t>ÖSTERGÖTLANDS LÄN</t>
        </is>
      </c>
      <c r="E223" t="inlineStr">
        <is>
          <t>LINKÖPING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63678-2023</t>
        </is>
      </c>
      <c r="B224" s="1" t="n">
        <v>45275.64769675926</v>
      </c>
      <c r="C224" s="1" t="n">
        <v>46094</v>
      </c>
      <c r="D224" t="inlineStr">
        <is>
          <t>ÖSTERGÖTLANDS LÄN</t>
        </is>
      </c>
      <c r="E224" t="inlineStr">
        <is>
          <t>LINKÖPING</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22771-2024</t>
        </is>
      </c>
      <c r="B225" s="1" t="n">
        <v>45448.46574074074</v>
      </c>
      <c r="C225" s="1" t="n">
        <v>46094</v>
      </c>
      <c r="D225" t="inlineStr">
        <is>
          <t>ÖSTERGÖTLANDS LÄN</t>
        </is>
      </c>
      <c r="E225" t="inlineStr">
        <is>
          <t>LINKÖPING</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27666-2022</t>
        </is>
      </c>
      <c r="B226" s="1" t="n">
        <v>44743.39017361111</v>
      </c>
      <c r="C226" s="1" t="n">
        <v>46094</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19183-2021</t>
        </is>
      </c>
      <c r="B227" s="1" t="n">
        <v>44308.73248842593</v>
      </c>
      <c r="C227" s="1" t="n">
        <v>46094</v>
      </c>
      <c r="D227" t="inlineStr">
        <is>
          <t>ÖSTERGÖTLANDS LÄN</t>
        </is>
      </c>
      <c r="E227" t="inlineStr">
        <is>
          <t>LINKÖPING</t>
        </is>
      </c>
      <c r="F227" t="inlineStr">
        <is>
          <t>Allmännings- och besparingsskogar</t>
        </is>
      </c>
      <c r="G227" t="n">
        <v>4.6</v>
      </c>
      <c r="H227" t="n">
        <v>0</v>
      </c>
      <c r="I227" t="n">
        <v>0</v>
      </c>
      <c r="J227" t="n">
        <v>0</v>
      </c>
      <c r="K227" t="n">
        <v>0</v>
      </c>
      <c r="L227" t="n">
        <v>0</v>
      </c>
      <c r="M227" t="n">
        <v>0</v>
      </c>
      <c r="N227" t="n">
        <v>0</v>
      </c>
      <c r="O227" t="n">
        <v>0</v>
      </c>
      <c r="P227" t="n">
        <v>0</v>
      </c>
      <c r="Q227" t="n">
        <v>0</v>
      </c>
      <c r="R227" s="2" t="inlineStr"/>
    </row>
    <row r="228" ht="15" customHeight="1">
      <c r="A228" t="inlineStr">
        <is>
          <t>A 52220-2023</t>
        </is>
      </c>
      <c r="B228" s="1" t="n">
        <v>45217</v>
      </c>
      <c r="C228" s="1" t="n">
        <v>46094</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52225-2023</t>
        </is>
      </c>
      <c r="B229" s="1" t="n">
        <v>45217</v>
      </c>
      <c r="C229" s="1" t="n">
        <v>46094</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660-2023</t>
        </is>
      </c>
      <c r="B230" s="1" t="n">
        <v>44930</v>
      </c>
      <c r="C230" s="1" t="n">
        <v>46094</v>
      </c>
      <c r="D230" t="inlineStr">
        <is>
          <t>ÖSTERGÖTLANDS LÄN</t>
        </is>
      </c>
      <c r="E230" t="inlineStr">
        <is>
          <t>LINKÖPING</t>
        </is>
      </c>
      <c r="F230" t="inlineStr">
        <is>
          <t>Kyrkan</t>
        </is>
      </c>
      <c r="G230" t="n">
        <v>1.6</v>
      </c>
      <c r="H230" t="n">
        <v>0</v>
      </c>
      <c r="I230" t="n">
        <v>0</v>
      </c>
      <c r="J230" t="n">
        <v>0</v>
      </c>
      <c r="K230" t="n">
        <v>0</v>
      </c>
      <c r="L230" t="n">
        <v>0</v>
      </c>
      <c r="M230" t="n">
        <v>0</v>
      </c>
      <c r="N230" t="n">
        <v>0</v>
      </c>
      <c r="O230" t="n">
        <v>0</v>
      </c>
      <c r="P230" t="n">
        <v>0</v>
      </c>
      <c r="Q230" t="n">
        <v>0</v>
      </c>
      <c r="R230" s="2" t="inlineStr"/>
    </row>
    <row r="231" ht="15" customHeight="1">
      <c r="A231" t="inlineStr">
        <is>
          <t>A 62501-2023</t>
        </is>
      </c>
      <c r="B231" s="1" t="n">
        <v>45268</v>
      </c>
      <c r="C231" s="1" t="n">
        <v>46094</v>
      </c>
      <c r="D231" t="inlineStr">
        <is>
          <t>ÖSTERGÖTLANDS LÄN</t>
        </is>
      </c>
      <c r="E231" t="inlineStr">
        <is>
          <t>LINKÖPING</t>
        </is>
      </c>
      <c r="G231" t="n">
        <v>7.4</v>
      </c>
      <c r="H231" t="n">
        <v>0</v>
      </c>
      <c r="I231" t="n">
        <v>0</v>
      </c>
      <c r="J231" t="n">
        <v>0</v>
      </c>
      <c r="K231" t="n">
        <v>0</v>
      </c>
      <c r="L231" t="n">
        <v>0</v>
      </c>
      <c r="M231" t="n">
        <v>0</v>
      </c>
      <c r="N231" t="n">
        <v>0</v>
      </c>
      <c r="O231" t="n">
        <v>0</v>
      </c>
      <c r="P231" t="n">
        <v>0</v>
      </c>
      <c r="Q231" t="n">
        <v>0</v>
      </c>
      <c r="R231" s="2" t="inlineStr"/>
    </row>
    <row r="232" ht="15" customHeight="1">
      <c r="A232" t="inlineStr">
        <is>
          <t>A 42832-2023</t>
        </is>
      </c>
      <c r="B232" s="1" t="n">
        <v>45182.38091435185</v>
      </c>
      <c r="C232" s="1" t="n">
        <v>46094</v>
      </c>
      <c r="D232" t="inlineStr">
        <is>
          <t>ÖSTERGÖTLANDS LÄN</t>
        </is>
      </c>
      <c r="E232" t="inlineStr">
        <is>
          <t>LINKÖPING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13413-2023</t>
        </is>
      </c>
      <c r="B233" s="1" t="n">
        <v>45005.58341435185</v>
      </c>
      <c r="C233" s="1" t="n">
        <v>46094</v>
      </c>
      <c r="D233" t="inlineStr">
        <is>
          <t>ÖSTERGÖTLANDS LÄN</t>
        </is>
      </c>
      <c r="E233" t="inlineStr">
        <is>
          <t>LINKÖPING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56560-2023</t>
        </is>
      </c>
      <c r="B234" s="1" t="n">
        <v>45238</v>
      </c>
      <c r="C234" s="1" t="n">
        <v>46094</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52412-2023</t>
        </is>
      </c>
      <c r="B235" s="1" t="n">
        <v>45225.27888888889</v>
      </c>
      <c r="C235" s="1" t="n">
        <v>46094</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52413-2023</t>
        </is>
      </c>
      <c r="B236" s="1" t="n">
        <v>45225.27950231481</v>
      </c>
      <c r="C236" s="1" t="n">
        <v>46094</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26620-2023</t>
        </is>
      </c>
      <c r="B237" s="1" t="n">
        <v>45092.70390046296</v>
      </c>
      <c r="C237" s="1" t="n">
        <v>46094</v>
      </c>
      <c r="D237" t="inlineStr">
        <is>
          <t>ÖSTERGÖTLANDS LÄN</t>
        </is>
      </c>
      <c r="E237" t="inlineStr">
        <is>
          <t>LINKÖPING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7354-2025</t>
        </is>
      </c>
      <c r="B238" s="1" t="n">
        <v>45704.41174768518</v>
      </c>
      <c r="C238" s="1" t="n">
        <v>46094</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1844-2025</t>
        </is>
      </c>
      <c r="B239" s="1" t="n">
        <v>45671.57730324074</v>
      </c>
      <c r="C239" s="1" t="n">
        <v>46094</v>
      </c>
      <c r="D239" t="inlineStr">
        <is>
          <t>ÖSTERGÖTLANDS LÄN</t>
        </is>
      </c>
      <c r="E239" t="inlineStr">
        <is>
          <t>LINKÖPING</t>
        </is>
      </c>
      <c r="G239" t="n">
        <v>2</v>
      </c>
      <c r="H239" t="n">
        <v>0</v>
      </c>
      <c r="I239" t="n">
        <v>0</v>
      </c>
      <c r="J239" t="n">
        <v>0</v>
      </c>
      <c r="K239" t="n">
        <v>0</v>
      </c>
      <c r="L239" t="n">
        <v>0</v>
      </c>
      <c r="M239" t="n">
        <v>0</v>
      </c>
      <c r="N239" t="n">
        <v>0</v>
      </c>
      <c r="O239" t="n">
        <v>0</v>
      </c>
      <c r="P239" t="n">
        <v>0</v>
      </c>
      <c r="Q239" t="n">
        <v>0</v>
      </c>
      <c r="R239" s="2" t="inlineStr"/>
    </row>
    <row r="240" ht="15" customHeight="1">
      <c r="A240" t="inlineStr">
        <is>
          <t>A 16462-2021</t>
        </is>
      </c>
      <c r="B240" s="1" t="n">
        <v>44293</v>
      </c>
      <c r="C240" s="1" t="n">
        <v>46094</v>
      </c>
      <c r="D240" t="inlineStr">
        <is>
          <t>ÖSTERGÖTLANDS LÄN</t>
        </is>
      </c>
      <c r="E240" t="inlineStr">
        <is>
          <t>LINKÖPING</t>
        </is>
      </c>
      <c r="F240" t="inlineStr">
        <is>
          <t>Allmännings- och besparingsskogar</t>
        </is>
      </c>
      <c r="G240" t="n">
        <v>24.7</v>
      </c>
      <c r="H240" t="n">
        <v>0</v>
      </c>
      <c r="I240" t="n">
        <v>0</v>
      </c>
      <c r="J240" t="n">
        <v>0</v>
      </c>
      <c r="K240" t="n">
        <v>0</v>
      </c>
      <c r="L240" t="n">
        <v>0</v>
      </c>
      <c r="M240" t="n">
        <v>0</v>
      </c>
      <c r="N240" t="n">
        <v>0</v>
      </c>
      <c r="O240" t="n">
        <v>0</v>
      </c>
      <c r="P240" t="n">
        <v>0</v>
      </c>
      <c r="Q240" t="n">
        <v>0</v>
      </c>
      <c r="R240" s="2" t="inlineStr"/>
    </row>
    <row r="241" ht="15" customHeight="1">
      <c r="A241" t="inlineStr">
        <is>
          <t>A 13922-2021</t>
        </is>
      </c>
      <c r="B241" s="1" t="n">
        <v>44277.45946759259</v>
      </c>
      <c r="C241" s="1" t="n">
        <v>46094</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21165-2025</t>
        </is>
      </c>
      <c r="B242" s="1" t="n">
        <v>45779.39417824074</v>
      </c>
      <c r="C242" s="1" t="n">
        <v>46094</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21155-2025</t>
        </is>
      </c>
      <c r="B243" s="1" t="n">
        <v>45779.37586805555</v>
      </c>
      <c r="C243" s="1" t="n">
        <v>46094</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55945-2024</t>
        </is>
      </c>
      <c r="B244" s="1" t="n">
        <v>45623.61754629629</v>
      </c>
      <c r="C244" s="1" t="n">
        <v>46094</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34928-2023</t>
        </is>
      </c>
      <c r="B245" s="1" t="n">
        <v>45142</v>
      </c>
      <c r="C245" s="1" t="n">
        <v>46094</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1263-2024</t>
        </is>
      </c>
      <c r="B246" s="1" t="n">
        <v>45302</v>
      </c>
      <c r="C246" s="1" t="n">
        <v>46094</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52531-2023</t>
        </is>
      </c>
      <c r="B247" s="1" t="n">
        <v>45225</v>
      </c>
      <c r="C247" s="1" t="n">
        <v>46094</v>
      </c>
      <c r="D247" t="inlineStr">
        <is>
          <t>ÖSTERGÖTLANDS LÄN</t>
        </is>
      </c>
      <c r="E247" t="inlineStr">
        <is>
          <t>LINKÖPING</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63554-2023</t>
        </is>
      </c>
      <c r="B248" s="1" t="n">
        <v>45275</v>
      </c>
      <c r="C248" s="1" t="n">
        <v>46094</v>
      </c>
      <c r="D248" t="inlineStr">
        <is>
          <t>ÖSTERGÖTLANDS LÄN</t>
        </is>
      </c>
      <c r="E248" t="inlineStr">
        <is>
          <t>LINKÖPING</t>
        </is>
      </c>
      <c r="G248" t="n">
        <v>4.3</v>
      </c>
      <c r="H248" t="n">
        <v>0</v>
      </c>
      <c r="I248" t="n">
        <v>0</v>
      </c>
      <c r="J248" t="n">
        <v>0</v>
      </c>
      <c r="K248" t="n">
        <v>0</v>
      </c>
      <c r="L248" t="n">
        <v>0</v>
      </c>
      <c r="M248" t="n">
        <v>0</v>
      </c>
      <c r="N248" t="n">
        <v>0</v>
      </c>
      <c r="O248" t="n">
        <v>0</v>
      </c>
      <c r="P248" t="n">
        <v>0</v>
      </c>
      <c r="Q248" t="n">
        <v>0</v>
      </c>
      <c r="R248" s="2" t="inlineStr"/>
    </row>
    <row r="249" ht="15" customHeight="1">
      <c r="A249" t="inlineStr">
        <is>
          <t>A 63638-2023</t>
        </is>
      </c>
      <c r="B249" s="1" t="n">
        <v>45275</v>
      </c>
      <c r="C249" s="1" t="n">
        <v>46094</v>
      </c>
      <c r="D249" t="inlineStr">
        <is>
          <t>ÖSTERGÖTLANDS LÄN</t>
        </is>
      </c>
      <c r="E249" t="inlineStr">
        <is>
          <t>LINKÖPING</t>
        </is>
      </c>
      <c r="F249" t="inlineStr">
        <is>
          <t>Övriga Aktiebolag</t>
        </is>
      </c>
      <c r="G249" t="n">
        <v>2.4</v>
      </c>
      <c r="H249" t="n">
        <v>0</v>
      </c>
      <c r="I249" t="n">
        <v>0</v>
      </c>
      <c r="J249" t="n">
        <v>0</v>
      </c>
      <c r="K249" t="n">
        <v>0</v>
      </c>
      <c r="L249" t="n">
        <v>0</v>
      </c>
      <c r="M249" t="n">
        <v>0</v>
      </c>
      <c r="N249" t="n">
        <v>0</v>
      </c>
      <c r="O249" t="n">
        <v>0</v>
      </c>
      <c r="P249" t="n">
        <v>0</v>
      </c>
      <c r="Q249" t="n">
        <v>0</v>
      </c>
      <c r="R249" s="2" t="inlineStr"/>
    </row>
    <row r="250" ht="15" customHeight="1">
      <c r="A250" t="inlineStr">
        <is>
          <t>A 63658-2023</t>
        </is>
      </c>
      <c r="B250" s="1" t="n">
        <v>45275</v>
      </c>
      <c r="C250" s="1" t="n">
        <v>46094</v>
      </c>
      <c r="D250" t="inlineStr">
        <is>
          <t>ÖSTERGÖTLANDS LÄN</t>
        </is>
      </c>
      <c r="E250" t="inlineStr">
        <is>
          <t>LINKÖPING</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20291-2025</t>
        </is>
      </c>
      <c r="B251" s="1" t="n">
        <v>45774.74288194445</v>
      </c>
      <c r="C251" s="1" t="n">
        <v>46094</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20293-2025</t>
        </is>
      </c>
      <c r="B252" s="1" t="n">
        <v>45774.74611111111</v>
      </c>
      <c r="C252" s="1" t="n">
        <v>46094</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16820-2024</t>
        </is>
      </c>
      <c r="B253" s="1" t="n">
        <v>45411.46809027778</v>
      </c>
      <c r="C253" s="1" t="n">
        <v>46094</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4456-2024</t>
        </is>
      </c>
      <c r="B254" s="1" t="n">
        <v>45327.52847222222</v>
      </c>
      <c r="C254" s="1" t="n">
        <v>46094</v>
      </c>
      <c r="D254" t="inlineStr">
        <is>
          <t>ÖSTERGÖTLANDS LÄN</t>
        </is>
      </c>
      <c r="E254" t="inlineStr">
        <is>
          <t>LINKÖPING</t>
        </is>
      </c>
      <c r="G254" t="n">
        <v>2.7</v>
      </c>
      <c r="H254" t="n">
        <v>0</v>
      </c>
      <c r="I254" t="n">
        <v>0</v>
      </c>
      <c r="J254" t="n">
        <v>0</v>
      </c>
      <c r="K254" t="n">
        <v>0</v>
      </c>
      <c r="L254" t="n">
        <v>0</v>
      </c>
      <c r="M254" t="n">
        <v>0</v>
      </c>
      <c r="N254" t="n">
        <v>0</v>
      </c>
      <c r="O254" t="n">
        <v>0</v>
      </c>
      <c r="P254" t="n">
        <v>0</v>
      </c>
      <c r="Q254" t="n">
        <v>0</v>
      </c>
      <c r="R254" s="2" t="inlineStr"/>
    </row>
    <row r="255" ht="15" customHeight="1">
      <c r="A255" t="inlineStr">
        <is>
          <t>A 1787-2022</t>
        </is>
      </c>
      <c r="B255" s="1" t="n">
        <v>44574</v>
      </c>
      <c r="C255" s="1" t="n">
        <v>46094</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22264-2025</t>
        </is>
      </c>
      <c r="B256" s="1" t="n">
        <v>45785</v>
      </c>
      <c r="C256" s="1" t="n">
        <v>46094</v>
      </c>
      <c r="D256" t="inlineStr">
        <is>
          <t>ÖSTERGÖTLANDS LÄN</t>
        </is>
      </c>
      <c r="E256" t="inlineStr">
        <is>
          <t>LINKÖPING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20298-2025</t>
        </is>
      </c>
      <c r="B257" s="1" t="n">
        <v>45774.75024305555</v>
      </c>
      <c r="C257" s="1" t="n">
        <v>46094</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15121-2022</t>
        </is>
      </c>
      <c r="B258" s="1" t="n">
        <v>44658</v>
      </c>
      <c r="C258" s="1" t="n">
        <v>46094</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50743-2023</t>
        </is>
      </c>
      <c r="B259" s="1" t="n">
        <v>45217</v>
      </c>
      <c r="C259" s="1" t="n">
        <v>46094</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3041-2024</t>
        </is>
      </c>
      <c r="B260" s="1" t="n">
        <v>45316.34875</v>
      </c>
      <c r="C260" s="1" t="n">
        <v>46094</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50963-2021</t>
        </is>
      </c>
      <c r="B261" s="1" t="n">
        <v>44460</v>
      </c>
      <c r="C261" s="1" t="n">
        <v>46094</v>
      </c>
      <c r="D261" t="inlineStr">
        <is>
          <t>ÖSTERGÖTLANDS LÄN</t>
        </is>
      </c>
      <c r="E261" t="inlineStr">
        <is>
          <t>LINKÖPING</t>
        </is>
      </c>
      <c r="G261" t="n">
        <v>4.4</v>
      </c>
      <c r="H261" t="n">
        <v>0</v>
      </c>
      <c r="I261" t="n">
        <v>0</v>
      </c>
      <c r="J261" t="n">
        <v>0</v>
      </c>
      <c r="K261" t="n">
        <v>0</v>
      </c>
      <c r="L261" t="n">
        <v>0</v>
      </c>
      <c r="M261" t="n">
        <v>0</v>
      </c>
      <c r="N261" t="n">
        <v>0</v>
      </c>
      <c r="O261" t="n">
        <v>0</v>
      </c>
      <c r="P261" t="n">
        <v>0</v>
      </c>
      <c r="Q261" t="n">
        <v>0</v>
      </c>
      <c r="R261" s="2" t="inlineStr"/>
    </row>
    <row r="262" ht="15" customHeight="1">
      <c r="A262" t="inlineStr">
        <is>
          <t>A 61307-2021</t>
        </is>
      </c>
      <c r="B262" s="1" t="n">
        <v>44498.63928240741</v>
      </c>
      <c r="C262" s="1" t="n">
        <v>46094</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61325-2021</t>
        </is>
      </c>
      <c r="B263" s="1" t="n">
        <v>44498.66814814815</v>
      </c>
      <c r="C263" s="1" t="n">
        <v>46094</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948-2022</t>
        </is>
      </c>
      <c r="B264" s="1" t="n">
        <v>44571</v>
      </c>
      <c r="C264" s="1" t="n">
        <v>46094</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63665-2023</t>
        </is>
      </c>
      <c r="B265" s="1" t="n">
        <v>45275</v>
      </c>
      <c r="C265" s="1" t="n">
        <v>46094</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13687-2025</t>
        </is>
      </c>
      <c r="B266" s="1" t="n">
        <v>45737.31425925926</v>
      </c>
      <c r="C266" s="1" t="n">
        <v>46094</v>
      </c>
      <c r="D266" t="inlineStr">
        <is>
          <t>ÖSTERGÖTLANDS LÄN</t>
        </is>
      </c>
      <c r="E266" t="inlineStr">
        <is>
          <t>LINKÖPING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9473-2024</t>
        </is>
      </c>
      <c r="B267" s="1" t="n">
        <v>45359.55474537037</v>
      </c>
      <c r="C267" s="1" t="n">
        <v>46094</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13695-2025</t>
        </is>
      </c>
      <c r="B268" s="1" t="n">
        <v>45737.32219907407</v>
      </c>
      <c r="C268" s="1" t="n">
        <v>46094</v>
      </c>
      <c r="D268" t="inlineStr">
        <is>
          <t>ÖSTERGÖTLANDS LÄN</t>
        </is>
      </c>
      <c r="E268" t="inlineStr">
        <is>
          <t>LINKÖPING</t>
        </is>
      </c>
      <c r="G268" t="n">
        <v>5.3</v>
      </c>
      <c r="H268" t="n">
        <v>0</v>
      </c>
      <c r="I268" t="n">
        <v>0</v>
      </c>
      <c r="J268" t="n">
        <v>0</v>
      </c>
      <c r="K268" t="n">
        <v>0</v>
      </c>
      <c r="L268" t="n">
        <v>0</v>
      </c>
      <c r="M268" t="n">
        <v>0</v>
      </c>
      <c r="N268" t="n">
        <v>0</v>
      </c>
      <c r="O268" t="n">
        <v>0</v>
      </c>
      <c r="P268" t="n">
        <v>0</v>
      </c>
      <c r="Q268" t="n">
        <v>0</v>
      </c>
      <c r="R268" s="2" t="inlineStr"/>
    </row>
    <row r="269" ht="15" customHeight="1">
      <c r="A269" t="inlineStr">
        <is>
          <t>A 33867-2023</t>
        </is>
      </c>
      <c r="B269" s="1" t="n">
        <v>45133.94640046296</v>
      </c>
      <c r="C269" s="1" t="n">
        <v>46094</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6859-2024</t>
        </is>
      </c>
      <c r="B270" s="1" t="n">
        <v>45342</v>
      </c>
      <c r="C270" s="1" t="n">
        <v>46094</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20294-2025</t>
        </is>
      </c>
      <c r="B271" s="1" t="n">
        <v>45774.74667824074</v>
      </c>
      <c r="C271" s="1" t="n">
        <v>46094</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44287-2024</t>
        </is>
      </c>
      <c r="B272" s="1" t="n">
        <v>45573.50582175926</v>
      </c>
      <c r="C272" s="1" t="n">
        <v>46094</v>
      </c>
      <c r="D272" t="inlineStr">
        <is>
          <t>ÖSTERGÖTLANDS LÄN</t>
        </is>
      </c>
      <c r="E272" t="inlineStr">
        <is>
          <t>LINKÖPING</t>
        </is>
      </c>
      <c r="G272" t="n">
        <v>12.7</v>
      </c>
      <c r="H272" t="n">
        <v>0</v>
      </c>
      <c r="I272" t="n">
        <v>0</v>
      </c>
      <c r="J272" t="n">
        <v>0</v>
      </c>
      <c r="K272" t="n">
        <v>0</v>
      </c>
      <c r="L272" t="n">
        <v>0</v>
      </c>
      <c r="M272" t="n">
        <v>0</v>
      </c>
      <c r="N272" t="n">
        <v>0</v>
      </c>
      <c r="O272" t="n">
        <v>0</v>
      </c>
      <c r="P272" t="n">
        <v>0</v>
      </c>
      <c r="Q272" t="n">
        <v>0</v>
      </c>
      <c r="R272" s="2" t="inlineStr"/>
    </row>
    <row r="273" ht="15" customHeight="1">
      <c r="A273" t="inlineStr">
        <is>
          <t>A 37014-2021</t>
        </is>
      </c>
      <c r="B273" s="1" t="n">
        <v>44393</v>
      </c>
      <c r="C273" s="1" t="n">
        <v>46094</v>
      </c>
      <c r="D273" t="inlineStr">
        <is>
          <t>ÖSTERGÖTLANDS LÄN</t>
        </is>
      </c>
      <c r="E273" t="inlineStr">
        <is>
          <t>LINKÖPING</t>
        </is>
      </c>
      <c r="F273" t="inlineStr">
        <is>
          <t>Allmännings- och besparingsskogar</t>
        </is>
      </c>
      <c r="G273" t="n">
        <v>7.7</v>
      </c>
      <c r="H273" t="n">
        <v>0</v>
      </c>
      <c r="I273" t="n">
        <v>0</v>
      </c>
      <c r="J273" t="n">
        <v>0</v>
      </c>
      <c r="K273" t="n">
        <v>0</v>
      </c>
      <c r="L273" t="n">
        <v>0</v>
      </c>
      <c r="M273" t="n">
        <v>0</v>
      </c>
      <c r="N273" t="n">
        <v>0</v>
      </c>
      <c r="O273" t="n">
        <v>0</v>
      </c>
      <c r="P273" t="n">
        <v>0</v>
      </c>
      <c r="Q273" t="n">
        <v>0</v>
      </c>
      <c r="R273" s="2" t="inlineStr"/>
    </row>
    <row r="274" ht="15" customHeight="1">
      <c r="A274" t="inlineStr">
        <is>
          <t>A 22364-2025</t>
        </is>
      </c>
      <c r="B274" s="1" t="n">
        <v>45786.46930555555</v>
      </c>
      <c r="C274" s="1" t="n">
        <v>46094</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17128-2025</t>
        </is>
      </c>
      <c r="B275" s="1" t="n">
        <v>45755.72622685185</v>
      </c>
      <c r="C275" s="1" t="n">
        <v>46094</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52125-2022</t>
        </is>
      </c>
      <c r="B276" s="1" t="n">
        <v>44873</v>
      </c>
      <c r="C276" s="1" t="n">
        <v>46094</v>
      </c>
      <c r="D276" t="inlineStr">
        <is>
          <t>ÖSTERGÖTLANDS LÄN</t>
        </is>
      </c>
      <c r="E276" t="inlineStr">
        <is>
          <t>LINKÖPING</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30985-2022</t>
        </is>
      </c>
      <c r="B277" s="1" t="n">
        <v>44768</v>
      </c>
      <c r="C277" s="1" t="n">
        <v>46094</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38317-2024</t>
        </is>
      </c>
      <c r="B278" s="1" t="n">
        <v>45545.65766203704</v>
      </c>
      <c r="C278" s="1" t="n">
        <v>46094</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572-2025</t>
        </is>
      </c>
      <c r="B279" s="1" t="n">
        <v>45664.56349537037</v>
      </c>
      <c r="C279" s="1" t="n">
        <v>46094</v>
      </c>
      <c r="D279" t="inlineStr">
        <is>
          <t>ÖSTERGÖTLANDS LÄN</t>
        </is>
      </c>
      <c r="E279" t="inlineStr">
        <is>
          <t>LINKÖPING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27343-2023</t>
        </is>
      </c>
      <c r="B280" s="1" t="n">
        <v>45096</v>
      </c>
      <c r="C280" s="1" t="n">
        <v>46094</v>
      </c>
      <c r="D280" t="inlineStr">
        <is>
          <t>ÖSTERGÖTLANDS LÄN</t>
        </is>
      </c>
      <c r="E280" t="inlineStr">
        <is>
          <t>LINKÖPING</t>
        </is>
      </c>
      <c r="F280" t="inlineStr">
        <is>
          <t>Allmännings- och besparingsskogar</t>
        </is>
      </c>
      <c r="G280" t="n">
        <v>6.9</v>
      </c>
      <c r="H280" t="n">
        <v>0</v>
      </c>
      <c r="I280" t="n">
        <v>0</v>
      </c>
      <c r="J280" t="n">
        <v>0</v>
      </c>
      <c r="K280" t="n">
        <v>0</v>
      </c>
      <c r="L280" t="n">
        <v>0</v>
      </c>
      <c r="M280" t="n">
        <v>0</v>
      </c>
      <c r="N280" t="n">
        <v>0</v>
      </c>
      <c r="O280" t="n">
        <v>0</v>
      </c>
      <c r="P280" t="n">
        <v>0</v>
      </c>
      <c r="Q280" t="n">
        <v>0</v>
      </c>
      <c r="R280" s="2" t="inlineStr"/>
    </row>
    <row r="281" ht="15" customHeight="1">
      <c r="A281" t="inlineStr">
        <is>
          <t>A 10797-2024</t>
        </is>
      </c>
      <c r="B281" s="1" t="n">
        <v>45369.6190162037</v>
      </c>
      <c r="C281" s="1" t="n">
        <v>46094</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38580-2024</t>
        </is>
      </c>
      <c r="B282" s="1" t="n">
        <v>45546.64825231482</v>
      </c>
      <c r="C282" s="1" t="n">
        <v>46094</v>
      </c>
      <c r="D282" t="inlineStr">
        <is>
          <t>ÖSTERGÖTLANDS LÄN</t>
        </is>
      </c>
      <c r="E282" t="inlineStr">
        <is>
          <t>LINKÖPING</t>
        </is>
      </c>
      <c r="G282" t="n">
        <v>4.8</v>
      </c>
      <c r="H282" t="n">
        <v>0</v>
      </c>
      <c r="I282" t="n">
        <v>0</v>
      </c>
      <c r="J282" t="n">
        <v>0</v>
      </c>
      <c r="K282" t="n">
        <v>0</v>
      </c>
      <c r="L282" t="n">
        <v>0</v>
      </c>
      <c r="M282" t="n">
        <v>0</v>
      </c>
      <c r="N282" t="n">
        <v>0</v>
      </c>
      <c r="O282" t="n">
        <v>0</v>
      </c>
      <c r="P282" t="n">
        <v>0</v>
      </c>
      <c r="Q282" t="n">
        <v>0</v>
      </c>
      <c r="R282" s="2" t="inlineStr"/>
    </row>
    <row r="283" ht="15" customHeight="1">
      <c r="A283" t="inlineStr">
        <is>
          <t>A 57752-2023</t>
        </is>
      </c>
      <c r="B283" s="1" t="n">
        <v>45246.78474537037</v>
      </c>
      <c r="C283" s="1" t="n">
        <v>46094</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22842-2023</t>
        </is>
      </c>
      <c r="B284" s="1" t="n">
        <v>45071</v>
      </c>
      <c r="C284" s="1" t="n">
        <v>46094</v>
      </c>
      <c r="D284" t="inlineStr">
        <is>
          <t>ÖSTERGÖTLANDS LÄN</t>
        </is>
      </c>
      <c r="E284" t="inlineStr">
        <is>
          <t>LINKÖPING</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58947-2022</t>
        </is>
      </c>
      <c r="B285" s="1" t="n">
        <v>44903.64769675926</v>
      </c>
      <c r="C285" s="1" t="n">
        <v>46094</v>
      </c>
      <c r="D285" t="inlineStr">
        <is>
          <t>ÖSTERGÖTLANDS LÄN</t>
        </is>
      </c>
      <c r="E285" t="inlineStr">
        <is>
          <t>LINKÖPING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38134-2021</t>
        </is>
      </c>
      <c r="B286" s="1" t="n">
        <v>44405.3794212963</v>
      </c>
      <c r="C286" s="1" t="n">
        <v>46094</v>
      </c>
      <c r="D286" t="inlineStr">
        <is>
          <t>ÖSTERGÖTLANDS LÄN</t>
        </is>
      </c>
      <c r="E286" t="inlineStr">
        <is>
          <t>LINKÖPING</t>
        </is>
      </c>
      <c r="G286" t="n">
        <v>5.1</v>
      </c>
      <c r="H286" t="n">
        <v>0</v>
      </c>
      <c r="I286" t="n">
        <v>0</v>
      </c>
      <c r="J286" t="n">
        <v>0</v>
      </c>
      <c r="K286" t="n">
        <v>0</v>
      </c>
      <c r="L286" t="n">
        <v>0</v>
      </c>
      <c r="M286" t="n">
        <v>0</v>
      </c>
      <c r="N286" t="n">
        <v>0</v>
      </c>
      <c r="O286" t="n">
        <v>0</v>
      </c>
      <c r="P286" t="n">
        <v>0</v>
      </c>
      <c r="Q286" t="n">
        <v>0</v>
      </c>
      <c r="R286" s="2" t="inlineStr"/>
    </row>
    <row r="287" ht="15" customHeight="1">
      <c r="A287" t="inlineStr">
        <is>
          <t>A 14520-2025</t>
        </is>
      </c>
      <c r="B287" s="1" t="n">
        <v>45741</v>
      </c>
      <c r="C287" s="1" t="n">
        <v>46094</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31548-2022</t>
        </is>
      </c>
      <c r="B288" s="1" t="n">
        <v>44775.39832175926</v>
      </c>
      <c r="C288" s="1" t="n">
        <v>46094</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29312-2024</t>
        </is>
      </c>
      <c r="B289" s="1" t="n">
        <v>45483</v>
      </c>
      <c r="C289" s="1" t="n">
        <v>46094</v>
      </c>
      <c r="D289" t="inlineStr">
        <is>
          <t>ÖSTERGÖTLANDS LÄN</t>
        </is>
      </c>
      <c r="E289" t="inlineStr">
        <is>
          <t>LINKÖPING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23120-2025</t>
        </is>
      </c>
      <c r="B290" s="1" t="n">
        <v>45791.37481481482</v>
      </c>
      <c r="C290" s="1" t="n">
        <v>46094</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62017-2024</t>
        </is>
      </c>
      <c r="B291" s="1" t="n">
        <v>45655.81140046296</v>
      </c>
      <c r="C291" s="1" t="n">
        <v>46094</v>
      </c>
      <c r="D291" t="inlineStr">
        <is>
          <t>ÖSTERGÖTLANDS LÄN</t>
        </is>
      </c>
      <c r="E291" t="inlineStr">
        <is>
          <t>LINKÖPING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17785-2023</t>
        </is>
      </c>
      <c r="B292" s="1" t="n">
        <v>45037.55094907407</v>
      </c>
      <c r="C292" s="1" t="n">
        <v>46094</v>
      </c>
      <c r="D292" t="inlineStr">
        <is>
          <t>ÖSTERGÖTLANDS LÄN</t>
        </is>
      </c>
      <c r="E292" t="inlineStr">
        <is>
          <t>LINKÖPING</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16665-2023</t>
        </is>
      </c>
      <c r="B293" s="1" t="n">
        <v>45030.5583912037</v>
      </c>
      <c r="C293" s="1" t="n">
        <v>46094</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60001-2022</t>
        </is>
      </c>
      <c r="B294" s="1" t="n">
        <v>44909.47087962963</v>
      </c>
      <c r="C294" s="1" t="n">
        <v>46094</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60013-2022</t>
        </is>
      </c>
      <c r="B295" s="1" t="n">
        <v>44909.47482638889</v>
      </c>
      <c r="C295" s="1" t="n">
        <v>46094</v>
      </c>
      <c r="D295" t="inlineStr">
        <is>
          <t>ÖSTERGÖTLANDS LÄN</t>
        </is>
      </c>
      <c r="E295" t="inlineStr">
        <is>
          <t>LINKÖPING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1211-2023</t>
        </is>
      </c>
      <c r="B296" s="1" t="n">
        <v>44930</v>
      </c>
      <c r="C296" s="1" t="n">
        <v>46094</v>
      </c>
      <c r="D296" t="inlineStr">
        <is>
          <t>ÖSTERGÖTLANDS LÄN</t>
        </is>
      </c>
      <c r="E296" t="inlineStr">
        <is>
          <t>LINKÖPING</t>
        </is>
      </c>
      <c r="F296" t="inlineStr">
        <is>
          <t>Övriga statliga verk och myndigheter</t>
        </is>
      </c>
      <c r="G296" t="n">
        <v>7.9</v>
      </c>
      <c r="H296" t="n">
        <v>0</v>
      </c>
      <c r="I296" t="n">
        <v>0</v>
      </c>
      <c r="J296" t="n">
        <v>0</v>
      </c>
      <c r="K296" t="n">
        <v>0</v>
      </c>
      <c r="L296" t="n">
        <v>0</v>
      </c>
      <c r="M296" t="n">
        <v>0</v>
      </c>
      <c r="N296" t="n">
        <v>0</v>
      </c>
      <c r="O296" t="n">
        <v>0</v>
      </c>
      <c r="P296" t="n">
        <v>0</v>
      </c>
      <c r="Q296" t="n">
        <v>0</v>
      </c>
      <c r="R296" s="2" t="inlineStr"/>
    </row>
    <row r="297" ht="15" customHeight="1">
      <c r="A297" t="inlineStr">
        <is>
          <t>A 62686-2023</t>
        </is>
      </c>
      <c r="B297" s="1" t="n">
        <v>45271</v>
      </c>
      <c r="C297" s="1" t="n">
        <v>46094</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42044-2023</t>
        </is>
      </c>
      <c r="B298" s="1" t="n">
        <v>45177</v>
      </c>
      <c r="C298" s="1" t="n">
        <v>46094</v>
      </c>
      <c r="D298" t="inlineStr">
        <is>
          <t>ÖSTERGÖTLANDS LÄN</t>
        </is>
      </c>
      <c r="E298" t="inlineStr">
        <is>
          <t>LINKÖPING</t>
        </is>
      </c>
      <c r="G298" t="n">
        <v>3.9</v>
      </c>
      <c r="H298" t="n">
        <v>0</v>
      </c>
      <c r="I298" t="n">
        <v>0</v>
      </c>
      <c r="J298" t="n">
        <v>0</v>
      </c>
      <c r="K298" t="n">
        <v>0</v>
      </c>
      <c r="L298" t="n">
        <v>0</v>
      </c>
      <c r="M298" t="n">
        <v>0</v>
      </c>
      <c r="N298" t="n">
        <v>0</v>
      </c>
      <c r="O298" t="n">
        <v>0</v>
      </c>
      <c r="P298" t="n">
        <v>0</v>
      </c>
      <c r="Q298" t="n">
        <v>0</v>
      </c>
      <c r="R298" s="2" t="inlineStr"/>
    </row>
    <row r="299" ht="15" customHeight="1">
      <c r="A299" t="inlineStr">
        <is>
          <t>A 23768-2025</t>
        </is>
      </c>
      <c r="B299" s="1" t="n">
        <v>45793.47493055555</v>
      </c>
      <c r="C299" s="1" t="n">
        <v>46094</v>
      </c>
      <c r="D299" t="inlineStr">
        <is>
          <t>ÖSTERGÖTLANDS LÄN</t>
        </is>
      </c>
      <c r="E299" t="inlineStr">
        <is>
          <t>LINKÖPING</t>
        </is>
      </c>
      <c r="G299" t="n">
        <v>3.4</v>
      </c>
      <c r="H299" t="n">
        <v>0</v>
      </c>
      <c r="I299" t="n">
        <v>0</v>
      </c>
      <c r="J299" t="n">
        <v>0</v>
      </c>
      <c r="K299" t="n">
        <v>0</v>
      </c>
      <c r="L299" t="n">
        <v>0</v>
      </c>
      <c r="M299" t="n">
        <v>0</v>
      </c>
      <c r="N299" t="n">
        <v>0</v>
      </c>
      <c r="O299" t="n">
        <v>0</v>
      </c>
      <c r="P299" t="n">
        <v>0</v>
      </c>
      <c r="Q299" t="n">
        <v>0</v>
      </c>
      <c r="R299" s="2" t="inlineStr"/>
    </row>
    <row r="300" ht="15" customHeight="1">
      <c r="A300" t="inlineStr">
        <is>
          <t>A 44849-2022</t>
        </is>
      </c>
      <c r="B300" s="1" t="n">
        <v>44841</v>
      </c>
      <c r="C300" s="1" t="n">
        <v>46094</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70835-2021</t>
        </is>
      </c>
      <c r="B301" s="1" t="n">
        <v>44537</v>
      </c>
      <c r="C301" s="1" t="n">
        <v>46094</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38136-2023</t>
        </is>
      </c>
      <c r="B302" s="1" t="n">
        <v>45161.37310185185</v>
      </c>
      <c r="C302" s="1" t="n">
        <v>46094</v>
      </c>
      <c r="D302" t="inlineStr">
        <is>
          <t>ÖSTERGÖTLANDS LÄN</t>
        </is>
      </c>
      <c r="E302" t="inlineStr">
        <is>
          <t>LINKÖPING</t>
        </is>
      </c>
      <c r="G302" t="n">
        <v>5.6</v>
      </c>
      <c r="H302" t="n">
        <v>0</v>
      </c>
      <c r="I302" t="n">
        <v>0</v>
      </c>
      <c r="J302" t="n">
        <v>0</v>
      </c>
      <c r="K302" t="n">
        <v>0</v>
      </c>
      <c r="L302" t="n">
        <v>0</v>
      </c>
      <c r="M302" t="n">
        <v>0</v>
      </c>
      <c r="N302" t="n">
        <v>0</v>
      </c>
      <c r="O302" t="n">
        <v>0</v>
      </c>
      <c r="P302" t="n">
        <v>0</v>
      </c>
      <c r="Q302" t="n">
        <v>0</v>
      </c>
      <c r="R302" s="2" t="inlineStr"/>
    </row>
    <row r="303" ht="15" customHeight="1">
      <c r="A303" t="inlineStr">
        <is>
          <t>A 49656-2021</t>
        </is>
      </c>
      <c r="B303" s="1" t="n">
        <v>44454</v>
      </c>
      <c r="C303" s="1" t="n">
        <v>46094</v>
      </c>
      <c r="D303" t="inlineStr">
        <is>
          <t>ÖSTERGÖTLANDS LÄN</t>
        </is>
      </c>
      <c r="E303" t="inlineStr">
        <is>
          <t>LINKÖPING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37934-2022</t>
        </is>
      </c>
      <c r="B304" s="1" t="n">
        <v>44809</v>
      </c>
      <c r="C304" s="1" t="n">
        <v>46094</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38230-2023</t>
        </is>
      </c>
      <c r="B305" s="1" t="n">
        <v>45161.55373842592</v>
      </c>
      <c r="C305" s="1" t="n">
        <v>46094</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45442-2024</t>
        </is>
      </c>
      <c r="B306" s="1" t="n">
        <v>45576.64189814815</v>
      </c>
      <c r="C306" s="1" t="n">
        <v>46094</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4908-2023</t>
        </is>
      </c>
      <c r="B307" s="1" t="n">
        <v>44958</v>
      </c>
      <c r="C307" s="1" t="n">
        <v>46094</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1265-2023</t>
        </is>
      </c>
      <c r="B308" s="1" t="n">
        <v>44936</v>
      </c>
      <c r="C308" s="1" t="n">
        <v>46094</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48699-2024</t>
        </is>
      </c>
      <c r="B309" s="1" t="n">
        <v>45593.52091435185</v>
      </c>
      <c r="C309" s="1" t="n">
        <v>46094</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12317-2025</t>
        </is>
      </c>
      <c r="B310" s="1" t="n">
        <v>45729.8487037037</v>
      </c>
      <c r="C310" s="1" t="n">
        <v>46094</v>
      </c>
      <c r="D310" t="inlineStr">
        <is>
          <t>ÖSTERGÖTLANDS LÄN</t>
        </is>
      </c>
      <c r="E310" t="inlineStr">
        <is>
          <t>LINKÖPING</t>
        </is>
      </c>
      <c r="G310" t="n">
        <v>8</v>
      </c>
      <c r="H310" t="n">
        <v>0</v>
      </c>
      <c r="I310" t="n">
        <v>0</v>
      </c>
      <c r="J310" t="n">
        <v>0</v>
      </c>
      <c r="K310" t="n">
        <v>0</v>
      </c>
      <c r="L310" t="n">
        <v>0</v>
      </c>
      <c r="M310" t="n">
        <v>0</v>
      </c>
      <c r="N310" t="n">
        <v>0</v>
      </c>
      <c r="O310" t="n">
        <v>0</v>
      </c>
      <c r="P310" t="n">
        <v>0</v>
      </c>
      <c r="Q310" t="n">
        <v>0</v>
      </c>
      <c r="R310" s="2" t="inlineStr"/>
    </row>
    <row r="311" ht="15" customHeight="1">
      <c r="A311" t="inlineStr">
        <is>
          <t>A 61281-2021</t>
        </is>
      </c>
      <c r="B311" s="1" t="n">
        <v>44498.60736111111</v>
      </c>
      <c r="C311" s="1" t="n">
        <v>46094</v>
      </c>
      <c r="D311" t="inlineStr">
        <is>
          <t>ÖSTERGÖTLANDS LÄN</t>
        </is>
      </c>
      <c r="E311" t="inlineStr">
        <is>
          <t>LINKÖPING</t>
        </is>
      </c>
      <c r="G311" t="n">
        <v>4.5</v>
      </c>
      <c r="H311" t="n">
        <v>0</v>
      </c>
      <c r="I311" t="n">
        <v>0</v>
      </c>
      <c r="J311" t="n">
        <v>0</v>
      </c>
      <c r="K311" t="n">
        <v>0</v>
      </c>
      <c r="L311" t="n">
        <v>0</v>
      </c>
      <c r="M311" t="n">
        <v>0</v>
      </c>
      <c r="N311" t="n">
        <v>0</v>
      </c>
      <c r="O311" t="n">
        <v>0</v>
      </c>
      <c r="P311" t="n">
        <v>0</v>
      </c>
      <c r="Q311" t="n">
        <v>0</v>
      </c>
      <c r="R311" s="2" t="inlineStr"/>
    </row>
    <row r="312" ht="15" customHeight="1">
      <c r="A312" t="inlineStr">
        <is>
          <t>A 25292-2021</t>
        </is>
      </c>
      <c r="B312" s="1" t="n">
        <v>44342</v>
      </c>
      <c r="C312" s="1" t="n">
        <v>46094</v>
      </c>
      <c r="D312" t="inlineStr">
        <is>
          <t>ÖSTERGÖTLANDS LÄN</t>
        </is>
      </c>
      <c r="E312" t="inlineStr">
        <is>
          <t>LINKÖPING</t>
        </is>
      </c>
      <c r="F312" t="inlineStr">
        <is>
          <t>Övriga Aktiebolag</t>
        </is>
      </c>
      <c r="G312" t="n">
        <v>12.8</v>
      </c>
      <c r="H312" t="n">
        <v>0</v>
      </c>
      <c r="I312" t="n">
        <v>0</v>
      </c>
      <c r="J312" t="n">
        <v>0</v>
      </c>
      <c r="K312" t="n">
        <v>0</v>
      </c>
      <c r="L312" t="n">
        <v>0</v>
      </c>
      <c r="M312" t="n">
        <v>0</v>
      </c>
      <c r="N312" t="n">
        <v>0</v>
      </c>
      <c r="O312" t="n">
        <v>0</v>
      </c>
      <c r="P312" t="n">
        <v>0</v>
      </c>
      <c r="Q312" t="n">
        <v>0</v>
      </c>
      <c r="R312" s="2" t="inlineStr"/>
    </row>
    <row r="313" ht="15" customHeight="1">
      <c r="A313" t="inlineStr">
        <is>
          <t>A 63935-2021</t>
        </is>
      </c>
      <c r="B313" s="1" t="n">
        <v>44509</v>
      </c>
      <c r="C313" s="1" t="n">
        <v>46094</v>
      </c>
      <c r="D313" t="inlineStr">
        <is>
          <t>ÖSTERGÖTLANDS LÄN</t>
        </is>
      </c>
      <c r="E313" t="inlineStr">
        <is>
          <t>LINKÖPING</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36557-2023</t>
        </is>
      </c>
      <c r="B314" s="1" t="n">
        <v>45153</v>
      </c>
      <c r="C314" s="1" t="n">
        <v>46094</v>
      </c>
      <c r="D314" t="inlineStr">
        <is>
          <t>ÖSTERGÖTLANDS LÄN</t>
        </is>
      </c>
      <c r="E314" t="inlineStr">
        <is>
          <t>LINKÖPING</t>
        </is>
      </c>
      <c r="F314" t="inlineStr">
        <is>
          <t>Övriga Aktiebolag</t>
        </is>
      </c>
      <c r="G314" t="n">
        <v>3.1</v>
      </c>
      <c r="H314" t="n">
        <v>0</v>
      </c>
      <c r="I314" t="n">
        <v>0</v>
      </c>
      <c r="J314" t="n">
        <v>0</v>
      </c>
      <c r="K314" t="n">
        <v>0</v>
      </c>
      <c r="L314" t="n">
        <v>0</v>
      </c>
      <c r="M314" t="n">
        <v>0</v>
      </c>
      <c r="N314" t="n">
        <v>0</v>
      </c>
      <c r="O314" t="n">
        <v>0</v>
      </c>
      <c r="P314" t="n">
        <v>0</v>
      </c>
      <c r="Q314" t="n">
        <v>0</v>
      </c>
      <c r="R314" s="2" t="inlineStr"/>
    </row>
    <row r="315" ht="15" customHeight="1">
      <c r="A315" t="inlineStr">
        <is>
          <t>A 38971-2025</t>
        </is>
      </c>
      <c r="B315" s="1" t="n">
        <v>45887.71827546296</v>
      </c>
      <c r="C315" s="1" t="n">
        <v>46094</v>
      </c>
      <c r="D315" t="inlineStr">
        <is>
          <t>ÖSTERGÖTLANDS LÄN</t>
        </is>
      </c>
      <c r="E315" t="inlineStr">
        <is>
          <t>LINKÖPING</t>
        </is>
      </c>
      <c r="G315" t="n">
        <v>3.9</v>
      </c>
      <c r="H315" t="n">
        <v>0</v>
      </c>
      <c r="I315" t="n">
        <v>0</v>
      </c>
      <c r="J315" t="n">
        <v>0</v>
      </c>
      <c r="K315" t="n">
        <v>0</v>
      </c>
      <c r="L315" t="n">
        <v>0</v>
      </c>
      <c r="M315" t="n">
        <v>0</v>
      </c>
      <c r="N315" t="n">
        <v>0</v>
      </c>
      <c r="O315" t="n">
        <v>0</v>
      </c>
      <c r="P315" t="n">
        <v>0</v>
      </c>
      <c r="Q315" t="n">
        <v>0</v>
      </c>
      <c r="R315" s="2" t="inlineStr"/>
    </row>
    <row r="316" ht="15" customHeight="1">
      <c r="A316" t="inlineStr">
        <is>
          <t>A 2085-2024</t>
        </is>
      </c>
      <c r="B316" s="1" t="n">
        <v>45309</v>
      </c>
      <c r="C316" s="1" t="n">
        <v>46094</v>
      </c>
      <c r="D316" t="inlineStr">
        <is>
          <t>ÖSTERGÖTLANDS LÄN</t>
        </is>
      </c>
      <c r="E316" t="inlineStr">
        <is>
          <t>LINKÖPING</t>
        </is>
      </c>
      <c r="G316" t="n">
        <v>4.5</v>
      </c>
      <c r="H316" t="n">
        <v>0</v>
      </c>
      <c r="I316" t="n">
        <v>0</v>
      </c>
      <c r="J316" t="n">
        <v>0</v>
      </c>
      <c r="K316" t="n">
        <v>0</v>
      </c>
      <c r="L316" t="n">
        <v>0</v>
      </c>
      <c r="M316" t="n">
        <v>0</v>
      </c>
      <c r="N316" t="n">
        <v>0</v>
      </c>
      <c r="O316" t="n">
        <v>0</v>
      </c>
      <c r="P316" t="n">
        <v>0</v>
      </c>
      <c r="Q316" t="n">
        <v>0</v>
      </c>
      <c r="R316" s="2" t="inlineStr"/>
    </row>
    <row r="317" ht="15" customHeight="1">
      <c r="A317" t="inlineStr">
        <is>
          <t>A 55345-2021</t>
        </is>
      </c>
      <c r="B317" s="1" t="n">
        <v>44475</v>
      </c>
      <c r="C317" s="1" t="n">
        <v>46094</v>
      </c>
      <c r="D317" t="inlineStr">
        <is>
          <t>ÖSTERGÖTLANDS LÄN</t>
        </is>
      </c>
      <c r="E317" t="inlineStr">
        <is>
          <t>LINKÖPING</t>
        </is>
      </c>
      <c r="G317" t="n">
        <v>5.7</v>
      </c>
      <c r="H317" t="n">
        <v>0</v>
      </c>
      <c r="I317" t="n">
        <v>0</v>
      </c>
      <c r="J317" t="n">
        <v>0</v>
      </c>
      <c r="K317" t="n">
        <v>0</v>
      </c>
      <c r="L317" t="n">
        <v>0</v>
      </c>
      <c r="M317" t="n">
        <v>0</v>
      </c>
      <c r="N317" t="n">
        <v>0</v>
      </c>
      <c r="O317" t="n">
        <v>0</v>
      </c>
      <c r="P317" t="n">
        <v>0</v>
      </c>
      <c r="Q317" t="n">
        <v>0</v>
      </c>
      <c r="R317" s="2" t="inlineStr"/>
    </row>
    <row r="318" ht="15" customHeight="1">
      <c r="A318" t="inlineStr">
        <is>
          <t>A 30468-2023</t>
        </is>
      </c>
      <c r="B318" s="1" t="n">
        <v>45111.58732638889</v>
      </c>
      <c r="C318" s="1" t="n">
        <v>46094</v>
      </c>
      <c r="D318" t="inlineStr">
        <is>
          <t>ÖSTERGÖTLANDS LÄN</t>
        </is>
      </c>
      <c r="E318" t="inlineStr">
        <is>
          <t>LINKÖPING</t>
        </is>
      </c>
      <c r="G318" t="n">
        <v>10.1</v>
      </c>
      <c r="H318" t="n">
        <v>0</v>
      </c>
      <c r="I318" t="n">
        <v>0</v>
      </c>
      <c r="J318" t="n">
        <v>0</v>
      </c>
      <c r="K318" t="n">
        <v>0</v>
      </c>
      <c r="L318" t="n">
        <v>0</v>
      </c>
      <c r="M318" t="n">
        <v>0</v>
      </c>
      <c r="N318" t="n">
        <v>0</v>
      </c>
      <c r="O318" t="n">
        <v>0</v>
      </c>
      <c r="P318" t="n">
        <v>0</v>
      </c>
      <c r="Q318" t="n">
        <v>0</v>
      </c>
      <c r="R318" s="2" t="inlineStr"/>
    </row>
    <row r="319" ht="15" customHeight="1">
      <c r="A319" t="inlineStr">
        <is>
          <t>A 12411-2022</t>
        </is>
      </c>
      <c r="B319" s="1" t="n">
        <v>44638.21601851852</v>
      </c>
      <c r="C319" s="1" t="n">
        <v>46094</v>
      </c>
      <c r="D319" t="inlineStr">
        <is>
          <t>ÖSTERGÖTLANDS LÄN</t>
        </is>
      </c>
      <c r="E319" t="inlineStr">
        <is>
          <t>LINKÖPING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38715-2023</t>
        </is>
      </c>
      <c r="B320" s="1" t="n">
        <v>45160</v>
      </c>
      <c r="C320" s="1" t="n">
        <v>46094</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13911-2025</t>
        </is>
      </c>
      <c r="B321" s="1" t="n">
        <v>45737.64784722222</v>
      </c>
      <c r="C321" s="1" t="n">
        <v>46094</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34864-2023</t>
        </is>
      </c>
      <c r="B322" s="1" t="n">
        <v>45141</v>
      </c>
      <c r="C322" s="1" t="n">
        <v>46094</v>
      </c>
      <c r="D322" t="inlineStr">
        <is>
          <t>ÖSTERGÖTLANDS LÄN</t>
        </is>
      </c>
      <c r="E322" t="inlineStr">
        <is>
          <t>LINKÖPING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23491-2024</t>
        </is>
      </c>
      <c r="B323" s="1" t="n">
        <v>45453</v>
      </c>
      <c r="C323" s="1" t="n">
        <v>46094</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70-2024</t>
        </is>
      </c>
      <c r="B324" s="1" t="n">
        <v>45293</v>
      </c>
      <c r="C324" s="1" t="n">
        <v>46094</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6054-2022</t>
        </is>
      </c>
      <c r="B325" s="1" t="n">
        <v>44599.53623842593</v>
      </c>
      <c r="C325" s="1" t="n">
        <v>46094</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31725-2022</t>
        </is>
      </c>
      <c r="B326" s="1" t="n">
        <v>44776.48541666667</v>
      </c>
      <c r="C326" s="1" t="n">
        <v>46094</v>
      </c>
      <c r="D326" t="inlineStr">
        <is>
          <t>ÖSTERGÖTLANDS LÄN</t>
        </is>
      </c>
      <c r="E326" t="inlineStr">
        <is>
          <t>LINKÖPING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46687-2021</t>
        </is>
      </c>
      <c r="B327" s="1" t="n">
        <v>44445</v>
      </c>
      <c r="C327" s="1" t="n">
        <v>46094</v>
      </c>
      <c r="D327" t="inlineStr">
        <is>
          <t>ÖSTERGÖTLANDS LÄN</t>
        </is>
      </c>
      <c r="E327" t="inlineStr">
        <is>
          <t>LINKÖPING</t>
        </is>
      </c>
      <c r="F327" t="inlineStr">
        <is>
          <t>Övriga statliga verk och myndigheter</t>
        </is>
      </c>
      <c r="G327" t="n">
        <v>2.3</v>
      </c>
      <c r="H327" t="n">
        <v>0</v>
      </c>
      <c r="I327" t="n">
        <v>0</v>
      </c>
      <c r="J327" t="n">
        <v>0</v>
      </c>
      <c r="K327" t="n">
        <v>0</v>
      </c>
      <c r="L327" t="n">
        <v>0</v>
      </c>
      <c r="M327" t="n">
        <v>0</v>
      </c>
      <c r="N327" t="n">
        <v>0</v>
      </c>
      <c r="O327" t="n">
        <v>0</v>
      </c>
      <c r="P327" t="n">
        <v>0</v>
      </c>
      <c r="Q327" t="n">
        <v>0</v>
      </c>
      <c r="R327" s="2" t="inlineStr"/>
    </row>
    <row r="328" ht="15" customHeight="1">
      <c r="A328" t="inlineStr">
        <is>
          <t>A 17103-2025</t>
        </is>
      </c>
      <c r="B328" s="1" t="n">
        <v>45755.66143518518</v>
      </c>
      <c r="C328" s="1" t="n">
        <v>46094</v>
      </c>
      <c r="D328" t="inlineStr">
        <is>
          <t>ÖSTERGÖTLANDS LÄN</t>
        </is>
      </c>
      <c r="E328" t="inlineStr">
        <is>
          <t>LINKÖPING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44280-2024</t>
        </is>
      </c>
      <c r="B329" s="1" t="n">
        <v>45573.49461805556</v>
      </c>
      <c r="C329" s="1" t="n">
        <v>46094</v>
      </c>
      <c r="D329" t="inlineStr">
        <is>
          <t>ÖSTERGÖTLANDS LÄN</t>
        </is>
      </c>
      <c r="E329" t="inlineStr">
        <is>
          <t>LINKÖPING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40618-2021</t>
        </is>
      </c>
      <c r="B330" s="1" t="n">
        <v>44420.49575231481</v>
      </c>
      <c r="C330" s="1" t="n">
        <v>46094</v>
      </c>
      <c r="D330" t="inlineStr">
        <is>
          <t>ÖSTERGÖTLANDS LÄN</t>
        </is>
      </c>
      <c r="E330" t="inlineStr">
        <is>
          <t>LINKÖPING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56180-2024</t>
        </is>
      </c>
      <c r="B331" s="1" t="n">
        <v>45624.56611111111</v>
      </c>
      <c r="C331" s="1" t="n">
        <v>46094</v>
      </c>
      <c r="D331" t="inlineStr">
        <is>
          <t>ÖSTERGÖTLANDS LÄN</t>
        </is>
      </c>
      <c r="E331" t="inlineStr">
        <is>
          <t>LINKÖPING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30471-2023</t>
        </is>
      </c>
      <c r="B332" s="1" t="n">
        <v>45111.58931712963</v>
      </c>
      <c r="C332" s="1" t="n">
        <v>46094</v>
      </c>
      <c r="D332" t="inlineStr">
        <is>
          <t>ÖSTERGÖTLANDS LÄN</t>
        </is>
      </c>
      <c r="E332" t="inlineStr">
        <is>
          <t>LINKÖPING</t>
        </is>
      </c>
      <c r="G332" t="n">
        <v>2.9</v>
      </c>
      <c r="H332" t="n">
        <v>0</v>
      </c>
      <c r="I332" t="n">
        <v>0</v>
      </c>
      <c r="J332" t="n">
        <v>0</v>
      </c>
      <c r="K332" t="n">
        <v>0</v>
      </c>
      <c r="L332" t="n">
        <v>0</v>
      </c>
      <c r="M332" t="n">
        <v>0</v>
      </c>
      <c r="N332" t="n">
        <v>0</v>
      </c>
      <c r="O332" t="n">
        <v>0</v>
      </c>
      <c r="P332" t="n">
        <v>0</v>
      </c>
      <c r="Q332" t="n">
        <v>0</v>
      </c>
      <c r="R332" s="2" t="inlineStr"/>
    </row>
    <row r="333" ht="15" customHeight="1">
      <c r="A333" t="inlineStr">
        <is>
          <t>A 57391-2023</t>
        </is>
      </c>
      <c r="B333" s="1" t="n">
        <v>45245</v>
      </c>
      <c r="C333" s="1" t="n">
        <v>46094</v>
      </c>
      <c r="D333" t="inlineStr">
        <is>
          <t>ÖSTERGÖTLANDS LÄN</t>
        </is>
      </c>
      <c r="E333" t="inlineStr">
        <is>
          <t>LINKÖPING</t>
        </is>
      </c>
      <c r="F333" t="inlineStr">
        <is>
          <t>Övriga Aktiebolag</t>
        </is>
      </c>
      <c r="G333" t="n">
        <v>1.7</v>
      </c>
      <c r="H333" t="n">
        <v>0</v>
      </c>
      <c r="I333" t="n">
        <v>0</v>
      </c>
      <c r="J333" t="n">
        <v>0</v>
      </c>
      <c r="K333" t="n">
        <v>0</v>
      </c>
      <c r="L333" t="n">
        <v>0</v>
      </c>
      <c r="M333" t="n">
        <v>0</v>
      </c>
      <c r="N333" t="n">
        <v>0</v>
      </c>
      <c r="O333" t="n">
        <v>0</v>
      </c>
      <c r="P333" t="n">
        <v>0</v>
      </c>
      <c r="Q333" t="n">
        <v>0</v>
      </c>
      <c r="R333" s="2" t="inlineStr"/>
    </row>
    <row r="334" ht="15" customHeight="1">
      <c r="A334" t="inlineStr">
        <is>
          <t>A 7992-2023</t>
        </is>
      </c>
      <c r="B334" s="1" t="n">
        <v>44970</v>
      </c>
      <c r="C334" s="1" t="n">
        <v>46094</v>
      </c>
      <c r="D334" t="inlineStr">
        <is>
          <t>ÖSTERGÖTLANDS LÄN</t>
        </is>
      </c>
      <c r="E334" t="inlineStr">
        <is>
          <t>LINKÖPING</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227-2024</t>
        </is>
      </c>
      <c r="B335" s="1" t="n">
        <v>45294.73603009259</v>
      </c>
      <c r="C335" s="1" t="n">
        <v>46094</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13689-2025</t>
        </is>
      </c>
      <c r="B336" s="1" t="n">
        <v>45737.31590277778</v>
      </c>
      <c r="C336" s="1" t="n">
        <v>46094</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13696-2025</t>
        </is>
      </c>
      <c r="B337" s="1" t="n">
        <v>45737.32273148148</v>
      </c>
      <c r="C337" s="1" t="n">
        <v>46094</v>
      </c>
      <c r="D337" t="inlineStr">
        <is>
          <t>ÖSTERGÖTLANDS LÄN</t>
        </is>
      </c>
      <c r="E337" t="inlineStr">
        <is>
          <t>LINKÖPING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1924-2024</t>
        </is>
      </c>
      <c r="B338" s="1" t="n">
        <v>45308</v>
      </c>
      <c r="C338" s="1" t="n">
        <v>46094</v>
      </c>
      <c r="D338" t="inlineStr">
        <is>
          <t>ÖSTERGÖTLANDS LÄN</t>
        </is>
      </c>
      <c r="E338" t="inlineStr">
        <is>
          <t>LINKÖPING</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44155-2024</t>
        </is>
      </c>
      <c r="B339" s="1" t="n">
        <v>45572.68226851852</v>
      </c>
      <c r="C339" s="1" t="n">
        <v>46094</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32346-2023</t>
        </is>
      </c>
      <c r="B340" s="1" t="n">
        <v>45120</v>
      </c>
      <c r="C340" s="1" t="n">
        <v>46094</v>
      </c>
      <c r="D340" t="inlineStr">
        <is>
          <t>ÖSTERGÖTLANDS LÄN</t>
        </is>
      </c>
      <c r="E340" t="inlineStr">
        <is>
          <t>LINKÖPING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30434-2024</t>
        </is>
      </c>
      <c r="B341" s="1" t="n">
        <v>45491.69811342593</v>
      </c>
      <c r="C341" s="1" t="n">
        <v>46094</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56917-2022</t>
        </is>
      </c>
      <c r="B342" s="1" t="n">
        <v>44894</v>
      </c>
      <c r="C342" s="1" t="n">
        <v>46094</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50508-2024</t>
        </is>
      </c>
      <c r="B343" s="1" t="n">
        <v>45601.53907407408</v>
      </c>
      <c r="C343" s="1" t="n">
        <v>46094</v>
      </c>
      <c r="D343" t="inlineStr">
        <is>
          <t>ÖSTERGÖTLANDS LÄN</t>
        </is>
      </c>
      <c r="E343" t="inlineStr">
        <is>
          <t>LINKÖPING</t>
        </is>
      </c>
      <c r="F343" t="inlineStr">
        <is>
          <t>Övriga Aktiebolag</t>
        </is>
      </c>
      <c r="G343" t="n">
        <v>2</v>
      </c>
      <c r="H343" t="n">
        <v>0</v>
      </c>
      <c r="I343" t="n">
        <v>0</v>
      </c>
      <c r="J343" t="n">
        <v>0</v>
      </c>
      <c r="K343" t="n">
        <v>0</v>
      </c>
      <c r="L343" t="n">
        <v>0</v>
      </c>
      <c r="M343" t="n">
        <v>0</v>
      </c>
      <c r="N343" t="n">
        <v>0</v>
      </c>
      <c r="O343" t="n">
        <v>0</v>
      </c>
      <c r="P343" t="n">
        <v>0</v>
      </c>
      <c r="Q343" t="n">
        <v>0</v>
      </c>
      <c r="R343" s="2" t="inlineStr"/>
    </row>
    <row r="344" ht="15" customHeight="1">
      <c r="A344" t="inlineStr">
        <is>
          <t>A 57766-2023</t>
        </is>
      </c>
      <c r="B344" s="1" t="n">
        <v>45246</v>
      </c>
      <c r="C344" s="1" t="n">
        <v>46094</v>
      </c>
      <c r="D344" t="inlineStr">
        <is>
          <t>ÖSTERGÖTLANDS LÄN</t>
        </is>
      </c>
      <c r="E344" t="inlineStr">
        <is>
          <t>LINKÖPING</t>
        </is>
      </c>
      <c r="F344" t="inlineStr">
        <is>
          <t>Allmännings- och besparingsskogar</t>
        </is>
      </c>
      <c r="G344" t="n">
        <v>12.8</v>
      </c>
      <c r="H344" t="n">
        <v>0</v>
      </c>
      <c r="I344" t="n">
        <v>0</v>
      </c>
      <c r="J344" t="n">
        <v>0</v>
      </c>
      <c r="K344" t="n">
        <v>0</v>
      </c>
      <c r="L344" t="n">
        <v>0</v>
      </c>
      <c r="M344" t="n">
        <v>0</v>
      </c>
      <c r="N344" t="n">
        <v>0</v>
      </c>
      <c r="O344" t="n">
        <v>0</v>
      </c>
      <c r="P344" t="n">
        <v>0</v>
      </c>
      <c r="Q344" t="n">
        <v>0</v>
      </c>
      <c r="R344" s="2" t="inlineStr"/>
    </row>
    <row r="345" ht="15" customHeight="1">
      <c r="A345" t="inlineStr">
        <is>
          <t>A 26002-2025</t>
        </is>
      </c>
      <c r="B345" s="1" t="n">
        <v>45804.66534722222</v>
      </c>
      <c r="C345" s="1" t="n">
        <v>46094</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7808-2022</t>
        </is>
      </c>
      <c r="B346" s="1" t="n">
        <v>44608</v>
      </c>
      <c r="C346" s="1" t="n">
        <v>46094</v>
      </c>
      <c r="D346" t="inlineStr">
        <is>
          <t>ÖSTERGÖTLANDS LÄN</t>
        </is>
      </c>
      <c r="E346" t="inlineStr">
        <is>
          <t>LINKÖPING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27844-2024</t>
        </is>
      </c>
      <c r="B347" s="1" t="n">
        <v>45475.63047453704</v>
      </c>
      <c r="C347" s="1" t="n">
        <v>46094</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25996-2025</t>
        </is>
      </c>
      <c r="B348" s="1" t="n">
        <v>45804.65851851852</v>
      </c>
      <c r="C348" s="1" t="n">
        <v>46094</v>
      </c>
      <c r="D348" t="inlineStr">
        <is>
          <t>ÖSTERGÖTLANDS LÄN</t>
        </is>
      </c>
      <c r="E348" t="inlineStr">
        <is>
          <t>LINKÖPING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40810-2022</t>
        </is>
      </c>
      <c r="B349" s="1" t="n">
        <v>44824</v>
      </c>
      <c r="C349" s="1" t="n">
        <v>46094</v>
      </c>
      <c r="D349" t="inlineStr">
        <is>
          <t>ÖSTERGÖTLANDS LÄN</t>
        </is>
      </c>
      <c r="E349" t="inlineStr">
        <is>
          <t>LINKÖPING</t>
        </is>
      </c>
      <c r="G349" t="n">
        <v>2.8</v>
      </c>
      <c r="H349" t="n">
        <v>0</v>
      </c>
      <c r="I349" t="n">
        <v>0</v>
      </c>
      <c r="J349" t="n">
        <v>0</v>
      </c>
      <c r="K349" t="n">
        <v>0</v>
      </c>
      <c r="L349" t="n">
        <v>0</v>
      </c>
      <c r="M349" t="n">
        <v>0</v>
      </c>
      <c r="N349" t="n">
        <v>0</v>
      </c>
      <c r="O349" t="n">
        <v>0</v>
      </c>
      <c r="P349" t="n">
        <v>0</v>
      </c>
      <c r="Q349" t="n">
        <v>0</v>
      </c>
      <c r="R349" s="2" t="inlineStr"/>
    </row>
    <row r="350" ht="15" customHeight="1">
      <c r="A350" t="inlineStr">
        <is>
          <t>A 51559-2024</t>
        </is>
      </c>
      <c r="B350" s="1" t="n">
        <v>45604.61431712963</v>
      </c>
      <c r="C350" s="1" t="n">
        <v>46094</v>
      </c>
      <c r="D350" t="inlineStr">
        <is>
          <t>ÖSTERGÖTLANDS LÄN</t>
        </is>
      </c>
      <c r="E350" t="inlineStr">
        <is>
          <t>LINKÖPING</t>
        </is>
      </c>
      <c r="F350" t="inlineStr">
        <is>
          <t>Övriga Aktiebolag</t>
        </is>
      </c>
      <c r="G350" t="n">
        <v>2.4</v>
      </c>
      <c r="H350" t="n">
        <v>0</v>
      </c>
      <c r="I350" t="n">
        <v>0</v>
      </c>
      <c r="J350" t="n">
        <v>0</v>
      </c>
      <c r="K350" t="n">
        <v>0</v>
      </c>
      <c r="L350" t="n">
        <v>0</v>
      </c>
      <c r="M350" t="n">
        <v>0</v>
      </c>
      <c r="N350" t="n">
        <v>0</v>
      </c>
      <c r="O350" t="n">
        <v>0</v>
      </c>
      <c r="P350" t="n">
        <v>0</v>
      </c>
      <c r="Q350" t="n">
        <v>0</v>
      </c>
      <c r="R350" s="2" t="inlineStr"/>
    </row>
    <row r="351" ht="15" customHeight="1">
      <c r="A351" t="inlineStr">
        <is>
          <t>A 49979-2022</t>
        </is>
      </c>
      <c r="B351" s="1" t="n">
        <v>44865</v>
      </c>
      <c r="C351" s="1" t="n">
        <v>46094</v>
      </c>
      <c r="D351" t="inlineStr">
        <is>
          <t>ÖSTERGÖTLANDS LÄN</t>
        </is>
      </c>
      <c r="E351" t="inlineStr">
        <is>
          <t>LINKÖPING</t>
        </is>
      </c>
      <c r="F351" t="inlineStr">
        <is>
          <t>Övriga Aktiebolag</t>
        </is>
      </c>
      <c r="G351" t="n">
        <v>11.4</v>
      </c>
      <c r="H351" t="n">
        <v>0</v>
      </c>
      <c r="I351" t="n">
        <v>0</v>
      </c>
      <c r="J351" t="n">
        <v>0</v>
      </c>
      <c r="K351" t="n">
        <v>0</v>
      </c>
      <c r="L351" t="n">
        <v>0</v>
      </c>
      <c r="M351" t="n">
        <v>0</v>
      </c>
      <c r="N351" t="n">
        <v>0</v>
      </c>
      <c r="O351" t="n">
        <v>0</v>
      </c>
      <c r="P351" t="n">
        <v>0</v>
      </c>
      <c r="Q351" t="n">
        <v>0</v>
      </c>
      <c r="R351" s="2" t="inlineStr"/>
    </row>
    <row r="352" ht="15" customHeight="1">
      <c r="A352" t="inlineStr">
        <is>
          <t>A 25568-2024</t>
        </is>
      </c>
      <c r="B352" s="1" t="n">
        <v>45463.58699074074</v>
      </c>
      <c r="C352" s="1" t="n">
        <v>46094</v>
      </c>
      <c r="D352" t="inlineStr">
        <is>
          <t>ÖSTERGÖTLANDS LÄN</t>
        </is>
      </c>
      <c r="E352" t="inlineStr">
        <is>
          <t>LINKÖPING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39219-2021</t>
        </is>
      </c>
      <c r="B353" s="1" t="n">
        <v>44413</v>
      </c>
      <c r="C353" s="1" t="n">
        <v>46094</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39224-2021</t>
        </is>
      </c>
      <c r="B354" s="1" t="n">
        <v>44413</v>
      </c>
      <c r="C354" s="1" t="n">
        <v>46094</v>
      </c>
      <c r="D354" t="inlineStr">
        <is>
          <t>ÖSTERGÖTLANDS LÄN</t>
        </is>
      </c>
      <c r="E354" t="inlineStr">
        <is>
          <t>LINKÖPING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62495-2023</t>
        </is>
      </c>
      <c r="B355" s="1" t="n">
        <v>45268.59717592593</v>
      </c>
      <c r="C355" s="1" t="n">
        <v>46094</v>
      </c>
      <c r="D355" t="inlineStr">
        <is>
          <t>ÖSTERGÖTLANDS LÄN</t>
        </is>
      </c>
      <c r="E355" t="inlineStr">
        <is>
          <t>LINKÖPING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3008-2023</t>
        </is>
      </c>
      <c r="B356" s="1" t="n">
        <v>44945.79784722222</v>
      </c>
      <c r="C356" s="1" t="n">
        <v>46094</v>
      </c>
      <c r="D356" t="inlineStr">
        <is>
          <t>ÖSTERGÖTLANDS LÄN</t>
        </is>
      </c>
      <c r="E356" t="inlineStr">
        <is>
          <t>LINKÖPING</t>
        </is>
      </c>
      <c r="G356" t="n">
        <v>19.3</v>
      </c>
      <c r="H356" t="n">
        <v>0</v>
      </c>
      <c r="I356" t="n">
        <v>0</v>
      </c>
      <c r="J356" t="n">
        <v>0</v>
      </c>
      <c r="K356" t="n">
        <v>0</v>
      </c>
      <c r="L356" t="n">
        <v>0</v>
      </c>
      <c r="M356" t="n">
        <v>0</v>
      </c>
      <c r="N356" t="n">
        <v>0</v>
      </c>
      <c r="O356" t="n">
        <v>0</v>
      </c>
      <c r="P356" t="n">
        <v>0</v>
      </c>
      <c r="Q356" t="n">
        <v>0</v>
      </c>
      <c r="R356" s="2" t="inlineStr"/>
    </row>
    <row r="357" ht="15" customHeight="1">
      <c r="A357" t="inlineStr">
        <is>
          <t>A 29413-2023</t>
        </is>
      </c>
      <c r="B357" s="1" t="n">
        <v>45106.46465277778</v>
      </c>
      <c r="C357" s="1" t="n">
        <v>46094</v>
      </c>
      <c r="D357" t="inlineStr">
        <is>
          <t>ÖSTERGÖTLANDS LÄN</t>
        </is>
      </c>
      <c r="E357" t="inlineStr">
        <is>
          <t>LINKÖPING</t>
        </is>
      </c>
      <c r="G357" t="n">
        <v>8</v>
      </c>
      <c r="H357" t="n">
        <v>0</v>
      </c>
      <c r="I357" t="n">
        <v>0</v>
      </c>
      <c r="J357" t="n">
        <v>0</v>
      </c>
      <c r="K357" t="n">
        <v>0</v>
      </c>
      <c r="L357" t="n">
        <v>0</v>
      </c>
      <c r="M357" t="n">
        <v>0</v>
      </c>
      <c r="N357" t="n">
        <v>0</v>
      </c>
      <c r="O357" t="n">
        <v>0</v>
      </c>
      <c r="P357" t="n">
        <v>0</v>
      </c>
      <c r="Q357" t="n">
        <v>0</v>
      </c>
      <c r="R357" s="2" t="inlineStr"/>
    </row>
    <row r="358" ht="15" customHeight="1">
      <c r="A358" t="inlineStr">
        <is>
          <t>A 22833-2023</t>
        </is>
      </c>
      <c r="B358" s="1" t="n">
        <v>45071</v>
      </c>
      <c r="C358" s="1" t="n">
        <v>46094</v>
      </c>
      <c r="D358" t="inlineStr">
        <is>
          <t>ÖSTERGÖTLANDS LÄN</t>
        </is>
      </c>
      <c r="E358" t="inlineStr">
        <is>
          <t>LINKÖPING</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25948-2023</t>
        </is>
      </c>
      <c r="B359" s="1" t="n">
        <v>45090</v>
      </c>
      <c r="C359" s="1" t="n">
        <v>46094</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1627-2023</t>
        </is>
      </c>
      <c r="B360" s="1" t="n">
        <v>44937</v>
      </c>
      <c r="C360" s="1" t="n">
        <v>46094</v>
      </c>
      <c r="D360" t="inlineStr">
        <is>
          <t>ÖSTERGÖTLANDS LÄN</t>
        </is>
      </c>
      <c r="E360" t="inlineStr">
        <is>
          <t>LINKÖPING</t>
        </is>
      </c>
      <c r="G360" t="n">
        <v>10.8</v>
      </c>
      <c r="H360" t="n">
        <v>0</v>
      </c>
      <c r="I360" t="n">
        <v>0</v>
      </c>
      <c r="J360" t="n">
        <v>0</v>
      </c>
      <c r="K360" t="n">
        <v>0</v>
      </c>
      <c r="L360" t="n">
        <v>0</v>
      </c>
      <c r="M360" t="n">
        <v>0</v>
      </c>
      <c r="N360" t="n">
        <v>0</v>
      </c>
      <c r="O360" t="n">
        <v>0</v>
      </c>
      <c r="P360" t="n">
        <v>0</v>
      </c>
      <c r="Q360" t="n">
        <v>0</v>
      </c>
      <c r="R360" s="2" t="inlineStr"/>
    </row>
    <row r="361" ht="15" customHeight="1">
      <c r="A361" t="inlineStr">
        <is>
          <t>A 30481-2023</t>
        </is>
      </c>
      <c r="B361" s="1" t="n">
        <v>45111</v>
      </c>
      <c r="C361" s="1" t="n">
        <v>46094</v>
      </c>
      <c r="D361" t="inlineStr">
        <is>
          <t>ÖSTERGÖTLANDS LÄN</t>
        </is>
      </c>
      <c r="E361" t="inlineStr">
        <is>
          <t>LINKÖPING</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21782-2024</t>
        </is>
      </c>
      <c r="B362" s="1" t="n">
        <v>45442.63368055555</v>
      </c>
      <c r="C362" s="1" t="n">
        <v>46094</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2997-2025</t>
        </is>
      </c>
      <c r="B363" s="1" t="n">
        <v>45678.54631944445</v>
      </c>
      <c r="C363" s="1" t="n">
        <v>46094</v>
      </c>
      <c r="D363" t="inlineStr">
        <is>
          <t>ÖSTERGÖTLANDS LÄN</t>
        </is>
      </c>
      <c r="E363" t="inlineStr">
        <is>
          <t>LINKÖPING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11671-2023</t>
        </is>
      </c>
      <c r="B364" s="1" t="n">
        <v>44994.48125</v>
      </c>
      <c r="C364" s="1" t="n">
        <v>46094</v>
      </c>
      <c r="D364" t="inlineStr">
        <is>
          <t>ÖSTERGÖTLANDS LÄN</t>
        </is>
      </c>
      <c r="E364" t="inlineStr">
        <is>
          <t>LINKÖPING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41345-2021</t>
        </is>
      </c>
      <c r="B365" s="1" t="n">
        <v>44424.61851851852</v>
      </c>
      <c r="C365" s="1" t="n">
        <v>46094</v>
      </c>
      <c r="D365" t="inlineStr">
        <is>
          <t>ÖSTERGÖTLANDS LÄN</t>
        </is>
      </c>
      <c r="E365" t="inlineStr">
        <is>
          <t>LINKÖPING</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39438-2025</t>
        </is>
      </c>
      <c r="B366" s="1" t="n">
        <v>45889.68641203704</v>
      </c>
      <c r="C366" s="1" t="n">
        <v>46094</v>
      </c>
      <c r="D366" t="inlineStr">
        <is>
          <t>ÖSTERGÖTLANDS LÄN</t>
        </is>
      </c>
      <c r="E366" t="inlineStr">
        <is>
          <t>LINKÖPING</t>
        </is>
      </c>
      <c r="G366" t="n">
        <v>2.4</v>
      </c>
      <c r="H366" t="n">
        <v>0</v>
      </c>
      <c r="I366" t="n">
        <v>0</v>
      </c>
      <c r="J366" t="n">
        <v>0</v>
      </c>
      <c r="K366" t="n">
        <v>0</v>
      </c>
      <c r="L366" t="n">
        <v>0</v>
      </c>
      <c r="M366" t="n">
        <v>0</v>
      </c>
      <c r="N366" t="n">
        <v>0</v>
      </c>
      <c r="O366" t="n">
        <v>0</v>
      </c>
      <c r="P366" t="n">
        <v>0</v>
      </c>
      <c r="Q366" t="n">
        <v>0</v>
      </c>
      <c r="R366" s="2" t="inlineStr"/>
    </row>
    <row r="367" ht="15" customHeight="1">
      <c r="A367" t="inlineStr">
        <is>
          <t>A 13266-2025</t>
        </is>
      </c>
      <c r="B367" s="1" t="n">
        <v>45735.53318287037</v>
      </c>
      <c r="C367" s="1" t="n">
        <v>46094</v>
      </c>
      <c r="D367" t="inlineStr">
        <is>
          <t>ÖSTERGÖTLANDS LÄN</t>
        </is>
      </c>
      <c r="E367" t="inlineStr">
        <is>
          <t>LINKÖPING</t>
        </is>
      </c>
      <c r="G367" t="n">
        <v>3.1</v>
      </c>
      <c r="H367" t="n">
        <v>0</v>
      </c>
      <c r="I367" t="n">
        <v>0</v>
      </c>
      <c r="J367" t="n">
        <v>0</v>
      </c>
      <c r="K367" t="n">
        <v>0</v>
      </c>
      <c r="L367" t="n">
        <v>0</v>
      </c>
      <c r="M367" t="n">
        <v>0</v>
      </c>
      <c r="N367" t="n">
        <v>0</v>
      </c>
      <c r="O367" t="n">
        <v>0</v>
      </c>
      <c r="P367" t="n">
        <v>0</v>
      </c>
      <c r="Q367" t="n">
        <v>0</v>
      </c>
      <c r="R367" s="2" t="inlineStr"/>
    </row>
    <row r="368" ht="15" customHeight="1">
      <c r="A368" t="inlineStr">
        <is>
          <t>A 3013-2023</t>
        </is>
      </c>
      <c r="B368" s="1" t="n">
        <v>44945.8092824074</v>
      </c>
      <c r="C368" s="1" t="n">
        <v>46094</v>
      </c>
      <c r="D368" t="inlineStr">
        <is>
          <t>ÖSTERGÖTLANDS LÄN</t>
        </is>
      </c>
      <c r="E368" t="inlineStr">
        <is>
          <t>LINKÖPING</t>
        </is>
      </c>
      <c r="G368" t="n">
        <v>5.2</v>
      </c>
      <c r="H368" t="n">
        <v>0</v>
      </c>
      <c r="I368" t="n">
        <v>0</v>
      </c>
      <c r="J368" t="n">
        <v>0</v>
      </c>
      <c r="K368" t="n">
        <v>0</v>
      </c>
      <c r="L368" t="n">
        <v>0</v>
      </c>
      <c r="M368" t="n">
        <v>0</v>
      </c>
      <c r="N368" t="n">
        <v>0</v>
      </c>
      <c r="O368" t="n">
        <v>0</v>
      </c>
      <c r="P368" t="n">
        <v>0</v>
      </c>
      <c r="Q368" t="n">
        <v>0</v>
      </c>
      <c r="R368" s="2" t="inlineStr"/>
    </row>
    <row r="369" ht="15" customHeight="1">
      <c r="A369" t="inlineStr">
        <is>
          <t>A 49747-2024</t>
        </is>
      </c>
      <c r="B369" s="1" t="n">
        <v>45596</v>
      </c>
      <c r="C369" s="1" t="n">
        <v>46094</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16213-2025</t>
        </is>
      </c>
      <c r="B370" s="1" t="n">
        <v>45750.62740740741</v>
      </c>
      <c r="C370" s="1" t="n">
        <v>46094</v>
      </c>
      <c r="D370" t="inlineStr">
        <is>
          <t>ÖSTERGÖTLANDS LÄN</t>
        </is>
      </c>
      <c r="E370" t="inlineStr">
        <is>
          <t>LINKÖPING</t>
        </is>
      </c>
      <c r="G370" t="n">
        <v>3.4</v>
      </c>
      <c r="H370" t="n">
        <v>0</v>
      </c>
      <c r="I370" t="n">
        <v>0</v>
      </c>
      <c r="J370" t="n">
        <v>0</v>
      </c>
      <c r="K370" t="n">
        <v>0</v>
      </c>
      <c r="L370" t="n">
        <v>0</v>
      </c>
      <c r="M370" t="n">
        <v>0</v>
      </c>
      <c r="N370" t="n">
        <v>0</v>
      </c>
      <c r="O370" t="n">
        <v>0</v>
      </c>
      <c r="P370" t="n">
        <v>0</v>
      </c>
      <c r="Q370" t="n">
        <v>0</v>
      </c>
      <c r="R370" s="2" t="inlineStr"/>
    </row>
    <row r="371" ht="15" customHeight="1">
      <c r="A371" t="inlineStr">
        <is>
          <t>A 42997-2021</t>
        </is>
      </c>
      <c r="B371" s="1" t="n">
        <v>44431.45556712963</v>
      </c>
      <c r="C371" s="1" t="n">
        <v>46094</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3011-2023</t>
        </is>
      </c>
      <c r="B372" s="1" t="n">
        <v>44945</v>
      </c>
      <c r="C372" s="1" t="n">
        <v>46094</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23735-2023</t>
        </is>
      </c>
      <c r="B373" s="1" t="n">
        <v>45077</v>
      </c>
      <c r="C373" s="1" t="n">
        <v>46094</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45821-2024</t>
        </is>
      </c>
      <c r="B374" s="1" t="n">
        <v>45579.75803240741</v>
      </c>
      <c r="C374" s="1" t="n">
        <v>46094</v>
      </c>
      <c r="D374" t="inlineStr">
        <is>
          <t>ÖSTERGÖTLANDS LÄN</t>
        </is>
      </c>
      <c r="E374" t="inlineStr">
        <is>
          <t>LINKÖPING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46225-2021</t>
        </is>
      </c>
      <c r="B375" s="1" t="n">
        <v>44442</v>
      </c>
      <c r="C375" s="1" t="n">
        <v>46094</v>
      </c>
      <c r="D375" t="inlineStr">
        <is>
          <t>ÖSTERGÖTLANDS LÄN</t>
        </is>
      </c>
      <c r="E375" t="inlineStr">
        <is>
          <t>LINKÖPING</t>
        </is>
      </c>
      <c r="G375" t="n">
        <v>2.9</v>
      </c>
      <c r="H375" t="n">
        <v>0</v>
      </c>
      <c r="I375" t="n">
        <v>0</v>
      </c>
      <c r="J375" t="n">
        <v>0</v>
      </c>
      <c r="K375" t="n">
        <v>0</v>
      </c>
      <c r="L375" t="n">
        <v>0</v>
      </c>
      <c r="M375" t="n">
        <v>0</v>
      </c>
      <c r="N375" t="n">
        <v>0</v>
      </c>
      <c r="O375" t="n">
        <v>0</v>
      </c>
      <c r="P375" t="n">
        <v>0</v>
      </c>
      <c r="Q375" t="n">
        <v>0</v>
      </c>
      <c r="R375" s="2" t="inlineStr"/>
    </row>
    <row r="376" ht="15" customHeight="1">
      <c r="A376" t="inlineStr">
        <is>
          <t>A 25776-2021</t>
        </is>
      </c>
      <c r="B376" s="1" t="n">
        <v>44343</v>
      </c>
      <c r="C376" s="1" t="n">
        <v>46094</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27950-2025</t>
        </is>
      </c>
      <c r="B377" s="1" t="n">
        <v>45817.52960648148</v>
      </c>
      <c r="C377" s="1" t="n">
        <v>46094</v>
      </c>
      <c r="D377" t="inlineStr">
        <is>
          <t>ÖSTERGÖTLANDS LÄN</t>
        </is>
      </c>
      <c r="E377" t="inlineStr">
        <is>
          <t>LINKÖPING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51484-2023</t>
        </is>
      </c>
      <c r="B378" s="1" t="n">
        <v>45222</v>
      </c>
      <c r="C378" s="1" t="n">
        <v>46094</v>
      </c>
      <c r="D378" t="inlineStr">
        <is>
          <t>ÖSTERGÖTLANDS LÄN</t>
        </is>
      </c>
      <c r="E378" t="inlineStr">
        <is>
          <t>LINKÖPING</t>
        </is>
      </c>
      <c r="F378" t="inlineStr">
        <is>
          <t>Övriga Aktiebolag</t>
        </is>
      </c>
      <c r="G378" t="n">
        <v>7.7</v>
      </c>
      <c r="H378" t="n">
        <v>0</v>
      </c>
      <c r="I378" t="n">
        <v>0</v>
      </c>
      <c r="J378" t="n">
        <v>0</v>
      </c>
      <c r="K378" t="n">
        <v>0</v>
      </c>
      <c r="L378" t="n">
        <v>0</v>
      </c>
      <c r="M378" t="n">
        <v>0</v>
      </c>
      <c r="N378" t="n">
        <v>0</v>
      </c>
      <c r="O378" t="n">
        <v>0</v>
      </c>
      <c r="P378" t="n">
        <v>0</v>
      </c>
      <c r="Q378" t="n">
        <v>0</v>
      </c>
      <c r="R378" s="2" t="inlineStr"/>
    </row>
    <row r="379" ht="15" customHeight="1">
      <c r="A379" t="inlineStr">
        <is>
          <t>A 27797-2025</t>
        </is>
      </c>
      <c r="B379" s="1" t="n">
        <v>45816.80521990741</v>
      </c>
      <c r="C379" s="1" t="n">
        <v>46094</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27798-2025</t>
        </is>
      </c>
      <c r="B380" s="1" t="n">
        <v>45816.81532407407</v>
      </c>
      <c r="C380" s="1" t="n">
        <v>46094</v>
      </c>
      <c r="D380" t="inlineStr">
        <is>
          <t>ÖSTERGÖTLANDS LÄN</t>
        </is>
      </c>
      <c r="E380" t="inlineStr">
        <is>
          <t>LINKÖPING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17898-2022</t>
        </is>
      </c>
      <c r="B381" s="1" t="n">
        <v>44683</v>
      </c>
      <c r="C381" s="1" t="n">
        <v>46094</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27264-2025</t>
        </is>
      </c>
      <c r="B382" s="1" t="n">
        <v>45812.4794212963</v>
      </c>
      <c r="C382" s="1" t="n">
        <v>46094</v>
      </c>
      <c r="D382" t="inlineStr">
        <is>
          <t>ÖSTERGÖTLANDS LÄN</t>
        </is>
      </c>
      <c r="E382" t="inlineStr">
        <is>
          <t>LINKÖPING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53647-2021</t>
        </is>
      </c>
      <c r="B383" s="1" t="n">
        <v>44469</v>
      </c>
      <c r="C383" s="1" t="n">
        <v>46094</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28200-2025</t>
        </is>
      </c>
      <c r="B384" s="1" t="n">
        <v>45818.4428125</v>
      </c>
      <c r="C384" s="1" t="n">
        <v>46094</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63487-2023</t>
        </is>
      </c>
      <c r="B385" s="1" t="n">
        <v>45274.66712962963</v>
      </c>
      <c r="C385" s="1" t="n">
        <v>46094</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35463-2023</t>
        </is>
      </c>
      <c r="B386" s="1" t="n">
        <v>45146</v>
      </c>
      <c r="C386" s="1" t="n">
        <v>46094</v>
      </c>
      <c r="D386" t="inlineStr">
        <is>
          <t>ÖSTERGÖTLANDS LÄN</t>
        </is>
      </c>
      <c r="E386" t="inlineStr">
        <is>
          <t>LINKÖPING</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28204-2025</t>
        </is>
      </c>
      <c r="B387" s="1" t="n">
        <v>45818.4477662037</v>
      </c>
      <c r="C387" s="1" t="n">
        <v>46094</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28416-2025</t>
        </is>
      </c>
      <c r="B388" s="1" t="n">
        <v>45819.35346064815</v>
      </c>
      <c r="C388" s="1" t="n">
        <v>46094</v>
      </c>
      <c r="D388" t="inlineStr">
        <is>
          <t>ÖSTERGÖTLANDS LÄN</t>
        </is>
      </c>
      <c r="E388" t="inlineStr">
        <is>
          <t>LINKÖPING</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6599-2023</t>
        </is>
      </c>
      <c r="B389" s="1" t="n">
        <v>44966.52603009259</v>
      </c>
      <c r="C389" s="1" t="n">
        <v>46094</v>
      </c>
      <c r="D389" t="inlineStr">
        <is>
          <t>ÖSTERGÖTLANDS LÄN</t>
        </is>
      </c>
      <c r="E389" t="inlineStr">
        <is>
          <t>LINKÖPING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28398-2025</t>
        </is>
      </c>
      <c r="B390" s="1" t="n">
        <v>45819.34208333334</v>
      </c>
      <c r="C390" s="1" t="n">
        <v>46094</v>
      </c>
      <c r="D390" t="inlineStr">
        <is>
          <t>ÖSTERGÖTLANDS LÄN</t>
        </is>
      </c>
      <c r="E390" t="inlineStr">
        <is>
          <t>LINKÖPING</t>
        </is>
      </c>
      <c r="F390" t="inlineStr">
        <is>
          <t>Sveaskog</t>
        </is>
      </c>
      <c r="G390" t="n">
        <v>7.9</v>
      </c>
      <c r="H390" t="n">
        <v>0</v>
      </c>
      <c r="I390" t="n">
        <v>0</v>
      </c>
      <c r="J390" t="n">
        <v>0</v>
      </c>
      <c r="K390" t="n">
        <v>0</v>
      </c>
      <c r="L390" t="n">
        <v>0</v>
      </c>
      <c r="M390" t="n">
        <v>0</v>
      </c>
      <c r="N390" t="n">
        <v>0</v>
      </c>
      <c r="O390" t="n">
        <v>0</v>
      </c>
      <c r="P390" t="n">
        <v>0</v>
      </c>
      <c r="Q390" t="n">
        <v>0</v>
      </c>
      <c r="R390" s="2" t="inlineStr"/>
    </row>
    <row r="391" ht="15" customHeight="1">
      <c r="A391" t="inlineStr">
        <is>
          <t>A 28209-2025</t>
        </is>
      </c>
      <c r="B391" s="1" t="n">
        <v>45818.45112268518</v>
      </c>
      <c r="C391" s="1" t="n">
        <v>46094</v>
      </c>
      <c r="D391" t="inlineStr">
        <is>
          <t>ÖSTERGÖTLANDS LÄN</t>
        </is>
      </c>
      <c r="E391" t="inlineStr">
        <is>
          <t>LINKÖPING</t>
        </is>
      </c>
      <c r="G391" t="n">
        <v>4.2</v>
      </c>
      <c r="H391" t="n">
        <v>0</v>
      </c>
      <c r="I391" t="n">
        <v>0</v>
      </c>
      <c r="J391" t="n">
        <v>0</v>
      </c>
      <c r="K391" t="n">
        <v>0</v>
      </c>
      <c r="L391" t="n">
        <v>0</v>
      </c>
      <c r="M391" t="n">
        <v>0</v>
      </c>
      <c r="N391" t="n">
        <v>0</v>
      </c>
      <c r="O391" t="n">
        <v>0</v>
      </c>
      <c r="P391" t="n">
        <v>0</v>
      </c>
      <c r="Q391" t="n">
        <v>0</v>
      </c>
      <c r="R391" s="2" t="inlineStr"/>
    </row>
    <row r="392" ht="15" customHeight="1">
      <c r="A392" t="inlineStr">
        <is>
          <t>A 55632-2022</t>
        </is>
      </c>
      <c r="B392" s="1" t="n">
        <v>44888</v>
      </c>
      <c r="C392" s="1" t="n">
        <v>46094</v>
      </c>
      <c r="D392" t="inlineStr">
        <is>
          <t>ÖSTERGÖTLANDS LÄN</t>
        </is>
      </c>
      <c r="E392" t="inlineStr">
        <is>
          <t>LINKÖPING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63559-2023</t>
        </is>
      </c>
      <c r="B393" s="1" t="n">
        <v>45275.35924768518</v>
      </c>
      <c r="C393" s="1" t="n">
        <v>46094</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35735-2023</t>
        </is>
      </c>
      <c r="B394" s="1" t="n">
        <v>45147</v>
      </c>
      <c r="C394" s="1" t="n">
        <v>46094</v>
      </c>
      <c r="D394" t="inlineStr">
        <is>
          <t>ÖSTERGÖTLANDS LÄN</t>
        </is>
      </c>
      <c r="E394" t="inlineStr">
        <is>
          <t>LINKÖPING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29027-2025</t>
        </is>
      </c>
      <c r="B395" s="1" t="n">
        <v>45821.4375462963</v>
      </c>
      <c r="C395" s="1" t="n">
        <v>46094</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58114-2021</t>
        </is>
      </c>
      <c r="B396" s="1" t="n">
        <v>44487</v>
      </c>
      <c r="C396" s="1" t="n">
        <v>46094</v>
      </c>
      <c r="D396" t="inlineStr">
        <is>
          <t>ÖSTERGÖTLANDS LÄN</t>
        </is>
      </c>
      <c r="E396" t="inlineStr">
        <is>
          <t>LINKÖPING</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45831-2024</t>
        </is>
      </c>
      <c r="B397" s="1" t="n">
        <v>45579.90508101852</v>
      </c>
      <c r="C397" s="1" t="n">
        <v>46094</v>
      </c>
      <c r="D397" t="inlineStr">
        <is>
          <t>ÖSTERGÖTLANDS LÄN</t>
        </is>
      </c>
      <c r="E397" t="inlineStr">
        <is>
          <t>LINKÖPING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17157-2024</t>
        </is>
      </c>
      <c r="B398" s="1" t="n">
        <v>45412.70567129629</v>
      </c>
      <c r="C398" s="1" t="n">
        <v>46094</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29411-2025</t>
        </is>
      </c>
      <c r="B399" s="1" t="n">
        <v>45824.6219212963</v>
      </c>
      <c r="C399" s="1" t="n">
        <v>46094</v>
      </c>
      <c r="D399" t="inlineStr">
        <is>
          <t>ÖSTERGÖTLANDS LÄN</t>
        </is>
      </c>
      <c r="E399" t="inlineStr">
        <is>
          <t>LINKÖPING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37154-2023</t>
        </is>
      </c>
      <c r="B400" s="1" t="n">
        <v>45155</v>
      </c>
      <c r="C400" s="1" t="n">
        <v>46094</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29599-2025</t>
        </is>
      </c>
      <c r="B401" s="1" t="n">
        <v>45825.41101851852</v>
      </c>
      <c r="C401" s="1" t="n">
        <v>46094</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53812-2023</t>
        </is>
      </c>
      <c r="B402" s="1" t="n">
        <v>45231.39583333334</v>
      </c>
      <c r="C402" s="1" t="n">
        <v>46094</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53830-2023</t>
        </is>
      </c>
      <c r="B403" s="1" t="n">
        <v>45230</v>
      </c>
      <c r="C403" s="1" t="n">
        <v>46094</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55944-2024</t>
        </is>
      </c>
      <c r="B404" s="1" t="n">
        <v>45623.61640046296</v>
      </c>
      <c r="C404" s="1" t="n">
        <v>46094</v>
      </c>
      <c r="D404" t="inlineStr">
        <is>
          <t>ÖSTERGÖTLANDS LÄN</t>
        </is>
      </c>
      <c r="E404" t="inlineStr">
        <is>
          <t>LINKÖPING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55947-2024</t>
        </is>
      </c>
      <c r="B405" s="1" t="n">
        <v>45623</v>
      </c>
      <c r="C405" s="1" t="n">
        <v>46094</v>
      </c>
      <c r="D405" t="inlineStr">
        <is>
          <t>ÖSTERGÖTLANDS LÄN</t>
        </is>
      </c>
      <c r="E405" t="inlineStr">
        <is>
          <t>LINKÖPING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56841-2023</t>
        </is>
      </c>
      <c r="B406" s="1" t="n">
        <v>45244</v>
      </c>
      <c r="C406" s="1" t="n">
        <v>46094</v>
      </c>
      <c r="D406" t="inlineStr">
        <is>
          <t>ÖSTERGÖTLANDS LÄN</t>
        </is>
      </c>
      <c r="E406" t="inlineStr">
        <is>
          <t>LINKÖPING</t>
        </is>
      </c>
      <c r="F406" t="inlineStr">
        <is>
          <t>Övriga Aktiebolag</t>
        </is>
      </c>
      <c r="G406" t="n">
        <v>0.5</v>
      </c>
      <c r="H406" t="n">
        <v>0</v>
      </c>
      <c r="I406" t="n">
        <v>0</v>
      </c>
      <c r="J406" t="n">
        <v>0</v>
      </c>
      <c r="K406" t="n">
        <v>0</v>
      </c>
      <c r="L406" t="n">
        <v>0</v>
      </c>
      <c r="M406" t="n">
        <v>0</v>
      </c>
      <c r="N406" t="n">
        <v>0</v>
      </c>
      <c r="O406" t="n">
        <v>0</v>
      </c>
      <c r="P406" t="n">
        <v>0</v>
      </c>
      <c r="Q406" t="n">
        <v>0</v>
      </c>
      <c r="R406" s="2" t="inlineStr"/>
    </row>
    <row r="407" ht="15" customHeight="1">
      <c r="A407" t="inlineStr">
        <is>
          <t>A 3374-2023</t>
        </is>
      </c>
      <c r="B407" s="1" t="n">
        <v>44949</v>
      </c>
      <c r="C407" s="1" t="n">
        <v>46094</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56741-2023</t>
        </is>
      </c>
      <c r="B408" s="1" t="n">
        <v>45244</v>
      </c>
      <c r="C408" s="1" t="n">
        <v>46094</v>
      </c>
      <c r="D408" t="inlineStr">
        <is>
          <t>ÖSTERGÖTLANDS LÄN</t>
        </is>
      </c>
      <c r="E408" t="inlineStr">
        <is>
          <t>LINKÖPING</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24151-2024</t>
        </is>
      </c>
      <c r="B409" s="1" t="n">
        <v>45456.67717592593</v>
      </c>
      <c r="C409" s="1" t="n">
        <v>46094</v>
      </c>
      <c r="D409" t="inlineStr">
        <is>
          <t>ÖSTERGÖTLANDS LÄN</t>
        </is>
      </c>
      <c r="E409" t="inlineStr">
        <is>
          <t>LINKÖPING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53816-2023</t>
        </is>
      </c>
      <c r="B410" s="1" t="n">
        <v>45231.40012731482</v>
      </c>
      <c r="C410" s="1" t="n">
        <v>46094</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30355-2025</t>
        </is>
      </c>
      <c r="B411" s="1" t="n">
        <v>45827</v>
      </c>
      <c r="C411" s="1" t="n">
        <v>46094</v>
      </c>
      <c r="D411" t="inlineStr">
        <is>
          <t>ÖSTERGÖTLANDS LÄN</t>
        </is>
      </c>
      <c r="E411" t="inlineStr">
        <is>
          <t>LINKÖPING</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63935-2021</t>
        </is>
      </c>
      <c r="B412" s="1" t="n">
        <v>44509</v>
      </c>
      <c r="C412" s="1" t="n">
        <v>46094</v>
      </c>
      <c r="D412" t="inlineStr">
        <is>
          <t>ÖSTERGÖTLANDS LÄN</t>
        </is>
      </c>
      <c r="E412" t="inlineStr">
        <is>
          <t>LINKÖPING</t>
        </is>
      </c>
      <c r="F412" t="inlineStr">
        <is>
          <t>Övriga statliga verk och myndigheter</t>
        </is>
      </c>
      <c r="G412" t="n">
        <v>2.8</v>
      </c>
      <c r="H412" t="n">
        <v>0</v>
      </c>
      <c r="I412" t="n">
        <v>0</v>
      </c>
      <c r="J412" t="n">
        <v>0</v>
      </c>
      <c r="K412" t="n">
        <v>0</v>
      </c>
      <c r="L412" t="n">
        <v>0</v>
      </c>
      <c r="M412" t="n">
        <v>0</v>
      </c>
      <c r="N412" t="n">
        <v>0</v>
      </c>
      <c r="O412" t="n">
        <v>0</v>
      </c>
      <c r="P412" t="n">
        <v>0</v>
      </c>
      <c r="Q412" t="n">
        <v>0</v>
      </c>
      <c r="R412" s="2" t="inlineStr"/>
    </row>
    <row r="413" ht="15" customHeight="1">
      <c r="A413" t="inlineStr">
        <is>
          <t>A 30353-2025</t>
        </is>
      </c>
      <c r="B413" s="1" t="n">
        <v>45827</v>
      </c>
      <c r="C413" s="1" t="n">
        <v>46094</v>
      </c>
      <c r="D413" t="inlineStr">
        <is>
          <t>ÖSTERGÖTLANDS LÄN</t>
        </is>
      </c>
      <c r="E413" t="inlineStr">
        <is>
          <t>LINKÖPING</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6726-2024</t>
        </is>
      </c>
      <c r="B414" s="1" t="n">
        <v>45341</v>
      </c>
      <c r="C414" s="1" t="n">
        <v>46094</v>
      </c>
      <c r="D414" t="inlineStr">
        <is>
          <t>ÖSTERGÖTLANDS LÄN</t>
        </is>
      </c>
      <c r="E414" t="inlineStr">
        <is>
          <t>LINKÖPING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3007-2023</t>
        </is>
      </c>
      <c r="B415" s="1" t="n">
        <v>44945</v>
      </c>
      <c r="C415" s="1" t="n">
        <v>46094</v>
      </c>
      <c r="D415" t="inlineStr">
        <is>
          <t>ÖSTERGÖTLANDS LÄN</t>
        </is>
      </c>
      <c r="E415" t="inlineStr">
        <is>
          <t>LINKÖPING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18145-2021</t>
        </is>
      </c>
      <c r="B416" s="1" t="n">
        <v>44302</v>
      </c>
      <c r="C416" s="1" t="n">
        <v>46094</v>
      </c>
      <c r="D416" t="inlineStr">
        <is>
          <t>ÖSTERGÖTLANDS LÄN</t>
        </is>
      </c>
      <c r="E416" t="inlineStr">
        <is>
          <t>LINKÖPING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14576-2023</t>
        </is>
      </c>
      <c r="B417" s="1" t="n">
        <v>45013</v>
      </c>
      <c r="C417" s="1" t="n">
        <v>46094</v>
      </c>
      <c r="D417" t="inlineStr">
        <is>
          <t>ÖSTERGÖTLANDS LÄN</t>
        </is>
      </c>
      <c r="E417" t="inlineStr">
        <is>
          <t>LINKÖPING</t>
        </is>
      </c>
      <c r="G417" t="n">
        <v>3.2</v>
      </c>
      <c r="H417" t="n">
        <v>0</v>
      </c>
      <c r="I417" t="n">
        <v>0</v>
      </c>
      <c r="J417" t="n">
        <v>0</v>
      </c>
      <c r="K417" t="n">
        <v>0</v>
      </c>
      <c r="L417" t="n">
        <v>0</v>
      </c>
      <c r="M417" t="n">
        <v>0</v>
      </c>
      <c r="N417" t="n">
        <v>0</v>
      </c>
      <c r="O417" t="n">
        <v>0</v>
      </c>
      <c r="P417" t="n">
        <v>0</v>
      </c>
      <c r="Q417" t="n">
        <v>0</v>
      </c>
      <c r="R417" s="2" t="inlineStr"/>
    </row>
    <row r="418" ht="15" customHeight="1">
      <c r="A418" t="inlineStr">
        <is>
          <t>A 29309-2024</t>
        </is>
      </c>
      <c r="B418" s="1" t="n">
        <v>45483</v>
      </c>
      <c r="C418" s="1" t="n">
        <v>46094</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74160-2021</t>
        </is>
      </c>
      <c r="B419" s="1" t="n">
        <v>44558</v>
      </c>
      <c r="C419" s="1" t="n">
        <v>46094</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39074-2025</t>
        </is>
      </c>
      <c r="B420" s="1" t="n">
        <v>45888</v>
      </c>
      <c r="C420" s="1" t="n">
        <v>46094</v>
      </c>
      <c r="D420" t="inlineStr">
        <is>
          <t>ÖSTERGÖTLANDS LÄN</t>
        </is>
      </c>
      <c r="E420" t="inlineStr">
        <is>
          <t>LINKÖPING</t>
        </is>
      </c>
      <c r="G420" t="n">
        <v>2.9</v>
      </c>
      <c r="H420" t="n">
        <v>0</v>
      </c>
      <c r="I420" t="n">
        <v>0</v>
      </c>
      <c r="J420" t="n">
        <v>0</v>
      </c>
      <c r="K420" t="n">
        <v>0</v>
      </c>
      <c r="L420" t="n">
        <v>0</v>
      </c>
      <c r="M420" t="n">
        <v>0</v>
      </c>
      <c r="N420" t="n">
        <v>0</v>
      </c>
      <c r="O420" t="n">
        <v>0</v>
      </c>
      <c r="P420" t="n">
        <v>0</v>
      </c>
      <c r="Q420" t="n">
        <v>0</v>
      </c>
      <c r="R420" s="2" t="inlineStr"/>
    </row>
    <row r="421" ht="15" customHeight="1">
      <c r="A421" t="inlineStr">
        <is>
          <t>A 31581-2025</t>
        </is>
      </c>
      <c r="B421" s="1" t="n">
        <v>45833.6840162037</v>
      </c>
      <c r="C421" s="1" t="n">
        <v>46094</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31585-2025</t>
        </is>
      </c>
      <c r="B422" s="1" t="n">
        <v>45833.68815972222</v>
      </c>
      <c r="C422" s="1" t="n">
        <v>46094</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72567-2021</t>
        </is>
      </c>
      <c r="B423" s="1" t="n">
        <v>44546.45023148148</v>
      </c>
      <c r="C423" s="1" t="n">
        <v>46094</v>
      </c>
      <c r="D423" t="inlineStr">
        <is>
          <t>ÖSTERGÖTLANDS LÄN</t>
        </is>
      </c>
      <c r="E423" t="inlineStr">
        <is>
          <t>LINKÖPING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53411-2023</t>
        </is>
      </c>
      <c r="B424" s="1" t="n">
        <v>45229.81049768518</v>
      </c>
      <c r="C424" s="1" t="n">
        <v>46094</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26788-2022</t>
        </is>
      </c>
      <c r="B425" s="1" t="n">
        <v>44740</v>
      </c>
      <c r="C425" s="1" t="n">
        <v>46094</v>
      </c>
      <c r="D425" t="inlineStr">
        <is>
          <t>ÖSTERGÖTLANDS LÄN</t>
        </is>
      </c>
      <c r="E425" t="inlineStr">
        <is>
          <t>LINKÖPING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24462-2023</t>
        </is>
      </c>
      <c r="B426" s="1" t="n">
        <v>45082</v>
      </c>
      <c r="C426" s="1" t="n">
        <v>46094</v>
      </c>
      <c r="D426" t="inlineStr">
        <is>
          <t>ÖSTERGÖTLANDS LÄN</t>
        </is>
      </c>
      <c r="E426" t="inlineStr">
        <is>
          <t>LINKÖPING</t>
        </is>
      </c>
      <c r="G426" t="n">
        <v>3.5</v>
      </c>
      <c r="H426" t="n">
        <v>0</v>
      </c>
      <c r="I426" t="n">
        <v>0</v>
      </c>
      <c r="J426" t="n">
        <v>0</v>
      </c>
      <c r="K426" t="n">
        <v>0</v>
      </c>
      <c r="L426" t="n">
        <v>0</v>
      </c>
      <c r="M426" t="n">
        <v>0</v>
      </c>
      <c r="N426" t="n">
        <v>0</v>
      </c>
      <c r="O426" t="n">
        <v>0</v>
      </c>
      <c r="P426" t="n">
        <v>0</v>
      </c>
      <c r="Q426" t="n">
        <v>0</v>
      </c>
      <c r="R426" s="2" t="inlineStr"/>
    </row>
    <row r="427" ht="15" customHeight="1">
      <c r="A427" t="inlineStr">
        <is>
          <t>A 27766-2022</t>
        </is>
      </c>
      <c r="B427" s="1" t="n">
        <v>44743.53112268518</v>
      </c>
      <c r="C427" s="1" t="n">
        <v>46094</v>
      </c>
      <c r="D427" t="inlineStr">
        <is>
          <t>ÖSTERGÖTLANDS LÄN</t>
        </is>
      </c>
      <c r="E427" t="inlineStr">
        <is>
          <t>LINKÖPING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62015-2024</t>
        </is>
      </c>
      <c r="B428" s="1" t="n">
        <v>45655.80457175926</v>
      </c>
      <c r="C428" s="1" t="n">
        <v>46094</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53641-2023</t>
        </is>
      </c>
      <c r="B429" s="1" t="n">
        <v>45230</v>
      </c>
      <c r="C429" s="1" t="n">
        <v>46094</v>
      </c>
      <c r="D429" t="inlineStr">
        <is>
          <t>ÖSTERGÖTLANDS LÄN</t>
        </is>
      </c>
      <c r="E429" t="inlineStr">
        <is>
          <t>LINKÖPING</t>
        </is>
      </c>
      <c r="G429" t="n">
        <v>1.7</v>
      </c>
      <c r="H429" t="n">
        <v>0</v>
      </c>
      <c r="I429" t="n">
        <v>0</v>
      </c>
      <c r="J429" t="n">
        <v>0</v>
      </c>
      <c r="K429" t="n">
        <v>0</v>
      </c>
      <c r="L429" t="n">
        <v>0</v>
      </c>
      <c r="M429" t="n">
        <v>0</v>
      </c>
      <c r="N429" t="n">
        <v>0</v>
      </c>
      <c r="O429" t="n">
        <v>0</v>
      </c>
      <c r="P429" t="n">
        <v>0</v>
      </c>
      <c r="Q429" t="n">
        <v>0</v>
      </c>
      <c r="R429" s="2" t="inlineStr"/>
    </row>
    <row r="430" ht="15" customHeight="1">
      <c r="A430" t="inlineStr">
        <is>
          <t>A 33000-2023</t>
        </is>
      </c>
      <c r="B430" s="1" t="n">
        <v>45125</v>
      </c>
      <c r="C430" s="1" t="n">
        <v>46094</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52892-2024</t>
        </is>
      </c>
      <c r="B431" s="1" t="n">
        <v>45610</v>
      </c>
      <c r="C431" s="1" t="n">
        <v>46094</v>
      </c>
      <c r="D431" t="inlineStr">
        <is>
          <t>ÖSTERGÖTLANDS LÄN</t>
        </is>
      </c>
      <c r="E431" t="inlineStr">
        <is>
          <t>LINKÖPING</t>
        </is>
      </c>
      <c r="G431" t="n">
        <v>4.2</v>
      </c>
      <c r="H431" t="n">
        <v>0</v>
      </c>
      <c r="I431" t="n">
        <v>0</v>
      </c>
      <c r="J431" t="n">
        <v>0</v>
      </c>
      <c r="K431" t="n">
        <v>0</v>
      </c>
      <c r="L431" t="n">
        <v>0</v>
      </c>
      <c r="M431" t="n">
        <v>0</v>
      </c>
      <c r="N431" t="n">
        <v>0</v>
      </c>
      <c r="O431" t="n">
        <v>0</v>
      </c>
      <c r="P431" t="n">
        <v>0</v>
      </c>
      <c r="Q431" t="n">
        <v>0</v>
      </c>
      <c r="R431" s="2" t="inlineStr"/>
    </row>
    <row r="432" ht="15" customHeight="1">
      <c r="A432" t="inlineStr">
        <is>
          <t>A 10741-2023</t>
        </is>
      </c>
      <c r="B432" s="1" t="n">
        <v>44988.70084490741</v>
      </c>
      <c r="C432" s="1" t="n">
        <v>46094</v>
      </c>
      <c r="D432" t="inlineStr">
        <is>
          <t>ÖSTERGÖTLANDS LÄN</t>
        </is>
      </c>
      <c r="E432" t="inlineStr">
        <is>
          <t>LINKÖPING</t>
        </is>
      </c>
      <c r="F432" t="inlineStr">
        <is>
          <t>Allmännings- och besparingsskogar</t>
        </is>
      </c>
      <c r="G432" t="n">
        <v>11.2</v>
      </c>
      <c r="H432" t="n">
        <v>0</v>
      </c>
      <c r="I432" t="n">
        <v>0</v>
      </c>
      <c r="J432" t="n">
        <v>0</v>
      </c>
      <c r="K432" t="n">
        <v>0</v>
      </c>
      <c r="L432" t="n">
        <v>0</v>
      </c>
      <c r="M432" t="n">
        <v>0</v>
      </c>
      <c r="N432" t="n">
        <v>0</v>
      </c>
      <c r="O432" t="n">
        <v>0</v>
      </c>
      <c r="P432" t="n">
        <v>0</v>
      </c>
      <c r="Q432" t="n">
        <v>0</v>
      </c>
      <c r="R432" s="2" t="inlineStr"/>
    </row>
    <row r="433" ht="15" customHeight="1">
      <c r="A433" t="inlineStr">
        <is>
          <t>A 32723-2025</t>
        </is>
      </c>
      <c r="B433" s="1" t="n">
        <v>45838</v>
      </c>
      <c r="C433" s="1" t="n">
        <v>46094</v>
      </c>
      <c r="D433" t="inlineStr">
        <is>
          <t>ÖSTERGÖTLANDS LÄN</t>
        </is>
      </c>
      <c r="E433" t="inlineStr">
        <is>
          <t>LINKÖPING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30521-2024</t>
        </is>
      </c>
      <c r="B434" s="1" t="n">
        <v>45492</v>
      </c>
      <c r="C434" s="1" t="n">
        <v>46094</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51191-2022</t>
        </is>
      </c>
      <c r="B435" s="1" t="n">
        <v>44865</v>
      </c>
      <c r="C435" s="1" t="n">
        <v>46094</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43473-2024</t>
        </is>
      </c>
      <c r="B436" s="1" t="n">
        <v>45568</v>
      </c>
      <c r="C436" s="1" t="n">
        <v>46094</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43475-2024</t>
        </is>
      </c>
      <c r="B437" s="1" t="n">
        <v>45568</v>
      </c>
      <c r="C437" s="1" t="n">
        <v>46094</v>
      </c>
      <c r="D437" t="inlineStr">
        <is>
          <t>ÖSTERGÖTLANDS LÄN</t>
        </is>
      </c>
      <c r="E437" t="inlineStr">
        <is>
          <t>LINKÖPING</t>
        </is>
      </c>
      <c r="G437" t="n">
        <v>3.2</v>
      </c>
      <c r="H437" t="n">
        <v>0</v>
      </c>
      <c r="I437" t="n">
        <v>0</v>
      </c>
      <c r="J437" t="n">
        <v>0</v>
      </c>
      <c r="K437" t="n">
        <v>0</v>
      </c>
      <c r="L437" t="n">
        <v>0</v>
      </c>
      <c r="M437" t="n">
        <v>0</v>
      </c>
      <c r="N437" t="n">
        <v>0</v>
      </c>
      <c r="O437" t="n">
        <v>0</v>
      </c>
      <c r="P437" t="n">
        <v>0</v>
      </c>
      <c r="Q437" t="n">
        <v>0</v>
      </c>
      <c r="R437" s="2" t="inlineStr"/>
    </row>
    <row r="438" ht="15" customHeight="1">
      <c r="A438" t="inlineStr">
        <is>
          <t>A 1207-2023</t>
        </is>
      </c>
      <c r="B438" s="1" t="n">
        <v>44930</v>
      </c>
      <c r="C438" s="1" t="n">
        <v>46094</v>
      </c>
      <c r="D438" t="inlineStr">
        <is>
          <t>ÖSTERGÖTLANDS LÄN</t>
        </is>
      </c>
      <c r="E438" t="inlineStr">
        <is>
          <t>LINKÖPING</t>
        </is>
      </c>
      <c r="F438" t="inlineStr">
        <is>
          <t>Övriga statliga verk och myndigheter</t>
        </is>
      </c>
      <c r="G438" t="n">
        <v>32.8</v>
      </c>
      <c r="H438" t="n">
        <v>0</v>
      </c>
      <c r="I438" t="n">
        <v>0</v>
      </c>
      <c r="J438" t="n">
        <v>0</v>
      </c>
      <c r="K438" t="n">
        <v>0</v>
      </c>
      <c r="L438" t="n">
        <v>0</v>
      </c>
      <c r="M438" t="n">
        <v>0</v>
      </c>
      <c r="N438" t="n">
        <v>0</v>
      </c>
      <c r="O438" t="n">
        <v>0</v>
      </c>
      <c r="P438" t="n">
        <v>0</v>
      </c>
      <c r="Q438" t="n">
        <v>0</v>
      </c>
      <c r="R438" s="2" t="inlineStr"/>
    </row>
    <row r="439" ht="15" customHeight="1">
      <c r="A439" t="inlineStr">
        <is>
          <t>A 29859-2024</t>
        </is>
      </c>
      <c r="B439" s="1" t="n">
        <v>45485.6846412037</v>
      </c>
      <c r="C439" s="1" t="n">
        <v>46094</v>
      </c>
      <c r="D439" t="inlineStr">
        <is>
          <t>ÖSTERGÖTLANDS LÄN</t>
        </is>
      </c>
      <c r="E439" t="inlineStr">
        <is>
          <t>LINKÖPING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45819-2024</t>
        </is>
      </c>
      <c r="B440" s="1" t="n">
        <v>45579.7454050926</v>
      </c>
      <c r="C440" s="1" t="n">
        <v>46094</v>
      </c>
      <c r="D440" t="inlineStr">
        <is>
          <t>ÖSTERGÖTLANDS LÄN</t>
        </is>
      </c>
      <c r="E440" t="inlineStr">
        <is>
          <t>LINKÖPING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12289-2025</t>
        </is>
      </c>
      <c r="B441" s="1" t="n">
        <v>45729</v>
      </c>
      <c r="C441" s="1" t="n">
        <v>46094</v>
      </c>
      <c r="D441" t="inlineStr">
        <is>
          <t>ÖSTERGÖTLANDS LÄN</t>
        </is>
      </c>
      <c r="E441" t="inlineStr">
        <is>
          <t>LINKÖPING</t>
        </is>
      </c>
      <c r="F441" t="inlineStr">
        <is>
          <t>Övriga statliga verk och myndigheter</t>
        </is>
      </c>
      <c r="G441" t="n">
        <v>6.5</v>
      </c>
      <c r="H441" t="n">
        <v>0</v>
      </c>
      <c r="I441" t="n">
        <v>0</v>
      </c>
      <c r="J441" t="n">
        <v>0</v>
      </c>
      <c r="K441" t="n">
        <v>0</v>
      </c>
      <c r="L441" t="n">
        <v>0</v>
      </c>
      <c r="M441" t="n">
        <v>0</v>
      </c>
      <c r="N441" t="n">
        <v>0</v>
      </c>
      <c r="O441" t="n">
        <v>0</v>
      </c>
      <c r="P441" t="n">
        <v>0</v>
      </c>
      <c r="Q441" t="n">
        <v>0</v>
      </c>
      <c r="R441" s="2" t="inlineStr"/>
    </row>
    <row r="442" ht="15" customHeight="1">
      <c r="A442" t="inlineStr">
        <is>
          <t>A 15748-2025</t>
        </is>
      </c>
      <c r="B442" s="1" t="n">
        <v>45748.55282407408</v>
      </c>
      <c r="C442" s="1" t="n">
        <v>46094</v>
      </c>
      <c r="D442" t="inlineStr">
        <is>
          <t>ÖSTERGÖTLANDS LÄN</t>
        </is>
      </c>
      <c r="E442" t="inlineStr">
        <is>
          <t>LINKÖPING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15754-2025</t>
        </is>
      </c>
      <c r="B443" s="1" t="n">
        <v>45748.56105324074</v>
      </c>
      <c r="C443" s="1" t="n">
        <v>46094</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30518-2024</t>
        </is>
      </c>
      <c r="B444" s="1" t="n">
        <v>45492</v>
      </c>
      <c r="C444" s="1" t="n">
        <v>46094</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53797-2023</t>
        </is>
      </c>
      <c r="B445" s="1" t="n">
        <v>45230</v>
      </c>
      <c r="C445" s="1" t="n">
        <v>46094</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9434-2024</t>
        </is>
      </c>
      <c r="B446" s="1" t="n">
        <v>45359</v>
      </c>
      <c r="C446" s="1" t="n">
        <v>46094</v>
      </c>
      <c r="D446" t="inlineStr">
        <is>
          <t>ÖSTERGÖTLANDS LÄN</t>
        </is>
      </c>
      <c r="E446" t="inlineStr">
        <is>
          <t>LINKÖPING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42054-2022</t>
        </is>
      </c>
      <c r="B447" s="1" t="n">
        <v>44830</v>
      </c>
      <c r="C447" s="1" t="n">
        <v>46094</v>
      </c>
      <c r="D447" t="inlineStr">
        <is>
          <t>ÖSTERGÖTLANDS LÄN</t>
        </is>
      </c>
      <c r="E447" t="inlineStr">
        <is>
          <t>LINKÖPING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55345-2021</t>
        </is>
      </c>
      <c r="B448" s="1" t="n">
        <v>44475</v>
      </c>
      <c r="C448" s="1" t="n">
        <v>46094</v>
      </c>
      <c r="D448" t="inlineStr">
        <is>
          <t>ÖSTERGÖTLANDS LÄN</t>
        </is>
      </c>
      <c r="E448" t="inlineStr">
        <is>
          <t>LINKÖPING</t>
        </is>
      </c>
      <c r="G448" t="n">
        <v>5.7</v>
      </c>
      <c r="H448" t="n">
        <v>0</v>
      </c>
      <c r="I448" t="n">
        <v>0</v>
      </c>
      <c r="J448" t="n">
        <v>0</v>
      </c>
      <c r="K448" t="n">
        <v>0</v>
      </c>
      <c r="L448" t="n">
        <v>0</v>
      </c>
      <c r="M448" t="n">
        <v>0</v>
      </c>
      <c r="N448" t="n">
        <v>0</v>
      </c>
      <c r="O448" t="n">
        <v>0</v>
      </c>
      <c r="P448" t="n">
        <v>0</v>
      </c>
      <c r="Q448" t="n">
        <v>0</v>
      </c>
      <c r="R448" s="2" t="inlineStr"/>
    </row>
    <row r="449" ht="15" customHeight="1">
      <c r="A449" t="inlineStr">
        <is>
          <t>A 50182-2023</t>
        </is>
      </c>
      <c r="B449" s="1" t="n">
        <v>45208</v>
      </c>
      <c r="C449" s="1" t="n">
        <v>46094</v>
      </c>
      <c r="D449" t="inlineStr">
        <is>
          <t>ÖSTERGÖTLANDS LÄN</t>
        </is>
      </c>
      <c r="E449" t="inlineStr">
        <is>
          <t>LINKÖPING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10198-2023</t>
        </is>
      </c>
      <c r="B450" s="1" t="n">
        <v>44986.54665509259</v>
      </c>
      <c r="C450" s="1" t="n">
        <v>46094</v>
      </c>
      <c r="D450" t="inlineStr">
        <is>
          <t>ÖSTERGÖTLANDS LÄN</t>
        </is>
      </c>
      <c r="E450" t="inlineStr">
        <is>
          <t>LINKÖPING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4298-2023</t>
        </is>
      </c>
      <c r="B451" s="1" t="n">
        <v>44953</v>
      </c>
      <c r="C451" s="1" t="n">
        <v>46094</v>
      </c>
      <c r="D451" t="inlineStr">
        <is>
          <t>ÖSTERGÖTLANDS LÄN</t>
        </is>
      </c>
      <c r="E451" t="inlineStr">
        <is>
          <t>LINKÖPING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35781-2023</t>
        </is>
      </c>
      <c r="B452" s="1" t="n">
        <v>45147</v>
      </c>
      <c r="C452" s="1" t="n">
        <v>46094</v>
      </c>
      <c r="D452" t="inlineStr">
        <is>
          <t>ÖSTERGÖTLANDS LÄN</t>
        </is>
      </c>
      <c r="E452" t="inlineStr">
        <is>
          <t>LINKÖPING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12428-2024</t>
        </is>
      </c>
      <c r="B453" s="1" t="n">
        <v>45379</v>
      </c>
      <c r="C453" s="1" t="n">
        <v>46094</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26618-2023</t>
        </is>
      </c>
      <c r="B454" s="1" t="n">
        <v>45092.70306712963</v>
      </c>
      <c r="C454" s="1" t="n">
        <v>46094</v>
      </c>
      <c r="D454" t="inlineStr">
        <is>
          <t>ÖSTERGÖTLANDS LÄN</t>
        </is>
      </c>
      <c r="E454" t="inlineStr">
        <is>
          <t>LINKÖPING</t>
        </is>
      </c>
      <c r="G454" t="n">
        <v>6.9</v>
      </c>
      <c r="H454" t="n">
        <v>0</v>
      </c>
      <c r="I454" t="n">
        <v>0</v>
      </c>
      <c r="J454" t="n">
        <v>0</v>
      </c>
      <c r="K454" t="n">
        <v>0</v>
      </c>
      <c r="L454" t="n">
        <v>0</v>
      </c>
      <c r="M454" t="n">
        <v>0</v>
      </c>
      <c r="N454" t="n">
        <v>0</v>
      </c>
      <c r="O454" t="n">
        <v>0</v>
      </c>
      <c r="P454" t="n">
        <v>0</v>
      </c>
      <c r="Q454" t="n">
        <v>0</v>
      </c>
      <c r="R454" s="2" t="inlineStr"/>
    </row>
    <row r="455" ht="15" customHeight="1">
      <c r="A455" t="inlineStr">
        <is>
          <t>A 6387-2022</t>
        </is>
      </c>
      <c r="B455" s="1" t="n">
        <v>44600</v>
      </c>
      <c r="C455" s="1" t="n">
        <v>46094</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48707-2023</t>
        </is>
      </c>
      <c r="B456" s="1" t="n">
        <v>45202</v>
      </c>
      <c r="C456" s="1" t="n">
        <v>46094</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34930-2023</t>
        </is>
      </c>
      <c r="B457" s="1" t="n">
        <v>45142</v>
      </c>
      <c r="C457" s="1" t="n">
        <v>46094</v>
      </c>
      <c r="D457" t="inlineStr">
        <is>
          <t>ÖSTERGÖTLANDS LÄN</t>
        </is>
      </c>
      <c r="E457" t="inlineStr">
        <is>
          <t>LINKÖPING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670-2024</t>
        </is>
      </c>
      <c r="B458" s="1" t="n">
        <v>45300.3408912037</v>
      </c>
      <c r="C458" s="1" t="n">
        <v>46094</v>
      </c>
      <c r="D458" t="inlineStr">
        <is>
          <t>ÖSTERGÖTLANDS LÄN</t>
        </is>
      </c>
      <c r="E458" t="inlineStr">
        <is>
          <t>LINKÖPING</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33947-2025</t>
        </is>
      </c>
      <c r="B459" s="1" t="n">
        <v>45842.65444444444</v>
      </c>
      <c r="C459" s="1" t="n">
        <v>46094</v>
      </c>
      <c r="D459" t="inlineStr">
        <is>
          <t>ÖSTERGÖTLANDS LÄN</t>
        </is>
      </c>
      <c r="E459" t="inlineStr">
        <is>
          <t>LINKÖPING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53529-2024</t>
        </is>
      </c>
      <c r="B460" s="1" t="n">
        <v>45614</v>
      </c>
      <c r="C460" s="1" t="n">
        <v>46094</v>
      </c>
      <c r="D460" t="inlineStr">
        <is>
          <t>ÖSTERGÖTLANDS LÄN</t>
        </is>
      </c>
      <c r="E460" t="inlineStr">
        <is>
          <t>LINKÖPING</t>
        </is>
      </c>
      <c r="G460" t="n">
        <v>6.7</v>
      </c>
      <c r="H460" t="n">
        <v>0</v>
      </c>
      <c r="I460" t="n">
        <v>0</v>
      </c>
      <c r="J460" t="n">
        <v>0</v>
      </c>
      <c r="K460" t="n">
        <v>0</v>
      </c>
      <c r="L460" t="n">
        <v>0</v>
      </c>
      <c r="M460" t="n">
        <v>0</v>
      </c>
      <c r="N460" t="n">
        <v>0</v>
      </c>
      <c r="O460" t="n">
        <v>0</v>
      </c>
      <c r="P460" t="n">
        <v>0</v>
      </c>
      <c r="Q460" t="n">
        <v>0</v>
      </c>
      <c r="R460" s="2" t="inlineStr"/>
    </row>
    <row r="461" ht="15" customHeight="1">
      <c r="A461" t="inlineStr">
        <is>
          <t>A 62012-2024</t>
        </is>
      </c>
      <c r="B461" s="1" t="n">
        <v>45655.79679398148</v>
      </c>
      <c r="C461" s="1" t="n">
        <v>46094</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63845-2021</t>
        </is>
      </c>
      <c r="B462" s="1" t="n">
        <v>44509</v>
      </c>
      <c r="C462" s="1" t="n">
        <v>46094</v>
      </c>
      <c r="D462" t="inlineStr">
        <is>
          <t>ÖSTERGÖTLANDS LÄN</t>
        </is>
      </c>
      <c r="E462" t="inlineStr">
        <is>
          <t>LINKÖPING</t>
        </is>
      </c>
      <c r="G462" t="n">
        <v>5</v>
      </c>
      <c r="H462" t="n">
        <v>0</v>
      </c>
      <c r="I462" t="n">
        <v>0</v>
      </c>
      <c r="J462" t="n">
        <v>0</v>
      </c>
      <c r="K462" t="n">
        <v>0</v>
      </c>
      <c r="L462" t="n">
        <v>0</v>
      </c>
      <c r="M462" t="n">
        <v>0</v>
      </c>
      <c r="N462" t="n">
        <v>0</v>
      </c>
      <c r="O462" t="n">
        <v>0</v>
      </c>
      <c r="P462" t="n">
        <v>0</v>
      </c>
      <c r="Q462" t="n">
        <v>0</v>
      </c>
      <c r="R462" s="2" t="inlineStr"/>
    </row>
    <row r="463" ht="15" customHeight="1">
      <c r="A463" t="inlineStr">
        <is>
          <t>A 54034-2022</t>
        </is>
      </c>
      <c r="B463" s="1" t="n">
        <v>44881</v>
      </c>
      <c r="C463" s="1" t="n">
        <v>46094</v>
      </c>
      <c r="D463" t="inlineStr">
        <is>
          <t>ÖSTERGÖTLANDS LÄN</t>
        </is>
      </c>
      <c r="E463" t="inlineStr">
        <is>
          <t>LINKÖPING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36336-2023</t>
        </is>
      </c>
      <c r="B464" s="1" t="n">
        <v>45152.45078703704</v>
      </c>
      <c r="C464" s="1" t="n">
        <v>46094</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20469-2025</t>
        </is>
      </c>
      <c r="B465" s="1" t="n">
        <v>45775</v>
      </c>
      <c r="C465" s="1" t="n">
        <v>46094</v>
      </c>
      <c r="D465" t="inlineStr">
        <is>
          <t>ÖSTERGÖTLANDS LÄN</t>
        </is>
      </c>
      <c r="E465" t="inlineStr">
        <is>
          <t>LINKÖPING</t>
        </is>
      </c>
      <c r="F465" t="inlineStr">
        <is>
          <t>Kyrkan</t>
        </is>
      </c>
      <c r="G465" t="n">
        <v>6.1</v>
      </c>
      <c r="H465" t="n">
        <v>0</v>
      </c>
      <c r="I465" t="n">
        <v>0</v>
      </c>
      <c r="J465" t="n">
        <v>0</v>
      </c>
      <c r="K465" t="n">
        <v>0</v>
      </c>
      <c r="L465" t="n">
        <v>0</v>
      </c>
      <c r="M465" t="n">
        <v>0</v>
      </c>
      <c r="N465" t="n">
        <v>0</v>
      </c>
      <c r="O465" t="n">
        <v>0</v>
      </c>
      <c r="P465" t="n">
        <v>0</v>
      </c>
      <c r="Q465" t="n">
        <v>0</v>
      </c>
      <c r="R465" s="2" t="inlineStr"/>
    </row>
    <row r="466" ht="15" customHeight="1">
      <c r="A466" t="inlineStr">
        <is>
          <t>A 48829-2023</t>
        </is>
      </c>
      <c r="B466" s="1" t="n">
        <v>45209.38177083333</v>
      </c>
      <c r="C466" s="1" t="n">
        <v>46094</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12089-2025</t>
        </is>
      </c>
      <c r="B467" s="1" t="n">
        <v>45729</v>
      </c>
      <c r="C467" s="1" t="n">
        <v>46094</v>
      </c>
      <c r="D467" t="inlineStr">
        <is>
          <t>ÖSTERGÖTLANDS LÄN</t>
        </is>
      </c>
      <c r="E467" t="inlineStr">
        <is>
          <t>LINKÖPING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15658-2023</t>
        </is>
      </c>
      <c r="B468" s="1" t="n">
        <v>45021.41194444444</v>
      </c>
      <c r="C468" s="1" t="n">
        <v>46094</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33800-2023</t>
        </is>
      </c>
      <c r="B469" s="1" t="n">
        <v>45121</v>
      </c>
      <c r="C469" s="1" t="n">
        <v>46094</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26007-2025</t>
        </is>
      </c>
      <c r="B470" s="1" t="n">
        <v>45804.67081018518</v>
      </c>
      <c r="C470" s="1" t="n">
        <v>46094</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35174-2025</t>
        </is>
      </c>
      <c r="B471" s="1" t="n">
        <v>45852.90648148148</v>
      </c>
      <c r="C471" s="1" t="n">
        <v>46094</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48186-2022</t>
        </is>
      </c>
      <c r="B472" s="1" t="n">
        <v>44858</v>
      </c>
      <c r="C472" s="1" t="n">
        <v>46094</v>
      </c>
      <c r="D472" t="inlineStr">
        <is>
          <t>ÖSTERGÖTLANDS LÄN</t>
        </is>
      </c>
      <c r="E472" t="inlineStr">
        <is>
          <t>LINKÖPING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47991-2023</t>
        </is>
      </c>
      <c r="B473" s="1" t="n">
        <v>45204.62655092592</v>
      </c>
      <c r="C473" s="1" t="n">
        <v>46094</v>
      </c>
      <c r="D473" t="inlineStr">
        <is>
          <t>ÖSTERGÖTLANDS LÄN</t>
        </is>
      </c>
      <c r="E473" t="inlineStr">
        <is>
          <t>LINKÖPING</t>
        </is>
      </c>
      <c r="F473" t="inlineStr">
        <is>
          <t>Allmännings- och besparingsskogar</t>
        </is>
      </c>
      <c r="G473" t="n">
        <v>7.3</v>
      </c>
      <c r="H473" t="n">
        <v>0</v>
      </c>
      <c r="I473" t="n">
        <v>0</v>
      </c>
      <c r="J473" t="n">
        <v>0</v>
      </c>
      <c r="K473" t="n">
        <v>0</v>
      </c>
      <c r="L473" t="n">
        <v>0</v>
      </c>
      <c r="M473" t="n">
        <v>0</v>
      </c>
      <c r="N473" t="n">
        <v>0</v>
      </c>
      <c r="O473" t="n">
        <v>0</v>
      </c>
      <c r="P473" t="n">
        <v>0</v>
      </c>
      <c r="Q473" t="n">
        <v>0</v>
      </c>
      <c r="R473" s="2" t="inlineStr"/>
    </row>
    <row r="474" ht="15" customHeight="1">
      <c r="A474" t="inlineStr">
        <is>
          <t>A 51583-2024</t>
        </is>
      </c>
      <c r="B474" s="1" t="n">
        <v>45604.6397337963</v>
      </c>
      <c r="C474" s="1" t="n">
        <v>46094</v>
      </c>
      <c r="D474" t="inlineStr">
        <is>
          <t>ÖSTERGÖTLANDS LÄN</t>
        </is>
      </c>
      <c r="E474" t="inlineStr">
        <is>
          <t>LINKÖPING</t>
        </is>
      </c>
      <c r="F474" t="inlineStr">
        <is>
          <t>Övriga Aktiebolag</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35179-2025</t>
        </is>
      </c>
      <c r="B475" s="1" t="n">
        <v>45852.93737268518</v>
      </c>
      <c r="C475" s="1" t="n">
        <v>46094</v>
      </c>
      <c r="D475" t="inlineStr">
        <is>
          <t>ÖSTERGÖTLANDS LÄN</t>
        </is>
      </c>
      <c r="E475" t="inlineStr">
        <is>
          <t>LINKÖPING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35180-2025</t>
        </is>
      </c>
      <c r="B476" s="1" t="n">
        <v>45852.9413425926</v>
      </c>
      <c r="C476" s="1" t="n">
        <v>46094</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63669-2023</t>
        </is>
      </c>
      <c r="B477" s="1" t="n">
        <v>45275</v>
      </c>
      <c r="C477" s="1" t="n">
        <v>46094</v>
      </c>
      <c r="D477" t="inlineStr">
        <is>
          <t>ÖSTERGÖTLANDS LÄN</t>
        </is>
      </c>
      <c r="E477" t="inlineStr">
        <is>
          <t>LINKÖPING</t>
        </is>
      </c>
      <c r="F477" t="inlineStr">
        <is>
          <t>Övriga Aktiebolag</t>
        </is>
      </c>
      <c r="G477" t="n">
        <v>3</v>
      </c>
      <c r="H477" t="n">
        <v>0</v>
      </c>
      <c r="I477" t="n">
        <v>0</v>
      </c>
      <c r="J477" t="n">
        <v>0</v>
      </c>
      <c r="K477" t="n">
        <v>0</v>
      </c>
      <c r="L477" t="n">
        <v>0</v>
      </c>
      <c r="M477" t="n">
        <v>0</v>
      </c>
      <c r="N477" t="n">
        <v>0</v>
      </c>
      <c r="O477" t="n">
        <v>0</v>
      </c>
      <c r="P477" t="n">
        <v>0</v>
      </c>
      <c r="Q477" t="n">
        <v>0</v>
      </c>
      <c r="R477" s="2" t="inlineStr"/>
    </row>
    <row r="478" ht="15" customHeight="1">
      <c r="A478" t="inlineStr">
        <is>
          <t>A 24586-2024</t>
        </is>
      </c>
      <c r="B478" s="1" t="n">
        <v>45460.46664351852</v>
      </c>
      <c r="C478" s="1" t="n">
        <v>46094</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35178-2025</t>
        </is>
      </c>
      <c r="B479" s="1" t="n">
        <v>45852.91939814815</v>
      </c>
      <c r="C479" s="1" t="n">
        <v>46094</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64694-2023</t>
        </is>
      </c>
      <c r="B480" s="1" t="n">
        <v>45281</v>
      </c>
      <c r="C480" s="1" t="n">
        <v>46094</v>
      </c>
      <c r="D480" t="inlineStr">
        <is>
          <t>ÖSTERGÖTLANDS LÄN</t>
        </is>
      </c>
      <c r="E480" t="inlineStr">
        <is>
          <t>LINKÖPING</t>
        </is>
      </c>
      <c r="F480" t="inlineStr">
        <is>
          <t>Övriga statliga verk och myndigheter</t>
        </is>
      </c>
      <c r="G480" t="n">
        <v>4.9</v>
      </c>
      <c r="H480" t="n">
        <v>0</v>
      </c>
      <c r="I480" t="n">
        <v>0</v>
      </c>
      <c r="J480" t="n">
        <v>0</v>
      </c>
      <c r="K480" t="n">
        <v>0</v>
      </c>
      <c r="L480" t="n">
        <v>0</v>
      </c>
      <c r="M480" t="n">
        <v>0</v>
      </c>
      <c r="N480" t="n">
        <v>0</v>
      </c>
      <c r="O480" t="n">
        <v>0</v>
      </c>
      <c r="P480" t="n">
        <v>0</v>
      </c>
      <c r="Q480" t="n">
        <v>0</v>
      </c>
      <c r="R480" s="2" t="inlineStr"/>
    </row>
    <row r="481" ht="15" customHeight="1">
      <c r="A481" t="inlineStr">
        <is>
          <t>A 59576-2024</t>
        </is>
      </c>
      <c r="B481" s="1" t="n">
        <v>45638.66378472222</v>
      </c>
      <c r="C481" s="1" t="n">
        <v>46094</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59642-2024</t>
        </is>
      </c>
      <c r="B482" s="1" t="n">
        <v>45639.31511574074</v>
      </c>
      <c r="C482" s="1" t="n">
        <v>46094</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59674-2024</t>
        </is>
      </c>
      <c r="B483" s="1" t="n">
        <v>45639</v>
      </c>
      <c r="C483" s="1" t="n">
        <v>46094</v>
      </c>
      <c r="D483" t="inlineStr">
        <is>
          <t>ÖSTERGÖTLANDS LÄN</t>
        </is>
      </c>
      <c r="E483" t="inlineStr">
        <is>
          <t>LINKÖPING</t>
        </is>
      </c>
      <c r="G483" t="n">
        <v>6.3</v>
      </c>
      <c r="H483" t="n">
        <v>0</v>
      </c>
      <c r="I483" t="n">
        <v>0</v>
      </c>
      <c r="J483" t="n">
        <v>0</v>
      </c>
      <c r="K483" t="n">
        <v>0</v>
      </c>
      <c r="L483" t="n">
        <v>0</v>
      </c>
      <c r="M483" t="n">
        <v>0</v>
      </c>
      <c r="N483" t="n">
        <v>0</v>
      </c>
      <c r="O483" t="n">
        <v>0</v>
      </c>
      <c r="P483" t="n">
        <v>0</v>
      </c>
      <c r="Q483" t="n">
        <v>0</v>
      </c>
      <c r="R483" s="2" t="inlineStr"/>
    </row>
    <row r="484" ht="15" customHeight="1">
      <c r="A484" t="inlineStr">
        <is>
          <t>A 32602-2022</t>
        </is>
      </c>
      <c r="B484" s="1" t="n">
        <v>44783.43192129629</v>
      </c>
      <c r="C484" s="1" t="n">
        <v>46094</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18916-2024</t>
        </is>
      </c>
      <c r="B485" s="1" t="n">
        <v>45427.39541666667</v>
      </c>
      <c r="C485" s="1" t="n">
        <v>46094</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62321-2022</t>
        </is>
      </c>
      <c r="B486" s="1" t="n">
        <v>44916</v>
      </c>
      <c r="C486" s="1" t="n">
        <v>46094</v>
      </c>
      <c r="D486" t="inlineStr">
        <is>
          <t>ÖSTERGÖTLANDS LÄN</t>
        </is>
      </c>
      <c r="E486" t="inlineStr">
        <is>
          <t>LINKÖPING</t>
        </is>
      </c>
      <c r="F486" t="inlineStr">
        <is>
          <t>Kommuner</t>
        </is>
      </c>
      <c r="G486" t="n">
        <v>5.3</v>
      </c>
      <c r="H486" t="n">
        <v>0</v>
      </c>
      <c r="I486" t="n">
        <v>0</v>
      </c>
      <c r="J486" t="n">
        <v>0</v>
      </c>
      <c r="K486" t="n">
        <v>0</v>
      </c>
      <c r="L486" t="n">
        <v>0</v>
      </c>
      <c r="M486" t="n">
        <v>0</v>
      </c>
      <c r="N486" t="n">
        <v>0</v>
      </c>
      <c r="O486" t="n">
        <v>0</v>
      </c>
      <c r="P486" t="n">
        <v>0</v>
      </c>
      <c r="Q486" t="n">
        <v>0</v>
      </c>
      <c r="R486" s="2" t="inlineStr"/>
    </row>
    <row r="487" ht="15" customHeight="1">
      <c r="A487" t="inlineStr">
        <is>
          <t>A 11084-2022</t>
        </is>
      </c>
      <c r="B487" s="1" t="n">
        <v>44628</v>
      </c>
      <c r="C487" s="1" t="n">
        <v>46094</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40169-2025</t>
        </is>
      </c>
      <c r="B488" s="1" t="n">
        <v>45894.62824074074</v>
      </c>
      <c r="C488" s="1" t="n">
        <v>46094</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1084-2023</t>
        </is>
      </c>
      <c r="B489" s="1" t="n">
        <v>44929</v>
      </c>
      <c r="C489" s="1" t="n">
        <v>46094</v>
      </c>
      <c r="D489" t="inlineStr">
        <is>
          <t>ÖSTERGÖTLANDS LÄN</t>
        </is>
      </c>
      <c r="E489" t="inlineStr">
        <is>
          <t>LINKÖPING</t>
        </is>
      </c>
      <c r="G489" t="n">
        <v>10.4</v>
      </c>
      <c r="H489" t="n">
        <v>0</v>
      </c>
      <c r="I489" t="n">
        <v>0</v>
      </c>
      <c r="J489" t="n">
        <v>0</v>
      </c>
      <c r="K489" t="n">
        <v>0</v>
      </c>
      <c r="L489" t="n">
        <v>0</v>
      </c>
      <c r="M489" t="n">
        <v>0</v>
      </c>
      <c r="N489" t="n">
        <v>0</v>
      </c>
      <c r="O489" t="n">
        <v>0</v>
      </c>
      <c r="P489" t="n">
        <v>0</v>
      </c>
      <c r="Q489" t="n">
        <v>0</v>
      </c>
      <c r="R489" s="2" t="inlineStr"/>
    </row>
    <row r="490" ht="15" customHeight="1">
      <c r="A490" t="inlineStr">
        <is>
          <t>A 267-2023</t>
        </is>
      </c>
      <c r="B490" s="1" t="n">
        <v>44928.80907407407</v>
      </c>
      <c r="C490" s="1" t="n">
        <v>46094</v>
      </c>
      <c r="D490" t="inlineStr">
        <is>
          <t>ÖSTERGÖTLANDS LÄN</t>
        </is>
      </c>
      <c r="E490" t="inlineStr">
        <is>
          <t>LINKÖPING</t>
        </is>
      </c>
      <c r="G490" t="n">
        <v>2.7</v>
      </c>
      <c r="H490" t="n">
        <v>0</v>
      </c>
      <c r="I490" t="n">
        <v>0</v>
      </c>
      <c r="J490" t="n">
        <v>0</v>
      </c>
      <c r="K490" t="n">
        <v>0</v>
      </c>
      <c r="L490" t="n">
        <v>0</v>
      </c>
      <c r="M490" t="n">
        <v>0</v>
      </c>
      <c r="N490" t="n">
        <v>0</v>
      </c>
      <c r="O490" t="n">
        <v>0</v>
      </c>
      <c r="P490" t="n">
        <v>0</v>
      </c>
      <c r="Q490" t="n">
        <v>0</v>
      </c>
      <c r="R490" s="2" t="inlineStr"/>
    </row>
    <row r="491" ht="15" customHeight="1">
      <c r="A491" t="inlineStr">
        <is>
          <t>A 940-2023</t>
        </is>
      </c>
      <c r="B491" s="1" t="n">
        <v>44933</v>
      </c>
      <c r="C491" s="1" t="n">
        <v>46094</v>
      </c>
      <c r="D491" t="inlineStr">
        <is>
          <t>ÖSTERGÖTLANDS LÄN</t>
        </is>
      </c>
      <c r="E491" t="inlineStr">
        <is>
          <t>LINKÖPING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35757-2025</t>
        </is>
      </c>
      <c r="B492" s="1" t="n">
        <v>45860.59876157407</v>
      </c>
      <c r="C492" s="1" t="n">
        <v>46094</v>
      </c>
      <c r="D492" t="inlineStr">
        <is>
          <t>ÖSTERGÖTLANDS LÄN</t>
        </is>
      </c>
      <c r="E492" t="inlineStr">
        <is>
          <t>LINKÖPING</t>
        </is>
      </c>
      <c r="G492" t="n">
        <v>5.7</v>
      </c>
      <c r="H492" t="n">
        <v>0</v>
      </c>
      <c r="I492" t="n">
        <v>0</v>
      </c>
      <c r="J492" t="n">
        <v>0</v>
      </c>
      <c r="K492" t="n">
        <v>0</v>
      </c>
      <c r="L492" t="n">
        <v>0</v>
      </c>
      <c r="M492" t="n">
        <v>0</v>
      </c>
      <c r="N492" t="n">
        <v>0</v>
      </c>
      <c r="O492" t="n">
        <v>0</v>
      </c>
      <c r="P492" t="n">
        <v>0</v>
      </c>
      <c r="Q492" t="n">
        <v>0</v>
      </c>
      <c r="R492" s="2" t="inlineStr"/>
    </row>
    <row r="493" ht="15" customHeight="1">
      <c r="A493" t="inlineStr">
        <is>
          <t>A 35745-2025</t>
        </is>
      </c>
      <c r="B493" s="1" t="n">
        <v>45860.54739583333</v>
      </c>
      <c r="C493" s="1" t="n">
        <v>46094</v>
      </c>
      <c r="D493" t="inlineStr">
        <is>
          <t>ÖSTERGÖTLANDS LÄN</t>
        </is>
      </c>
      <c r="E493" t="inlineStr">
        <is>
          <t>LINKÖPING</t>
        </is>
      </c>
      <c r="G493" t="n">
        <v>4.4</v>
      </c>
      <c r="H493" t="n">
        <v>0</v>
      </c>
      <c r="I493" t="n">
        <v>0</v>
      </c>
      <c r="J493" t="n">
        <v>0</v>
      </c>
      <c r="K493" t="n">
        <v>0</v>
      </c>
      <c r="L493" t="n">
        <v>0</v>
      </c>
      <c r="M493" t="n">
        <v>0</v>
      </c>
      <c r="N493" t="n">
        <v>0</v>
      </c>
      <c r="O493" t="n">
        <v>0</v>
      </c>
      <c r="P493" t="n">
        <v>0</v>
      </c>
      <c r="Q493" t="n">
        <v>0</v>
      </c>
      <c r="R493" s="2" t="inlineStr"/>
    </row>
    <row r="494" ht="15" customHeight="1">
      <c r="A494" t="inlineStr">
        <is>
          <t>A 10203-2023</t>
        </is>
      </c>
      <c r="B494" s="1" t="n">
        <v>44986.55711805556</v>
      </c>
      <c r="C494" s="1" t="n">
        <v>46094</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6369-2023</t>
        </is>
      </c>
      <c r="B495" s="1" t="n">
        <v>44965.61106481482</v>
      </c>
      <c r="C495" s="1" t="n">
        <v>46094</v>
      </c>
      <c r="D495" t="inlineStr">
        <is>
          <t>ÖSTERGÖTLANDS LÄN</t>
        </is>
      </c>
      <c r="E495" t="inlineStr">
        <is>
          <t>LINKÖPING</t>
        </is>
      </c>
      <c r="G495" t="n">
        <v>4</v>
      </c>
      <c r="H495" t="n">
        <v>0</v>
      </c>
      <c r="I495" t="n">
        <v>0</v>
      </c>
      <c r="J495" t="n">
        <v>0</v>
      </c>
      <c r="K495" t="n">
        <v>0</v>
      </c>
      <c r="L495" t="n">
        <v>0</v>
      </c>
      <c r="M495" t="n">
        <v>0</v>
      </c>
      <c r="N495" t="n">
        <v>0</v>
      </c>
      <c r="O495" t="n">
        <v>0</v>
      </c>
      <c r="P495" t="n">
        <v>0</v>
      </c>
      <c r="Q495" t="n">
        <v>0</v>
      </c>
      <c r="R495" s="2" t="inlineStr"/>
    </row>
    <row r="496" ht="15" customHeight="1">
      <c r="A496" t="inlineStr">
        <is>
          <t>A 35747-2025</t>
        </is>
      </c>
      <c r="B496" s="1" t="n">
        <v>45860.56385416666</v>
      </c>
      <c r="C496" s="1" t="n">
        <v>46094</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30980-2022</t>
        </is>
      </c>
      <c r="B497" s="1" t="n">
        <v>44768</v>
      </c>
      <c r="C497" s="1" t="n">
        <v>46094</v>
      </c>
      <c r="D497" t="inlineStr">
        <is>
          <t>ÖSTERGÖTLANDS LÄN</t>
        </is>
      </c>
      <c r="E497" t="inlineStr">
        <is>
          <t>LINKÖPING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60007-2022</t>
        </is>
      </c>
      <c r="B498" s="1" t="n">
        <v>44909.47282407407</v>
      </c>
      <c r="C498" s="1" t="n">
        <v>46094</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35759-2025</t>
        </is>
      </c>
      <c r="B499" s="1" t="n">
        <v>45860</v>
      </c>
      <c r="C499" s="1" t="n">
        <v>46094</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50799-2022</t>
        </is>
      </c>
      <c r="B500" s="1" t="n">
        <v>44862</v>
      </c>
      <c r="C500" s="1" t="n">
        <v>46094</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56064-2022</t>
        </is>
      </c>
      <c r="B501" s="1" t="n">
        <v>44889.59107638889</v>
      </c>
      <c r="C501" s="1" t="n">
        <v>46094</v>
      </c>
      <c r="D501" t="inlineStr">
        <is>
          <t>ÖSTERGÖTLANDS LÄN</t>
        </is>
      </c>
      <c r="E501" t="inlineStr">
        <is>
          <t>LINKÖPING</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47703-2023</t>
        </is>
      </c>
      <c r="B502" s="1" t="n">
        <v>45203</v>
      </c>
      <c r="C502" s="1" t="n">
        <v>46094</v>
      </c>
      <c r="D502" t="inlineStr">
        <is>
          <t>ÖSTERGÖTLANDS LÄN</t>
        </is>
      </c>
      <c r="E502" t="inlineStr">
        <is>
          <t>LINKÖPING</t>
        </is>
      </c>
      <c r="G502" t="n">
        <v>4.1</v>
      </c>
      <c r="H502" t="n">
        <v>0</v>
      </c>
      <c r="I502" t="n">
        <v>0</v>
      </c>
      <c r="J502" t="n">
        <v>0</v>
      </c>
      <c r="K502" t="n">
        <v>0</v>
      </c>
      <c r="L502" t="n">
        <v>0</v>
      </c>
      <c r="M502" t="n">
        <v>0</v>
      </c>
      <c r="N502" t="n">
        <v>0</v>
      </c>
      <c r="O502" t="n">
        <v>0</v>
      </c>
      <c r="P502" t="n">
        <v>0</v>
      </c>
      <c r="Q502" t="n">
        <v>0</v>
      </c>
      <c r="R502" s="2" t="inlineStr"/>
    </row>
    <row r="503" ht="15" customHeight="1">
      <c r="A503" t="inlineStr">
        <is>
          <t>A 2618-2023</t>
        </is>
      </c>
      <c r="B503" s="1" t="n">
        <v>44944.35847222222</v>
      </c>
      <c r="C503" s="1" t="n">
        <v>46094</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62020-2024</t>
        </is>
      </c>
      <c r="B504" s="1" t="n">
        <v>45655.83563657408</v>
      </c>
      <c r="C504" s="1" t="n">
        <v>46094</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62021-2024</t>
        </is>
      </c>
      <c r="B505" s="1" t="n">
        <v>45655.84232638889</v>
      </c>
      <c r="C505" s="1" t="n">
        <v>46094</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16111-2022</t>
        </is>
      </c>
      <c r="B506" s="1" t="n">
        <v>44665</v>
      </c>
      <c r="C506" s="1" t="n">
        <v>46094</v>
      </c>
      <c r="D506" t="inlineStr">
        <is>
          <t>ÖSTERGÖTLANDS LÄN</t>
        </is>
      </c>
      <c r="E506" t="inlineStr">
        <is>
          <t>LINKÖPING</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48962-2022</t>
        </is>
      </c>
      <c r="B507" s="1" t="n">
        <v>44860.31635416667</v>
      </c>
      <c r="C507" s="1" t="n">
        <v>46094</v>
      </c>
      <c r="D507" t="inlineStr">
        <is>
          <t>ÖSTERGÖTLANDS LÄN</t>
        </is>
      </c>
      <c r="E507" t="inlineStr">
        <is>
          <t>LINKÖPING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27891-2021</t>
        </is>
      </c>
      <c r="B508" s="1" t="n">
        <v>44354.65108796296</v>
      </c>
      <c r="C508" s="1" t="n">
        <v>46094</v>
      </c>
      <c r="D508" t="inlineStr">
        <is>
          <t>ÖSTERGÖTLANDS LÄN</t>
        </is>
      </c>
      <c r="E508" t="inlineStr">
        <is>
          <t>LINKÖPING</t>
        </is>
      </c>
      <c r="G508" t="n">
        <v>1.8</v>
      </c>
      <c r="H508" t="n">
        <v>0</v>
      </c>
      <c r="I508" t="n">
        <v>0</v>
      </c>
      <c r="J508" t="n">
        <v>0</v>
      </c>
      <c r="K508" t="n">
        <v>0</v>
      </c>
      <c r="L508" t="n">
        <v>0</v>
      </c>
      <c r="M508" t="n">
        <v>0</v>
      </c>
      <c r="N508" t="n">
        <v>0</v>
      </c>
      <c r="O508" t="n">
        <v>0</v>
      </c>
      <c r="P508" t="n">
        <v>0</v>
      </c>
      <c r="Q508" t="n">
        <v>0</v>
      </c>
      <c r="R508" s="2" t="inlineStr"/>
    </row>
    <row r="509" ht="15" customHeight="1">
      <c r="A509" t="inlineStr">
        <is>
          <t>A 1362-2023</t>
        </is>
      </c>
      <c r="B509" s="1" t="n">
        <v>44931</v>
      </c>
      <c r="C509" s="1" t="n">
        <v>46094</v>
      </c>
      <c r="D509" t="inlineStr">
        <is>
          <t>ÖSTERGÖTLANDS LÄN</t>
        </is>
      </c>
      <c r="E509" t="inlineStr">
        <is>
          <t>LINKÖPING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1268-2023</t>
        </is>
      </c>
      <c r="B510" s="1" t="n">
        <v>44936</v>
      </c>
      <c r="C510" s="1" t="n">
        <v>46094</v>
      </c>
      <c r="D510" t="inlineStr">
        <is>
          <t>ÖSTERGÖTLANDS LÄN</t>
        </is>
      </c>
      <c r="E510" t="inlineStr">
        <is>
          <t>LINKÖPING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62687-2023</t>
        </is>
      </c>
      <c r="B511" s="1" t="n">
        <v>45271</v>
      </c>
      <c r="C511" s="1" t="n">
        <v>46094</v>
      </c>
      <c r="D511" t="inlineStr">
        <is>
          <t>ÖSTERGÖTLANDS LÄN</t>
        </is>
      </c>
      <c r="E511" t="inlineStr">
        <is>
          <t>LINKÖPING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49928-2024</t>
        </is>
      </c>
      <c r="B512" s="1" t="n">
        <v>45597.57811342592</v>
      </c>
      <c r="C512" s="1" t="n">
        <v>46094</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3627-2023</t>
        </is>
      </c>
      <c r="B513" s="1" t="n">
        <v>44950.64782407408</v>
      </c>
      <c r="C513" s="1" t="n">
        <v>46094</v>
      </c>
      <c r="D513" t="inlineStr">
        <is>
          <t>ÖSTERGÖTLANDS LÄN</t>
        </is>
      </c>
      <c r="E513" t="inlineStr">
        <is>
          <t>LINKÖPING</t>
        </is>
      </c>
      <c r="G513" t="n">
        <v>3.1</v>
      </c>
      <c r="H513" t="n">
        <v>0</v>
      </c>
      <c r="I513" t="n">
        <v>0</v>
      </c>
      <c r="J513" t="n">
        <v>0</v>
      </c>
      <c r="K513" t="n">
        <v>0</v>
      </c>
      <c r="L513" t="n">
        <v>0</v>
      </c>
      <c r="M513" t="n">
        <v>0</v>
      </c>
      <c r="N513" t="n">
        <v>0</v>
      </c>
      <c r="O513" t="n">
        <v>0</v>
      </c>
      <c r="P513" t="n">
        <v>0</v>
      </c>
      <c r="Q513" t="n">
        <v>0</v>
      </c>
      <c r="R513" s="2" t="inlineStr"/>
    </row>
    <row r="514" ht="15" customHeight="1">
      <c r="A514" t="inlineStr">
        <is>
          <t>A 34641-2022</t>
        </is>
      </c>
      <c r="B514" s="1" t="n">
        <v>44795</v>
      </c>
      <c r="C514" s="1" t="n">
        <v>46094</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51405-2023</t>
        </is>
      </c>
      <c r="B515" s="1" t="n">
        <v>45219</v>
      </c>
      <c r="C515" s="1" t="n">
        <v>46094</v>
      </c>
      <c r="D515" t="inlineStr">
        <is>
          <t>ÖSTERGÖTLANDS LÄN</t>
        </is>
      </c>
      <c r="E515" t="inlineStr">
        <is>
          <t>LINKÖPING</t>
        </is>
      </c>
      <c r="F515" t="inlineStr">
        <is>
          <t>Övriga Aktiebolag</t>
        </is>
      </c>
      <c r="G515" t="n">
        <v>3</v>
      </c>
      <c r="H515" t="n">
        <v>0</v>
      </c>
      <c r="I515" t="n">
        <v>0</v>
      </c>
      <c r="J515" t="n">
        <v>0</v>
      </c>
      <c r="K515" t="n">
        <v>0</v>
      </c>
      <c r="L515" t="n">
        <v>0</v>
      </c>
      <c r="M515" t="n">
        <v>0</v>
      </c>
      <c r="N515" t="n">
        <v>0</v>
      </c>
      <c r="O515" t="n">
        <v>0</v>
      </c>
      <c r="P515" t="n">
        <v>0</v>
      </c>
      <c r="Q515" t="n">
        <v>0</v>
      </c>
      <c r="R515" s="2" t="inlineStr"/>
    </row>
    <row r="516" ht="15" customHeight="1">
      <c r="A516" t="inlineStr">
        <is>
          <t>A 11601-2023</t>
        </is>
      </c>
      <c r="B516" s="1" t="n">
        <v>44994</v>
      </c>
      <c r="C516" s="1" t="n">
        <v>46094</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40338-2024</t>
        </is>
      </c>
      <c r="B517" s="1" t="n">
        <v>45555.32940972222</v>
      </c>
      <c r="C517" s="1" t="n">
        <v>46094</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938-2023</t>
        </is>
      </c>
      <c r="B518" s="1" t="n">
        <v>44933</v>
      </c>
      <c r="C518" s="1" t="n">
        <v>46094</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2389-2023</t>
        </is>
      </c>
      <c r="B519" s="1" t="n">
        <v>44942</v>
      </c>
      <c r="C519" s="1" t="n">
        <v>46094</v>
      </c>
      <c r="D519" t="inlineStr">
        <is>
          <t>ÖSTERGÖTLANDS LÄN</t>
        </is>
      </c>
      <c r="E519" t="inlineStr">
        <is>
          <t>LINKÖPING</t>
        </is>
      </c>
      <c r="G519" t="n">
        <v>3.3</v>
      </c>
      <c r="H519" t="n">
        <v>0</v>
      </c>
      <c r="I519" t="n">
        <v>0</v>
      </c>
      <c r="J519" t="n">
        <v>0</v>
      </c>
      <c r="K519" t="n">
        <v>0</v>
      </c>
      <c r="L519" t="n">
        <v>0</v>
      </c>
      <c r="M519" t="n">
        <v>0</v>
      </c>
      <c r="N519" t="n">
        <v>0</v>
      </c>
      <c r="O519" t="n">
        <v>0</v>
      </c>
      <c r="P519" t="n">
        <v>0</v>
      </c>
      <c r="Q519" t="n">
        <v>0</v>
      </c>
      <c r="R519" s="2" t="inlineStr"/>
    </row>
    <row r="520" ht="15" customHeight="1">
      <c r="A520" t="inlineStr">
        <is>
          <t>A 167-2024</t>
        </is>
      </c>
      <c r="B520" s="1" t="n">
        <v>45294</v>
      </c>
      <c r="C520" s="1" t="n">
        <v>46094</v>
      </c>
      <c r="D520" t="inlineStr">
        <is>
          <t>ÖSTERGÖTLANDS LÄN</t>
        </is>
      </c>
      <c r="E520" t="inlineStr">
        <is>
          <t>LINKÖPING</t>
        </is>
      </c>
      <c r="F520" t="inlineStr">
        <is>
          <t>Allmännings- och besparingsskogar</t>
        </is>
      </c>
      <c r="G520" t="n">
        <v>11.6</v>
      </c>
      <c r="H520" t="n">
        <v>0</v>
      </c>
      <c r="I520" t="n">
        <v>0</v>
      </c>
      <c r="J520" t="n">
        <v>0</v>
      </c>
      <c r="K520" t="n">
        <v>0</v>
      </c>
      <c r="L520" t="n">
        <v>0</v>
      </c>
      <c r="M520" t="n">
        <v>0</v>
      </c>
      <c r="N520" t="n">
        <v>0</v>
      </c>
      <c r="O520" t="n">
        <v>0</v>
      </c>
      <c r="P520" t="n">
        <v>0</v>
      </c>
      <c r="Q520" t="n">
        <v>0</v>
      </c>
      <c r="R520" s="2" t="inlineStr"/>
    </row>
    <row r="521" ht="15" customHeight="1">
      <c r="A521" t="inlineStr">
        <is>
          <t>A 48-2024</t>
        </is>
      </c>
      <c r="B521" s="1" t="n">
        <v>45293</v>
      </c>
      <c r="C521" s="1" t="n">
        <v>46094</v>
      </c>
      <c r="D521" t="inlineStr">
        <is>
          <t>ÖSTERGÖTLANDS LÄN</t>
        </is>
      </c>
      <c r="E521" t="inlineStr">
        <is>
          <t>LINKÖPING</t>
        </is>
      </c>
      <c r="G521" t="n">
        <v>4.6</v>
      </c>
      <c r="H521" t="n">
        <v>0</v>
      </c>
      <c r="I521" t="n">
        <v>0</v>
      </c>
      <c r="J521" t="n">
        <v>0</v>
      </c>
      <c r="K521" t="n">
        <v>0</v>
      </c>
      <c r="L521" t="n">
        <v>0</v>
      </c>
      <c r="M521" t="n">
        <v>0</v>
      </c>
      <c r="N521" t="n">
        <v>0</v>
      </c>
      <c r="O521" t="n">
        <v>0</v>
      </c>
      <c r="P521" t="n">
        <v>0</v>
      </c>
      <c r="Q521" t="n">
        <v>0</v>
      </c>
      <c r="R521" s="2" t="inlineStr"/>
    </row>
    <row r="522" ht="15" customHeight="1">
      <c r="A522" t="inlineStr">
        <is>
          <t>A 45771-2023</t>
        </is>
      </c>
      <c r="B522" s="1" t="n">
        <v>45195.4384375</v>
      </c>
      <c r="C522" s="1" t="n">
        <v>46094</v>
      </c>
      <c r="D522" t="inlineStr">
        <is>
          <t>ÖSTERGÖTLANDS LÄN</t>
        </is>
      </c>
      <c r="E522" t="inlineStr">
        <is>
          <t>LINKÖPING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30547-2023</t>
        </is>
      </c>
      <c r="B523" s="1" t="n">
        <v>45111.75905092592</v>
      </c>
      <c r="C523" s="1" t="n">
        <v>46094</v>
      </c>
      <c r="D523" t="inlineStr">
        <is>
          <t>ÖSTERGÖTLANDS LÄN</t>
        </is>
      </c>
      <c r="E523" t="inlineStr">
        <is>
          <t>LINKÖPING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40502-2024</t>
        </is>
      </c>
      <c r="B524" s="1" t="n">
        <v>45555.57263888889</v>
      </c>
      <c r="C524" s="1" t="n">
        <v>46094</v>
      </c>
      <c r="D524" t="inlineStr">
        <is>
          <t>ÖSTERGÖTLANDS LÄN</t>
        </is>
      </c>
      <c r="E524" t="inlineStr">
        <is>
          <t>LINKÖPING</t>
        </is>
      </c>
      <c r="F524" t="inlineStr">
        <is>
          <t>Allmännings- och besparingsskogar</t>
        </is>
      </c>
      <c r="G524" t="n">
        <v>17.5</v>
      </c>
      <c r="H524" t="n">
        <v>0</v>
      </c>
      <c r="I524" t="n">
        <v>0</v>
      </c>
      <c r="J524" t="n">
        <v>0</v>
      </c>
      <c r="K524" t="n">
        <v>0</v>
      </c>
      <c r="L524" t="n">
        <v>0</v>
      </c>
      <c r="M524" t="n">
        <v>0</v>
      </c>
      <c r="N524" t="n">
        <v>0</v>
      </c>
      <c r="O524" t="n">
        <v>0</v>
      </c>
      <c r="P524" t="n">
        <v>0</v>
      </c>
      <c r="Q524" t="n">
        <v>0</v>
      </c>
      <c r="R524" s="2" t="inlineStr"/>
    </row>
    <row r="525" ht="15" customHeight="1">
      <c r="A525" t="inlineStr">
        <is>
          <t>A 27186-2021</t>
        </is>
      </c>
      <c r="B525" s="1" t="n">
        <v>44350.67715277777</v>
      </c>
      <c r="C525" s="1" t="n">
        <v>46094</v>
      </c>
      <c r="D525" t="inlineStr">
        <is>
          <t>ÖSTERGÖTLANDS LÄN</t>
        </is>
      </c>
      <c r="E525" t="inlineStr">
        <is>
          <t>LINKÖPING</t>
        </is>
      </c>
      <c r="F525" t="inlineStr">
        <is>
          <t>Allmännings- och besparingsskogar</t>
        </is>
      </c>
      <c r="G525" t="n">
        <v>1.4</v>
      </c>
      <c r="H525" t="n">
        <v>0</v>
      </c>
      <c r="I525" t="n">
        <v>0</v>
      </c>
      <c r="J525" t="n">
        <v>0</v>
      </c>
      <c r="K525" t="n">
        <v>0</v>
      </c>
      <c r="L525" t="n">
        <v>0</v>
      </c>
      <c r="M525" t="n">
        <v>0</v>
      </c>
      <c r="N525" t="n">
        <v>0</v>
      </c>
      <c r="O525" t="n">
        <v>0</v>
      </c>
      <c r="P525" t="n">
        <v>0</v>
      </c>
      <c r="Q525" t="n">
        <v>0</v>
      </c>
      <c r="R525" s="2" t="inlineStr"/>
    </row>
    <row r="526" ht="15" customHeight="1">
      <c r="A526" t="inlineStr">
        <is>
          <t>A 37057-2025</t>
        </is>
      </c>
      <c r="B526" s="1" t="n">
        <v>45875.37489583333</v>
      </c>
      <c r="C526" s="1" t="n">
        <v>46094</v>
      </c>
      <c r="D526" t="inlineStr">
        <is>
          <t>ÖSTERGÖTLANDS LÄN</t>
        </is>
      </c>
      <c r="E526" t="inlineStr">
        <is>
          <t>LINKÖPING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7343-2025</t>
        </is>
      </c>
      <c r="B527" s="1" t="n">
        <v>45703.67853009259</v>
      </c>
      <c r="C527" s="1" t="n">
        <v>46094</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24464-2023</t>
        </is>
      </c>
      <c r="B528" s="1" t="n">
        <v>45082.58068287037</v>
      </c>
      <c r="C528" s="1" t="n">
        <v>46094</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24467-2023</t>
        </is>
      </c>
      <c r="B529" s="1" t="n">
        <v>45082</v>
      </c>
      <c r="C529" s="1" t="n">
        <v>46094</v>
      </c>
      <c r="D529" t="inlineStr">
        <is>
          <t>ÖSTERGÖTLANDS LÄN</t>
        </is>
      </c>
      <c r="E529" t="inlineStr">
        <is>
          <t>LINKÖPING</t>
        </is>
      </c>
      <c r="G529" t="n">
        <v>2.4</v>
      </c>
      <c r="H529" t="n">
        <v>0</v>
      </c>
      <c r="I529" t="n">
        <v>0</v>
      </c>
      <c r="J529" t="n">
        <v>0</v>
      </c>
      <c r="K529" t="n">
        <v>0</v>
      </c>
      <c r="L529" t="n">
        <v>0</v>
      </c>
      <c r="M529" t="n">
        <v>0</v>
      </c>
      <c r="N529" t="n">
        <v>0</v>
      </c>
      <c r="O529" t="n">
        <v>0</v>
      </c>
      <c r="P529" t="n">
        <v>0</v>
      </c>
      <c r="Q529" t="n">
        <v>0</v>
      </c>
      <c r="R529" s="2" t="inlineStr"/>
    </row>
    <row r="530" ht="15" customHeight="1">
      <c r="A530" t="inlineStr">
        <is>
          <t>A 48271-2023</t>
        </is>
      </c>
      <c r="B530" s="1" t="n">
        <v>45205</v>
      </c>
      <c r="C530" s="1" t="n">
        <v>46094</v>
      </c>
      <c r="D530" t="inlineStr">
        <is>
          <t>ÖSTERGÖTLANDS LÄN</t>
        </is>
      </c>
      <c r="E530" t="inlineStr">
        <is>
          <t>LINKÖPING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48389-2024</t>
        </is>
      </c>
      <c r="B531" s="1" t="n">
        <v>45590.59991898148</v>
      </c>
      <c r="C531" s="1" t="n">
        <v>46094</v>
      </c>
      <c r="D531" t="inlineStr">
        <is>
          <t>ÖSTERGÖTLANDS LÄN</t>
        </is>
      </c>
      <c r="E531" t="inlineStr">
        <is>
          <t>LINKÖPING</t>
        </is>
      </c>
      <c r="G531" t="n">
        <v>2.6</v>
      </c>
      <c r="H531" t="n">
        <v>0</v>
      </c>
      <c r="I531" t="n">
        <v>0</v>
      </c>
      <c r="J531" t="n">
        <v>0</v>
      </c>
      <c r="K531" t="n">
        <v>0</v>
      </c>
      <c r="L531" t="n">
        <v>0</v>
      </c>
      <c r="M531" t="n">
        <v>0</v>
      </c>
      <c r="N531" t="n">
        <v>0</v>
      </c>
      <c r="O531" t="n">
        <v>0</v>
      </c>
      <c r="P531" t="n">
        <v>0</v>
      </c>
      <c r="Q531" t="n">
        <v>0</v>
      </c>
      <c r="R531" s="2" t="inlineStr"/>
    </row>
    <row r="532" ht="15" customHeight="1">
      <c r="A532" t="inlineStr">
        <is>
          <t>A 12720-2022</t>
        </is>
      </c>
      <c r="B532" s="1" t="n">
        <v>44641</v>
      </c>
      <c r="C532" s="1" t="n">
        <v>46094</v>
      </c>
      <c r="D532" t="inlineStr">
        <is>
          <t>ÖSTERGÖTLANDS LÄN</t>
        </is>
      </c>
      <c r="E532" t="inlineStr">
        <is>
          <t>LINKÖPING</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62018-2024</t>
        </is>
      </c>
      <c r="B533" s="1" t="n">
        <v>45655.81387731482</v>
      </c>
      <c r="C533" s="1" t="n">
        <v>46094</v>
      </c>
      <c r="D533" t="inlineStr">
        <is>
          <t>ÖSTERGÖTLANDS LÄN</t>
        </is>
      </c>
      <c r="E533" t="inlineStr">
        <is>
          <t>LINKÖPING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56792-2023</t>
        </is>
      </c>
      <c r="B534" s="1" t="n">
        <v>45244</v>
      </c>
      <c r="C534" s="1" t="n">
        <v>46094</v>
      </c>
      <c r="D534" t="inlineStr">
        <is>
          <t>ÖSTERGÖTLANDS LÄN</t>
        </is>
      </c>
      <c r="E534" t="inlineStr">
        <is>
          <t>LINKÖPING</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30551-2023</t>
        </is>
      </c>
      <c r="B535" s="1" t="n">
        <v>45111</v>
      </c>
      <c r="C535" s="1" t="n">
        <v>46094</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30860-2022</t>
        </is>
      </c>
      <c r="B536" s="1" t="n">
        <v>44767</v>
      </c>
      <c r="C536" s="1" t="n">
        <v>46094</v>
      </c>
      <c r="D536" t="inlineStr">
        <is>
          <t>ÖSTERGÖTLANDS LÄN</t>
        </is>
      </c>
      <c r="E536" t="inlineStr">
        <is>
          <t>LINKÖPING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39017-2021</t>
        </is>
      </c>
      <c r="B537" s="1" t="n">
        <v>44412</v>
      </c>
      <c r="C537" s="1" t="n">
        <v>46094</v>
      </c>
      <c r="D537" t="inlineStr">
        <is>
          <t>ÖSTERGÖTLANDS LÄN</t>
        </is>
      </c>
      <c r="E537" t="inlineStr">
        <is>
          <t>LINKÖPING</t>
        </is>
      </c>
      <c r="F537" t="inlineStr">
        <is>
          <t>Övriga statliga verk och myndigheter</t>
        </is>
      </c>
      <c r="G537" t="n">
        <v>0.8</v>
      </c>
      <c r="H537" t="n">
        <v>0</v>
      </c>
      <c r="I537" t="n">
        <v>0</v>
      </c>
      <c r="J537" t="n">
        <v>0</v>
      </c>
      <c r="K537" t="n">
        <v>0</v>
      </c>
      <c r="L537" t="n">
        <v>0</v>
      </c>
      <c r="M537" t="n">
        <v>0</v>
      </c>
      <c r="N537" t="n">
        <v>0</v>
      </c>
      <c r="O537" t="n">
        <v>0</v>
      </c>
      <c r="P537" t="n">
        <v>0</v>
      </c>
      <c r="Q537" t="n">
        <v>0</v>
      </c>
      <c r="R537" s="2" t="inlineStr"/>
    </row>
    <row r="538" ht="15" customHeight="1">
      <c r="A538" t="inlineStr">
        <is>
          <t>A 60004-2022</t>
        </is>
      </c>
      <c r="B538" s="1" t="n">
        <v>44909.47206018519</v>
      </c>
      <c r="C538" s="1" t="n">
        <v>46094</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60010-2022</t>
        </is>
      </c>
      <c r="B539" s="1" t="n">
        <v>44909.4740625</v>
      </c>
      <c r="C539" s="1" t="n">
        <v>46094</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53827-2023</t>
        </is>
      </c>
      <c r="B540" s="1" t="n">
        <v>45230</v>
      </c>
      <c r="C540" s="1" t="n">
        <v>46094</v>
      </c>
      <c r="D540" t="inlineStr">
        <is>
          <t>ÖSTERGÖTLANDS LÄN</t>
        </is>
      </c>
      <c r="E540" t="inlineStr">
        <is>
          <t>LINKÖPING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4256-2022</t>
        </is>
      </c>
      <c r="B541" s="1" t="n">
        <v>44588</v>
      </c>
      <c r="C541" s="1" t="n">
        <v>46094</v>
      </c>
      <c r="D541" t="inlineStr">
        <is>
          <t>ÖSTERGÖTLANDS LÄN</t>
        </is>
      </c>
      <c r="E541" t="inlineStr">
        <is>
          <t>LINKÖPING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61649-2023</t>
        </is>
      </c>
      <c r="B542" s="1" t="n">
        <v>45265</v>
      </c>
      <c r="C542" s="1" t="n">
        <v>46094</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1260-2023</t>
        </is>
      </c>
      <c r="B543" s="1" t="n">
        <v>44936</v>
      </c>
      <c r="C543" s="1" t="n">
        <v>46094</v>
      </c>
      <c r="D543" t="inlineStr">
        <is>
          <t>ÖSTERGÖTLANDS LÄN</t>
        </is>
      </c>
      <c r="E543" t="inlineStr">
        <is>
          <t>LINKÖPING</t>
        </is>
      </c>
      <c r="G543" t="n">
        <v>1.2</v>
      </c>
      <c r="H543" t="n">
        <v>0</v>
      </c>
      <c r="I543" t="n">
        <v>0</v>
      </c>
      <c r="J543" t="n">
        <v>0</v>
      </c>
      <c r="K543" t="n">
        <v>0</v>
      </c>
      <c r="L543" t="n">
        <v>0</v>
      </c>
      <c r="M543" t="n">
        <v>0</v>
      </c>
      <c r="N543" t="n">
        <v>0</v>
      </c>
      <c r="O543" t="n">
        <v>0</v>
      </c>
      <c r="P543" t="n">
        <v>0</v>
      </c>
      <c r="Q543" t="n">
        <v>0</v>
      </c>
      <c r="R543" s="2" t="inlineStr"/>
    </row>
    <row r="544" ht="15" customHeight="1">
      <c r="A544" t="inlineStr">
        <is>
          <t>A 1355-2023</t>
        </is>
      </c>
      <c r="B544" s="1" t="n">
        <v>44931</v>
      </c>
      <c r="C544" s="1" t="n">
        <v>46094</v>
      </c>
      <c r="D544" t="inlineStr">
        <is>
          <t>ÖSTERGÖTLANDS LÄN</t>
        </is>
      </c>
      <c r="E544" t="inlineStr">
        <is>
          <t>LINKÖPING</t>
        </is>
      </c>
      <c r="G544" t="n">
        <v>4</v>
      </c>
      <c r="H544" t="n">
        <v>0</v>
      </c>
      <c r="I544" t="n">
        <v>0</v>
      </c>
      <c r="J544" t="n">
        <v>0</v>
      </c>
      <c r="K544" t="n">
        <v>0</v>
      </c>
      <c r="L544" t="n">
        <v>0</v>
      </c>
      <c r="M544" t="n">
        <v>0</v>
      </c>
      <c r="N544" t="n">
        <v>0</v>
      </c>
      <c r="O544" t="n">
        <v>0</v>
      </c>
      <c r="P544" t="n">
        <v>0</v>
      </c>
      <c r="Q544" t="n">
        <v>0</v>
      </c>
      <c r="R544" s="2" t="inlineStr"/>
    </row>
    <row r="545" ht="15" customHeight="1">
      <c r="A545" t="inlineStr">
        <is>
          <t>A 3007-2025</t>
        </is>
      </c>
      <c r="B545" s="1" t="n">
        <v>45678.56328703704</v>
      </c>
      <c r="C545" s="1" t="n">
        <v>46094</v>
      </c>
      <c r="D545" t="inlineStr">
        <is>
          <t>ÖSTERGÖTLANDS LÄN</t>
        </is>
      </c>
      <c r="E545" t="inlineStr">
        <is>
          <t>LINKÖPING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10492-2022</t>
        </is>
      </c>
      <c r="B546" s="1" t="n">
        <v>44623.6377199074</v>
      </c>
      <c r="C546" s="1" t="n">
        <v>46094</v>
      </c>
      <c r="D546" t="inlineStr">
        <is>
          <t>ÖSTERGÖTLANDS LÄN</t>
        </is>
      </c>
      <c r="E546" t="inlineStr">
        <is>
          <t>LINKÖPING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30465-2023</t>
        </is>
      </c>
      <c r="B547" s="1" t="n">
        <v>45111</v>
      </c>
      <c r="C547" s="1" t="n">
        <v>46094</v>
      </c>
      <c r="D547" t="inlineStr">
        <is>
          <t>ÖSTERGÖTLANDS LÄN</t>
        </is>
      </c>
      <c r="E547" t="inlineStr">
        <is>
          <t>LINKÖPING</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25829-2025</t>
        </is>
      </c>
      <c r="B548" s="1" t="n">
        <v>45804.44505787037</v>
      </c>
      <c r="C548" s="1" t="n">
        <v>46094</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223-2024</t>
        </is>
      </c>
      <c r="B549" s="1" t="n">
        <v>45294.72739583333</v>
      </c>
      <c r="C549" s="1" t="n">
        <v>46094</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38046-2025</t>
        </is>
      </c>
      <c r="B550" s="1" t="n">
        <v>45882.39939814815</v>
      </c>
      <c r="C550" s="1" t="n">
        <v>46094</v>
      </c>
      <c r="D550" t="inlineStr">
        <is>
          <t>ÖSTERGÖTLANDS LÄN</t>
        </is>
      </c>
      <c r="E550" t="inlineStr">
        <is>
          <t>LINKÖPING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39021-2021</t>
        </is>
      </c>
      <c r="B551" s="1" t="n">
        <v>44412</v>
      </c>
      <c r="C551" s="1" t="n">
        <v>46094</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62353-2022</t>
        </is>
      </c>
      <c r="B552" s="1" t="n">
        <v>44923</v>
      </c>
      <c r="C552" s="1" t="n">
        <v>46094</v>
      </c>
      <c r="D552" t="inlineStr">
        <is>
          <t>ÖSTERGÖTLANDS LÄN</t>
        </is>
      </c>
      <c r="E552" t="inlineStr">
        <is>
          <t>LINKÖPING</t>
        </is>
      </c>
      <c r="F552" t="inlineStr">
        <is>
          <t>Allmännings- och besparingsskogar</t>
        </is>
      </c>
      <c r="G552" t="n">
        <v>1.7</v>
      </c>
      <c r="H552" t="n">
        <v>0</v>
      </c>
      <c r="I552" t="n">
        <v>0</v>
      </c>
      <c r="J552" t="n">
        <v>0</v>
      </c>
      <c r="K552" t="n">
        <v>0</v>
      </c>
      <c r="L552" t="n">
        <v>0</v>
      </c>
      <c r="M552" t="n">
        <v>0</v>
      </c>
      <c r="N552" t="n">
        <v>0</v>
      </c>
      <c r="O552" t="n">
        <v>0</v>
      </c>
      <c r="P552" t="n">
        <v>0</v>
      </c>
      <c r="Q552" t="n">
        <v>0</v>
      </c>
      <c r="R552" s="2" t="inlineStr"/>
    </row>
    <row r="553" ht="15" customHeight="1">
      <c r="A553" t="inlineStr">
        <is>
          <t>A 19464-2024</t>
        </is>
      </c>
      <c r="B553" s="1" t="n">
        <v>45429</v>
      </c>
      <c r="C553" s="1" t="n">
        <v>46094</v>
      </c>
      <c r="D553" t="inlineStr">
        <is>
          <t>ÖSTERGÖTLANDS LÄN</t>
        </is>
      </c>
      <c r="E553" t="inlineStr">
        <is>
          <t>LINKÖPING</t>
        </is>
      </c>
      <c r="G553" t="n">
        <v>2.7</v>
      </c>
      <c r="H553" t="n">
        <v>0</v>
      </c>
      <c r="I553" t="n">
        <v>0</v>
      </c>
      <c r="J553" t="n">
        <v>0</v>
      </c>
      <c r="K553" t="n">
        <v>0</v>
      </c>
      <c r="L553" t="n">
        <v>0</v>
      </c>
      <c r="M553" t="n">
        <v>0</v>
      </c>
      <c r="N553" t="n">
        <v>0</v>
      </c>
      <c r="O553" t="n">
        <v>0</v>
      </c>
      <c r="P553" t="n">
        <v>0</v>
      </c>
      <c r="Q553" t="n">
        <v>0</v>
      </c>
      <c r="R553" s="2" t="inlineStr"/>
    </row>
    <row r="554" ht="15" customHeight="1">
      <c r="A554" t="inlineStr">
        <is>
          <t>A 30111-2024</t>
        </is>
      </c>
      <c r="B554" s="1" t="n">
        <v>45489.46947916667</v>
      </c>
      <c r="C554" s="1" t="n">
        <v>46094</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30119-2024</t>
        </is>
      </c>
      <c r="B555" s="1" t="n">
        <v>45489</v>
      </c>
      <c r="C555" s="1" t="n">
        <v>46094</v>
      </c>
      <c r="D555" t="inlineStr">
        <is>
          <t>ÖSTERGÖTLANDS LÄN</t>
        </is>
      </c>
      <c r="E555" t="inlineStr">
        <is>
          <t>LINKÖPING</t>
        </is>
      </c>
      <c r="G555" t="n">
        <v>1.7</v>
      </c>
      <c r="H555" t="n">
        <v>0</v>
      </c>
      <c r="I555" t="n">
        <v>0</v>
      </c>
      <c r="J555" t="n">
        <v>0</v>
      </c>
      <c r="K555" t="n">
        <v>0</v>
      </c>
      <c r="L555" t="n">
        <v>0</v>
      </c>
      <c r="M555" t="n">
        <v>0</v>
      </c>
      <c r="N555" t="n">
        <v>0</v>
      </c>
      <c r="O555" t="n">
        <v>0</v>
      </c>
      <c r="P555" t="n">
        <v>0</v>
      </c>
      <c r="Q555" t="n">
        <v>0</v>
      </c>
      <c r="R555" s="2" t="inlineStr"/>
    </row>
    <row r="556" ht="15" customHeight="1">
      <c r="A556" t="inlineStr">
        <is>
          <t>A 29411-2023</t>
        </is>
      </c>
      <c r="B556" s="1" t="n">
        <v>45106.46225694445</v>
      </c>
      <c r="C556" s="1" t="n">
        <v>46094</v>
      </c>
      <c r="D556" t="inlineStr">
        <is>
          <t>ÖSTERGÖTLANDS LÄN</t>
        </is>
      </c>
      <c r="E556" t="inlineStr">
        <is>
          <t>LINKÖPING</t>
        </is>
      </c>
      <c r="G556" t="n">
        <v>2.5</v>
      </c>
      <c r="H556" t="n">
        <v>0</v>
      </c>
      <c r="I556" t="n">
        <v>0</v>
      </c>
      <c r="J556" t="n">
        <v>0</v>
      </c>
      <c r="K556" t="n">
        <v>0</v>
      </c>
      <c r="L556" t="n">
        <v>0</v>
      </c>
      <c r="M556" t="n">
        <v>0</v>
      </c>
      <c r="N556" t="n">
        <v>0</v>
      </c>
      <c r="O556" t="n">
        <v>0</v>
      </c>
      <c r="P556" t="n">
        <v>0</v>
      </c>
      <c r="Q556" t="n">
        <v>0</v>
      </c>
      <c r="R556" s="2" t="inlineStr"/>
    </row>
    <row r="557" ht="15" customHeight="1">
      <c r="A557" t="inlineStr">
        <is>
          <t>A 29412-2023</t>
        </is>
      </c>
      <c r="B557" s="1" t="n">
        <v>45106.46359953703</v>
      </c>
      <c r="C557" s="1" t="n">
        <v>46094</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31792-2021</t>
        </is>
      </c>
      <c r="B558" s="1" t="n">
        <v>44369</v>
      </c>
      <c r="C558" s="1" t="n">
        <v>46094</v>
      </c>
      <c r="D558" t="inlineStr">
        <is>
          <t>ÖSTERGÖTLANDS LÄN</t>
        </is>
      </c>
      <c r="E558" t="inlineStr">
        <is>
          <t>LINKÖPING</t>
        </is>
      </c>
      <c r="G558" t="n">
        <v>1.9</v>
      </c>
      <c r="H558" t="n">
        <v>0</v>
      </c>
      <c r="I558" t="n">
        <v>0</v>
      </c>
      <c r="J558" t="n">
        <v>0</v>
      </c>
      <c r="K558" t="n">
        <v>0</v>
      </c>
      <c r="L558" t="n">
        <v>0</v>
      </c>
      <c r="M558" t="n">
        <v>0</v>
      </c>
      <c r="N558" t="n">
        <v>0</v>
      </c>
      <c r="O558" t="n">
        <v>0</v>
      </c>
      <c r="P558" t="n">
        <v>0</v>
      </c>
      <c r="Q558" t="n">
        <v>0</v>
      </c>
      <c r="R558" s="2" t="inlineStr"/>
    </row>
    <row r="559" ht="15" customHeight="1">
      <c r="A559" t="inlineStr">
        <is>
          <t>A 630-2024</t>
        </is>
      </c>
      <c r="B559" s="1" t="n">
        <v>45299.67736111111</v>
      </c>
      <c r="C559" s="1" t="n">
        <v>46094</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421-2024</t>
        </is>
      </c>
      <c r="B560" s="1" t="n">
        <v>45296.51877314815</v>
      </c>
      <c r="C560" s="1" t="n">
        <v>46094</v>
      </c>
      <c r="D560" t="inlineStr">
        <is>
          <t>ÖSTERGÖTLANDS LÄN</t>
        </is>
      </c>
      <c r="E560" t="inlineStr">
        <is>
          <t>LINKÖPING</t>
        </is>
      </c>
      <c r="G560" t="n">
        <v>3.7</v>
      </c>
      <c r="H560" t="n">
        <v>0</v>
      </c>
      <c r="I560" t="n">
        <v>0</v>
      </c>
      <c r="J560" t="n">
        <v>0</v>
      </c>
      <c r="K560" t="n">
        <v>0</v>
      </c>
      <c r="L560" t="n">
        <v>0</v>
      </c>
      <c r="M560" t="n">
        <v>0</v>
      </c>
      <c r="N560" t="n">
        <v>0</v>
      </c>
      <c r="O560" t="n">
        <v>0</v>
      </c>
      <c r="P560" t="n">
        <v>0</v>
      </c>
      <c r="Q560" t="n">
        <v>0</v>
      </c>
      <c r="R560" s="2" t="inlineStr"/>
    </row>
    <row r="561" ht="15" customHeight="1">
      <c r="A561" t="inlineStr">
        <is>
          <t>A 22043-2023</t>
        </is>
      </c>
      <c r="B561" s="1" t="n">
        <v>45069.39050925926</v>
      </c>
      <c r="C561" s="1" t="n">
        <v>46094</v>
      </c>
      <c r="D561" t="inlineStr">
        <is>
          <t>ÖSTERGÖTLANDS LÄN</t>
        </is>
      </c>
      <c r="E561" t="inlineStr">
        <is>
          <t>LINKÖPING</t>
        </is>
      </c>
      <c r="G561" t="n">
        <v>5.9</v>
      </c>
      <c r="H561" t="n">
        <v>0</v>
      </c>
      <c r="I561" t="n">
        <v>0</v>
      </c>
      <c r="J561" t="n">
        <v>0</v>
      </c>
      <c r="K561" t="n">
        <v>0</v>
      </c>
      <c r="L561" t="n">
        <v>0</v>
      </c>
      <c r="M561" t="n">
        <v>0</v>
      </c>
      <c r="N561" t="n">
        <v>0</v>
      </c>
      <c r="O561" t="n">
        <v>0</v>
      </c>
      <c r="P561" t="n">
        <v>0</v>
      </c>
      <c r="Q561" t="n">
        <v>0</v>
      </c>
      <c r="R561" s="2" t="inlineStr"/>
    </row>
    <row r="562" ht="15" customHeight="1">
      <c r="A562" t="inlineStr">
        <is>
          <t>A 30433-2024</t>
        </is>
      </c>
      <c r="B562" s="1" t="n">
        <v>45491.69741898148</v>
      </c>
      <c r="C562" s="1" t="n">
        <v>46094</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61532-2021</t>
        </is>
      </c>
      <c r="B563" s="1" t="n">
        <v>44501</v>
      </c>
      <c r="C563" s="1" t="n">
        <v>46094</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14028-2024</t>
        </is>
      </c>
      <c r="B564" s="1" t="n">
        <v>45392</v>
      </c>
      <c r="C564" s="1" t="n">
        <v>46094</v>
      </c>
      <c r="D564" t="inlineStr">
        <is>
          <t>ÖSTERGÖTLANDS LÄN</t>
        </is>
      </c>
      <c r="E564" t="inlineStr">
        <is>
          <t>LINKÖPING</t>
        </is>
      </c>
      <c r="G564" t="n">
        <v>1.7</v>
      </c>
      <c r="H564" t="n">
        <v>0</v>
      </c>
      <c r="I564" t="n">
        <v>0</v>
      </c>
      <c r="J564" t="n">
        <v>0</v>
      </c>
      <c r="K564" t="n">
        <v>0</v>
      </c>
      <c r="L564" t="n">
        <v>0</v>
      </c>
      <c r="M564" t="n">
        <v>0</v>
      </c>
      <c r="N564" t="n">
        <v>0</v>
      </c>
      <c r="O564" t="n">
        <v>0</v>
      </c>
      <c r="P564" t="n">
        <v>0</v>
      </c>
      <c r="Q564" t="n">
        <v>0</v>
      </c>
      <c r="R564" s="2" t="inlineStr"/>
    </row>
    <row r="565" ht="15" customHeight="1">
      <c r="A565" t="inlineStr">
        <is>
          <t>A 40431-2024</t>
        </is>
      </c>
      <c r="B565" s="1" t="n">
        <v>45555.47070601852</v>
      </c>
      <c r="C565" s="1" t="n">
        <v>46094</v>
      </c>
      <c r="D565" t="inlineStr">
        <is>
          <t>ÖSTERGÖTLANDS LÄN</t>
        </is>
      </c>
      <c r="E565" t="inlineStr">
        <is>
          <t>LINKÖPING</t>
        </is>
      </c>
      <c r="F565" t="inlineStr">
        <is>
          <t>Allmännings- och besparingsskogar</t>
        </is>
      </c>
      <c r="G565" t="n">
        <v>2.9</v>
      </c>
      <c r="H565" t="n">
        <v>0</v>
      </c>
      <c r="I565" t="n">
        <v>0</v>
      </c>
      <c r="J565" t="n">
        <v>0</v>
      </c>
      <c r="K565" t="n">
        <v>0</v>
      </c>
      <c r="L565" t="n">
        <v>0</v>
      </c>
      <c r="M565" t="n">
        <v>0</v>
      </c>
      <c r="N565" t="n">
        <v>0</v>
      </c>
      <c r="O565" t="n">
        <v>0</v>
      </c>
      <c r="P565" t="n">
        <v>0</v>
      </c>
      <c r="Q565" t="n">
        <v>0</v>
      </c>
      <c r="R565" s="2" t="inlineStr"/>
    </row>
    <row r="566" ht="15" customHeight="1">
      <c r="A566" t="inlineStr">
        <is>
          <t>A 63528-2023</t>
        </is>
      </c>
      <c r="B566" s="1" t="n">
        <v>45274.94810185185</v>
      </c>
      <c r="C566" s="1" t="n">
        <v>46094</v>
      </c>
      <c r="D566" t="inlineStr">
        <is>
          <t>ÖSTERGÖTLANDS LÄN</t>
        </is>
      </c>
      <c r="E566" t="inlineStr">
        <is>
          <t>LINKÖPING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60860-2024</t>
        </is>
      </c>
      <c r="B567" s="1" t="n">
        <v>45644.6893287037</v>
      </c>
      <c r="C567" s="1" t="n">
        <v>46094</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61936-2023</t>
        </is>
      </c>
      <c r="B568" s="1" t="n">
        <v>45266.54534722222</v>
      </c>
      <c r="C568" s="1" t="n">
        <v>46094</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2697-2023</t>
        </is>
      </c>
      <c r="B569" s="1" t="n">
        <v>44944</v>
      </c>
      <c r="C569" s="1" t="n">
        <v>46094</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62492-2023</t>
        </is>
      </c>
      <c r="B570" s="1" t="n">
        <v>45268.58987268519</v>
      </c>
      <c r="C570" s="1" t="n">
        <v>46094</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45806-2024</t>
        </is>
      </c>
      <c r="B571" s="1" t="n">
        <v>45579.69619212963</v>
      </c>
      <c r="C571" s="1" t="n">
        <v>46094</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674-2024</t>
        </is>
      </c>
      <c r="B572" s="1" t="n">
        <v>45300.34408564815</v>
      </c>
      <c r="C572" s="1" t="n">
        <v>46094</v>
      </c>
      <c r="D572" t="inlineStr">
        <is>
          <t>ÖSTERGÖTLANDS LÄN</t>
        </is>
      </c>
      <c r="E572" t="inlineStr">
        <is>
          <t>LINKÖPING</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56756-2023</t>
        </is>
      </c>
      <c r="B573" s="1" t="n">
        <v>45244</v>
      </c>
      <c r="C573" s="1" t="n">
        <v>46094</v>
      </c>
      <c r="D573" t="inlineStr">
        <is>
          <t>ÖSTERGÖTLANDS LÄN</t>
        </is>
      </c>
      <c r="E573" t="inlineStr">
        <is>
          <t>LINKÖPING</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6782-2024</t>
        </is>
      </c>
      <c r="B574" s="1" t="n">
        <v>45342</v>
      </c>
      <c r="C574" s="1" t="n">
        <v>46094</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10094-2024</t>
        </is>
      </c>
      <c r="B575" s="1" t="n">
        <v>45364</v>
      </c>
      <c r="C575" s="1" t="n">
        <v>46094</v>
      </c>
      <c r="D575" t="inlineStr">
        <is>
          <t>ÖSTERGÖTLANDS LÄN</t>
        </is>
      </c>
      <c r="E575" t="inlineStr">
        <is>
          <t>LINKÖPING</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60985-2023</t>
        </is>
      </c>
      <c r="B576" s="1" t="n">
        <v>45261.48429398148</v>
      </c>
      <c r="C576" s="1" t="n">
        <v>46094</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63684-2023</t>
        </is>
      </c>
      <c r="B577" s="1" t="n">
        <v>45275</v>
      </c>
      <c r="C577" s="1" t="n">
        <v>46094</v>
      </c>
      <c r="D577" t="inlineStr">
        <is>
          <t>ÖSTERGÖTLANDS LÄN</t>
        </is>
      </c>
      <c r="E577" t="inlineStr">
        <is>
          <t>LINKÖPING</t>
        </is>
      </c>
      <c r="G577" t="n">
        <v>0.4</v>
      </c>
      <c r="H577" t="n">
        <v>0</v>
      </c>
      <c r="I577" t="n">
        <v>0</v>
      </c>
      <c r="J577" t="n">
        <v>0</v>
      </c>
      <c r="K577" t="n">
        <v>0</v>
      </c>
      <c r="L577" t="n">
        <v>0</v>
      </c>
      <c r="M577" t="n">
        <v>0</v>
      </c>
      <c r="N577" t="n">
        <v>0</v>
      </c>
      <c r="O577" t="n">
        <v>0</v>
      </c>
      <c r="P577" t="n">
        <v>0</v>
      </c>
      <c r="Q577" t="n">
        <v>0</v>
      </c>
      <c r="R577" s="2" t="inlineStr"/>
    </row>
    <row r="578" ht="15" customHeight="1">
      <c r="A578" t="inlineStr">
        <is>
          <t>A 63688-2023</t>
        </is>
      </c>
      <c r="B578" s="1" t="n">
        <v>45275</v>
      </c>
      <c r="C578" s="1" t="n">
        <v>46094</v>
      </c>
      <c r="D578" t="inlineStr">
        <is>
          <t>ÖSTERGÖTLANDS LÄN</t>
        </is>
      </c>
      <c r="E578" t="inlineStr">
        <is>
          <t>LINKÖPING</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63691-2023</t>
        </is>
      </c>
      <c r="B579" s="1" t="n">
        <v>45275</v>
      </c>
      <c r="C579" s="1" t="n">
        <v>46094</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36657-2023</t>
        </is>
      </c>
      <c r="B580" s="1" t="n">
        <v>45153.5702662037</v>
      </c>
      <c r="C580" s="1" t="n">
        <v>46094</v>
      </c>
      <c r="D580" t="inlineStr">
        <is>
          <t>ÖSTERGÖTLANDS LÄN</t>
        </is>
      </c>
      <c r="E580" t="inlineStr">
        <is>
          <t>LINKÖPING</t>
        </is>
      </c>
      <c r="F580" t="inlineStr">
        <is>
          <t>Allmännings- och besparingsskogar</t>
        </is>
      </c>
      <c r="G580" t="n">
        <v>2</v>
      </c>
      <c r="H580" t="n">
        <v>0</v>
      </c>
      <c r="I580" t="n">
        <v>0</v>
      </c>
      <c r="J580" t="n">
        <v>0</v>
      </c>
      <c r="K580" t="n">
        <v>0</v>
      </c>
      <c r="L580" t="n">
        <v>0</v>
      </c>
      <c r="M580" t="n">
        <v>0</v>
      </c>
      <c r="N580" t="n">
        <v>0</v>
      </c>
      <c r="O580" t="n">
        <v>0</v>
      </c>
      <c r="P580" t="n">
        <v>0</v>
      </c>
      <c r="Q580" t="n">
        <v>0</v>
      </c>
      <c r="R580" s="2" t="inlineStr"/>
    </row>
    <row r="581" ht="15" customHeight="1">
      <c r="A581" t="inlineStr">
        <is>
          <t>A 14667-2024</t>
        </is>
      </c>
      <c r="B581" s="1" t="n">
        <v>45397.42005787037</v>
      </c>
      <c r="C581" s="1" t="n">
        <v>46094</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24904-2024</t>
        </is>
      </c>
      <c r="B582" s="1" t="n">
        <v>45461</v>
      </c>
      <c r="C582" s="1" t="n">
        <v>46094</v>
      </c>
      <c r="D582" t="inlineStr">
        <is>
          <t>ÖSTERGÖTLANDS LÄN</t>
        </is>
      </c>
      <c r="E582" t="inlineStr">
        <is>
          <t>LINKÖPING</t>
        </is>
      </c>
      <c r="G582" t="n">
        <v>3.8</v>
      </c>
      <c r="H582" t="n">
        <v>0</v>
      </c>
      <c r="I582" t="n">
        <v>0</v>
      </c>
      <c r="J582" t="n">
        <v>0</v>
      </c>
      <c r="K582" t="n">
        <v>0</v>
      </c>
      <c r="L582" t="n">
        <v>0</v>
      </c>
      <c r="M582" t="n">
        <v>0</v>
      </c>
      <c r="N582" t="n">
        <v>0</v>
      </c>
      <c r="O582" t="n">
        <v>0</v>
      </c>
      <c r="P582" t="n">
        <v>0</v>
      </c>
      <c r="Q582" t="n">
        <v>0</v>
      </c>
      <c r="R582" s="2" t="inlineStr"/>
    </row>
    <row r="583" ht="15" customHeight="1">
      <c r="A583" t="inlineStr">
        <is>
          <t>A 55009-2023</t>
        </is>
      </c>
      <c r="B583" s="1" t="n">
        <v>45237</v>
      </c>
      <c r="C583" s="1" t="n">
        <v>46094</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34872-2023</t>
        </is>
      </c>
      <c r="B584" s="1" t="n">
        <v>45140</v>
      </c>
      <c r="C584" s="1" t="n">
        <v>46094</v>
      </c>
      <c r="D584" t="inlineStr">
        <is>
          <t>ÖSTERGÖTLANDS LÄN</t>
        </is>
      </c>
      <c r="E584" t="inlineStr">
        <is>
          <t>LINKÖPING</t>
        </is>
      </c>
      <c r="G584" t="n">
        <v>4.8</v>
      </c>
      <c r="H584" t="n">
        <v>0</v>
      </c>
      <c r="I584" t="n">
        <v>0</v>
      </c>
      <c r="J584" t="n">
        <v>0</v>
      </c>
      <c r="K584" t="n">
        <v>0</v>
      </c>
      <c r="L584" t="n">
        <v>0</v>
      </c>
      <c r="M584" t="n">
        <v>0</v>
      </c>
      <c r="N584" t="n">
        <v>0</v>
      </c>
      <c r="O584" t="n">
        <v>0</v>
      </c>
      <c r="P584" t="n">
        <v>0</v>
      </c>
      <c r="Q584" t="n">
        <v>0</v>
      </c>
      <c r="R584" s="2" t="inlineStr"/>
    </row>
    <row r="585" ht="15" customHeight="1">
      <c r="A585" t="inlineStr">
        <is>
          <t>A 36336-2022</t>
        </is>
      </c>
      <c r="B585" s="1" t="n">
        <v>44803</v>
      </c>
      <c r="C585" s="1" t="n">
        <v>46094</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25097-2023</t>
        </is>
      </c>
      <c r="B586" s="1" t="n">
        <v>45086</v>
      </c>
      <c r="C586" s="1" t="n">
        <v>46094</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15714-2024</t>
        </is>
      </c>
      <c r="B587" s="1" t="n">
        <v>45404.48288194444</v>
      </c>
      <c r="C587" s="1" t="n">
        <v>46094</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37715-2022</t>
        </is>
      </c>
      <c r="B588" s="1" t="n">
        <v>44810</v>
      </c>
      <c r="C588" s="1" t="n">
        <v>46094</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10461-2023</t>
        </is>
      </c>
      <c r="B589" s="1" t="n">
        <v>44987.5969212963</v>
      </c>
      <c r="C589" s="1" t="n">
        <v>46094</v>
      </c>
      <c r="D589" t="inlineStr">
        <is>
          <t>ÖSTERGÖTLANDS LÄN</t>
        </is>
      </c>
      <c r="E589" t="inlineStr">
        <is>
          <t>LINKÖPING</t>
        </is>
      </c>
      <c r="G589" t="n">
        <v>7.8</v>
      </c>
      <c r="H589" t="n">
        <v>0</v>
      </c>
      <c r="I589" t="n">
        <v>0</v>
      </c>
      <c r="J589" t="n">
        <v>0</v>
      </c>
      <c r="K589" t="n">
        <v>0</v>
      </c>
      <c r="L589" t="n">
        <v>0</v>
      </c>
      <c r="M589" t="n">
        <v>0</v>
      </c>
      <c r="N589" t="n">
        <v>0</v>
      </c>
      <c r="O589" t="n">
        <v>0</v>
      </c>
      <c r="P589" t="n">
        <v>0</v>
      </c>
      <c r="Q589" t="n">
        <v>0</v>
      </c>
      <c r="R589" s="2" t="inlineStr"/>
    </row>
    <row r="590" ht="15" customHeight="1">
      <c r="A590" t="inlineStr">
        <is>
          <t>A 30429-2024</t>
        </is>
      </c>
      <c r="B590" s="1" t="n">
        <v>45491.68972222223</v>
      </c>
      <c r="C590" s="1" t="n">
        <v>46094</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30435-2024</t>
        </is>
      </c>
      <c r="B591" s="1" t="n">
        <v>45491.69962962963</v>
      </c>
      <c r="C591" s="1" t="n">
        <v>46094</v>
      </c>
      <c r="D591" t="inlineStr">
        <is>
          <t>ÖSTERGÖTLANDS LÄN</t>
        </is>
      </c>
      <c r="E591" t="inlineStr">
        <is>
          <t>LINKÖPING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50386-2021</t>
        </is>
      </c>
      <c r="B592" s="1" t="n">
        <v>44459</v>
      </c>
      <c r="C592" s="1" t="n">
        <v>46094</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38231-2022</t>
        </is>
      </c>
      <c r="B593" s="1" t="n">
        <v>44812</v>
      </c>
      <c r="C593" s="1" t="n">
        <v>46094</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34557-2022</t>
        </is>
      </c>
      <c r="B594" s="1" t="n">
        <v>44794.57074074074</v>
      </c>
      <c r="C594" s="1" t="n">
        <v>46094</v>
      </c>
      <c r="D594" t="inlineStr">
        <is>
          <t>ÖSTERGÖTLANDS LÄN</t>
        </is>
      </c>
      <c r="E594" t="inlineStr">
        <is>
          <t>LINKÖPING</t>
        </is>
      </c>
      <c r="G594" t="n">
        <v>1.8</v>
      </c>
      <c r="H594" t="n">
        <v>0</v>
      </c>
      <c r="I594" t="n">
        <v>0</v>
      </c>
      <c r="J594" t="n">
        <v>0</v>
      </c>
      <c r="K594" t="n">
        <v>0</v>
      </c>
      <c r="L594" t="n">
        <v>0</v>
      </c>
      <c r="M594" t="n">
        <v>0</v>
      </c>
      <c r="N594" t="n">
        <v>0</v>
      </c>
      <c r="O594" t="n">
        <v>0</v>
      </c>
      <c r="P594" t="n">
        <v>0</v>
      </c>
      <c r="Q594" t="n">
        <v>0</v>
      </c>
      <c r="R594" s="2" t="inlineStr"/>
    </row>
    <row r="595" ht="15" customHeight="1">
      <c r="A595" t="inlineStr">
        <is>
          <t>A 13011-2022</t>
        </is>
      </c>
      <c r="B595" s="1" t="n">
        <v>44643</v>
      </c>
      <c r="C595" s="1" t="n">
        <v>46094</v>
      </c>
      <c r="D595" t="inlineStr">
        <is>
          <t>ÖSTERGÖTLANDS LÄN</t>
        </is>
      </c>
      <c r="E595" t="inlineStr">
        <is>
          <t>LINKÖPING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350-2022</t>
        </is>
      </c>
      <c r="B596" s="1" t="n">
        <v>44565</v>
      </c>
      <c r="C596" s="1" t="n">
        <v>46094</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617-2024</t>
        </is>
      </c>
      <c r="B597" s="1" t="n">
        <v>45299.66028935185</v>
      </c>
      <c r="C597" s="1" t="n">
        <v>46094</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18891-2022</t>
        </is>
      </c>
      <c r="B598" s="1" t="n">
        <v>44690</v>
      </c>
      <c r="C598" s="1" t="n">
        <v>46094</v>
      </c>
      <c r="D598" t="inlineStr">
        <is>
          <t>ÖSTERGÖTLANDS LÄN</t>
        </is>
      </c>
      <c r="E598" t="inlineStr">
        <is>
          <t>LINKÖPING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41511-2025</t>
        </is>
      </c>
      <c r="B599" s="1" t="n">
        <v>45901.53839120371</v>
      </c>
      <c r="C599" s="1" t="n">
        <v>46094</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19362-2023</t>
        </is>
      </c>
      <c r="B600" s="1" t="n">
        <v>45049</v>
      </c>
      <c r="C600" s="1" t="n">
        <v>46094</v>
      </c>
      <c r="D600" t="inlineStr">
        <is>
          <t>ÖSTERGÖTLANDS LÄN</t>
        </is>
      </c>
      <c r="E600" t="inlineStr">
        <is>
          <t>LINKÖPING</t>
        </is>
      </c>
      <c r="G600" t="n">
        <v>0.1</v>
      </c>
      <c r="H600" t="n">
        <v>0</v>
      </c>
      <c r="I600" t="n">
        <v>0</v>
      </c>
      <c r="J600" t="n">
        <v>0</v>
      </c>
      <c r="K600" t="n">
        <v>0</v>
      </c>
      <c r="L600" t="n">
        <v>0</v>
      </c>
      <c r="M600" t="n">
        <v>0</v>
      </c>
      <c r="N600" t="n">
        <v>0</v>
      </c>
      <c r="O600" t="n">
        <v>0</v>
      </c>
      <c r="P600" t="n">
        <v>0</v>
      </c>
      <c r="Q600" t="n">
        <v>0</v>
      </c>
      <c r="R600" s="2" t="inlineStr"/>
    </row>
    <row r="601" ht="15" customHeight="1">
      <c r="A601" t="inlineStr">
        <is>
          <t>A 19132-2023</t>
        </is>
      </c>
      <c r="B601" s="1" t="n">
        <v>45048.54754629629</v>
      </c>
      <c r="C601" s="1" t="n">
        <v>46094</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30976-2022</t>
        </is>
      </c>
      <c r="B602" s="1" t="n">
        <v>44768</v>
      </c>
      <c r="C602" s="1" t="n">
        <v>46094</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55736-2022</t>
        </is>
      </c>
      <c r="B603" s="1" t="n">
        <v>44888</v>
      </c>
      <c r="C603" s="1" t="n">
        <v>46094</v>
      </c>
      <c r="D603" t="inlineStr">
        <is>
          <t>ÖSTERGÖTLANDS LÄN</t>
        </is>
      </c>
      <c r="E603" t="inlineStr">
        <is>
          <t>LINKÖPING</t>
        </is>
      </c>
      <c r="G603" t="n">
        <v>5.5</v>
      </c>
      <c r="H603" t="n">
        <v>0</v>
      </c>
      <c r="I603" t="n">
        <v>0</v>
      </c>
      <c r="J603" t="n">
        <v>0</v>
      </c>
      <c r="K603" t="n">
        <v>0</v>
      </c>
      <c r="L603" t="n">
        <v>0</v>
      </c>
      <c r="M603" t="n">
        <v>0</v>
      </c>
      <c r="N603" t="n">
        <v>0</v>
      </c>
      <c r="O603" t="n">
        <v>0</v>
      </c>
      <c r="P603" t="n">
        <v>0</v>
      </c>
      <c r="Q603" t="n">
        <v>0</v>
      </c>
      <c r="R603" s="2" t="inlineStr"/>
    </row>
    <row r="604" ht="15" customHeight="1">
      <c r="A604" t="inlineStr">
        <is>
          <t>A 41706-2025</t>
        </is>
      </c>
      <c r="B604" s="1" t="n">
        <v>45902.42209490741</v>
      </c>
      <c r="C604" s="1" t="n">
        <v>46094</v>
      </c>
      <c r="D604" t="inlineStr">
        <is>
          <t>ÖSTERGÖTLANDS LÄN</t>
        </is>
      </c>
      <c r="E604" t="inlineStr">
        <is>
          <t>LINKÖPING</t>
        </is>
      </c>
      <c r="G604" t="n">
        <v>1.9</v>
      </c>
      <c r="H604" t="n">
        <v>0</v>
      </c>
      <c r="I604" t="n">
        <v>0</v>
      </c>
      <c r="J604" t="n">
        <v>0</v>
      </c>
      <c r="K604" t="n">
        <v>0</v>
      </c>
      <c r="L604" t="n">
        <v>0</v>
      </c>
      <c r="M604" t="n">
        <v>0</v>
      </c>
      <c r="N604" t="n">
        <v>0</v>
      </c>
      <c r="O604" t="n">
        <v>0</v>
      </c>
      <c r="P604" t="n">
        <v>0</v>
      </c>
      <c r="Q604" t="n">
        <v>0</v>
      </c>
      <c r="R604" s="2" t="inlineStr"/>
    </row>
    <row r="605" ht="15" customHeight="1">
      <c r="A605" t="inlineStr">
        <is>
          <t>A 31635-2023</t>
        </is>
      </c>
      <c r="B605" s="1" t="n">
        <v>45105</v>
      </c>
      <c r="C605" s="1" t="n">
        <v>46094</v>
      </c>
      <c r="D605" t="inlineStr">
        <is>
          <t>ÖSTERGÖTLANDS LÄN</t>
        </is>
      </c>
      <c r="E605" t="inlineStr">
        <is>
          <t>LINKÖPING</t>
        </is>
      </c>
      <c r="F605" t="inlineStr">
        <is>
          <t>Övriga statliga verk och myndigheter</t>
        </is>
      </c>
      <c r="G605" t="n">
        <v>4.6</v>
      </c>
      <c r="H605" t="n">
        <v>0</v>
      </c>
      <c r="I605" t="n">
        <v>0</v>
      </c>
      <c r="J605" t="n">
        <v>0</v>
      </c>
      <c r="K605" t="n">
        <v>0</v>
      </c>
      <c r="L605" t="n">
        <v>0</v>
      </c>
      <c r="M605" t="n">
        <v>0</v>
      </c>
      <c r="N605" t="n">
        <v>0</v>
      </c>
      <c r="O605" t="n">
        <v>0</v>
      </c>
      <c r="P605" t="n">
        <v>0</v>
      </c>
      <c r="Q605" t="n">
        <v>0</v>
      </c>
      <c r="R605" s="2" t="inlineStr"/>
    </row>
    <row r="606" ht="15" customHeight="1">
      <c r="A606" t="inlineStr">
        <is>
          <t>A 20296-2025</t>
        </is>
      </c>
      <c r="B606" s="1" t="n">
        <v>45774.74922453704</v>
      </c>
      <c r="C606" s="1" t="n">
        <v>46094</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10194-2023</t>
        </is>
      </c>
      <c r="B607" s="1" t="n">
        <v>44986.52277777778</v>
      </c>
      <c r="C607" s="1" t="n">
        <v>46094</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3042-2024</t>
        </is>
      </c>
      <c r="B608" s="1" t="n">
        <v>45316.35028935185</v>
      </c>
      <c r="C608" s="1" t="n">
        <v>46094</v>
      </c>
      <c r="D608" t="inlineStr">
        <is>
          <t>ÖSTERGÖTLANDS LÄN</t>
        </is>
      </c>
      <c r="E608" t="inlineStr">
        <is>
          <t>LINKÖPING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22770-2024</t>
        </is>
      </c>
      <c r="B609" s="1" t="n">
        <v>45448.4634375</v>
      </c>
      <c r="C609" s="1" t="n">
        <v>46094</v>
      </c>
      <c r="D609" t="inlineStr">
        <is>
          <t>ÖSTERGÖTLANDS LÄN</t>
        </is>
      </c>
      <c r="E609" t="inlineStr">
        <is>
          <t>LINKÖPING</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11595-2025</t>
        </is>
      </c>
      <c r="B610" s="1" t="n">
        <v>45727.41893518518</v>
      </c>
      <c r="C610" s="1" t="n">
        <v>46094</v>
      </c>
      <c r="D610" t="inlineStr">
        <is>
          <t>ÖSTERGÖTLANDS LÄN</t>
        </is>
      </c>
      <c r="E610" t="inlineStr">
        <is>
          <t>LINKÖPING</t>
        </is>
      </c>
      <c r="G610" t="n">
        <v>6.6</v>
      </c>
      <c r="H610" t="n">
        <v>0</v>
      </c>
      <c r="I610" t="n">
        <v>0</v>
      </c>
      <c r="J610" t="n">
        <v>0</v>
      </c>
      <c r="K610" t="n">
        <v>0</v>
      </c>
      <c r="L610" t="n">
        <v>0</v>
      </c>
      <c r="M610" t="n">
        <v>0</v>
      </c>
      <c r="N610" t="n">
        <v>0</v>
      </c>
      <c r="O610" t="n">
        <v>0</v>
      </c>
      <c r="P610" t="n">
        <v>0</v>
      </c>
      <c r="Q610" t="n">
        <v>0</v>
      </c>
      <c r="R610" s="2" t="inlineStr"/>
    </row>
    <row r="611" ht="15" customHeight="1">
      <c r="A611" t="inlineStr">
        <is>
          <t>A 29293-2025</t>
        </is>
      </c>
      <c r="B611" s="1" t="n">
        <v>45824</v>
      </c>
      <c r="C611" s="1" t="n">
        <v>46094</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42624-2025</t>
        </is>
      </c>
      <c r="B612" s="1" t="n">
        <v>45905</v>
      </c>
      <c r="C612" s="1" t="n">
        <v>46094</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42626-2025</t>
        </is>
      </c>
      <c r="B613" s="1" t="n">
        <v>45905</v>
      </c>
      <c r="C613" s="1" t="n">
        <v>46094</v>
      </c>
      <c r="D613" t="inlineStr">
        <is>
          <t>ÖSTERGÖTLANDS LÄN</t>
        </is>
      </c>
      <c r="E613" t="inlineStr">
        <is>
          <t>LINKÖPING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48839-2022</t>
        </is>
      </c>
      <c r="B614" s="1" t="n">
        <v>44859</v>
      </c>
      <c r="C614" s="1" t="n">
        <v>46094</v>
      </c>
      <c r="D614" t="inlineStr">
        <is>
          <t>ÖSTERGÖTLANDS LÄN</t>
        </is>
      </c>
      <c r="E614" t="inlineStr">
        <is>
          <t>LINKÖPING</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42623-2025</t>
        </is>
      </c>
      <c r="B615" s="1" t="n">
        <v>45905</v>
      </c>
      <c r="C615" s="1" t="n">
        <v>46094</v>
      </c>
      <c r="D615" t="inlineStr">
        <is>
          <t>ÖSTERGÖTLANDS LÄN</t>
        </is>
      </c>
      <c r="E615" t="inlineStr">
        <is>
          <t>LINKÖPING</t>
        </is>
      </c>
      <c r="G615" t="n">
        <v>1.9</v>
      </c>
      <c r="H615" t="n">
        <v>0</v>
      </c>
      <c r="I615" t="n">
        <v>0</v>
      </c>
      <c r="J615" t="n">
        <v>0</v>
      </c>
      <c r="K615" t="n">
        <v>0</v>
      </c>
      <c r="L615" t="n">
        <v>0</v>
      </c>
      <c r="M615" t="n">
        <v>0</v>
      </c>
      <c r="N615" t="n">
        <v>0</v>
      </c>
      <c r="O615" t="n">
        <v>0</v>
      </c>
      <c r="P615" t="n">
        <v>0</v>
      </c>
      <c r="Q615" t="n">
        <v>0</v>
      </c>
      <c r="R615" s="2" t="inlineStr"/>
    </row>
    <row r="616" ht="15" customHeight="1">
      <c r="A616" t="inlineStr">
        <is>
          <t>A 8967-2025</t>
        </is>
      </c>
      <c r="B616" s="1" t="n">
        <v>45712</v>
      </c>
      <c r="C616" s="1" t="n">
        <v>46094</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7702-2023</t>
        </is>
      </c>
      <c r="B617" s="1" t="n">
        <v>44967</v>
      </c>
      <c r="C617" s="1" t="n">
        <v>46094</v>
      </c>
      <c r="D617" t="inlineStr">
        <is>
          <t>ÖSTERGÖTLANDS LÄN</t>
        </is>
      </c>
      <c r="E617" t="inlineStr">
        <is>
          <t>LINKÖPING</t>
        </is>
      </c>
      <c r="F617" t="inlineStr">
        <is>
          <t>Övriga statliga verk och myndigheter</t>
        </is>
      </c>
      <c r="G617" t="n">
        <v>8</v>
      </c>
      <c r="H617" t="n">
        <v>0</v>
      </c>
      <c r="I617" t="n">
        <v>0</v>
      </c>
      <c r="J617" t="n">
        <v>0</v>
      </c>
      <c r="K617" t="n">
        <v>0</v>
      </c>
      <c r="L617" t="n">
        <v>0</v>
      </c>
      <c r="M617" t="n">
        <v>0</v>
      </c>
      <c r="N617" t="n">
        <v>0</v>
      </c>
      <c r="O617" t="n">
        <v>0</v>
      </c>
      <c r="P617" t="n">
        <v>0</v>
      </c>
      <c r="Q617" t="n">
        <v>0</v>
      </c>
      <c r="R617" s="2" t="inlineStr"/>
    </row>
    <row r="618" ht="15" customHeight="1">
      <c r="A618" t="inlineStr">
        <is>
          <t>A 42000-2023</t>
        </is>
      </c>
      <c r="B618" s="1" t="n">
        <v>45177</v>
      </c>
      <c r="C618" s="1" t="n">
        <v>46094</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31534-2023</t>
        </is>
      </c>
      <c r="B619" s="1" t="n">
        <v>45116</v>
      </c>
      <c r="C619" s="1" t="n">
        <v>46094</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35427-2023</t>
        </is>
      </c>
      <c r="B620" s="1" t="n">
        <v>45146</v>
      </c>
      <c r="C620" s="1" t="n">
        <v>46094</v>
      </c>
      <c r="D620" t="inlineStr">
        <is>
          <t>ÖSTERGÖTLANDS LÄN</t>
        </is>
      </c>
      <c r="E620" t="inlineStr">
        <is>
          <t>LINKÖPING</t>
        </is>
      </c>
      <c r="F620" t="inlineStr">
        <is>
          <t>Övriga Aktiebolag</t>
        </is>
      </c>
      <c r="G620" t="n">
        <v>2.5</v>
      </c>
      <c r="H620" t="n">
        <v>0</v>
      </c>
      <c r="I620" t="n">
        <v>0</v>
      </c>
      <c r="J620" t="n">
        <v>0</v>
      </c>
      <c r="K620" t="n">
        <v>0</v>
      </c>
      <c r="L620" t="n">
        <v>0</v>
      </c>
      <c r="M620" t="n">
        <v>0</v>
      </c>
      <c r="N620" t="n">
        <v>0</v>
      </c>
      <c r="O620" t="n">
        <v>0</v>
      </c>
      <c r="P620" t="n">
        <v>0</v>
      </c>
      <c r="Q620" t="n">
        <v>0</v>
      </c>
      <c r="R620" s="2" t="inlineStr"/>
    </row>
    <row r="621" ht="15" customHeight="1">
      <c r="A621" t="inlineStr">
        <is>
          <t>A 36725-2023</t>
        </is>
      </c>
      <c r="B621" s="1" t="n">
        <v>45153.68471064815</v>
      </c>
      <c r="C621" s="1" t="n">
        <v>46094</v>
      </c>
      <c r="D621" t="inlineStr">
        <is>
          <t>ÖSTERGÖTLANDS LÄN</t>
        </is>
      </c>
      <c r="E621" t="inlineStr">
        <is>
          <t>LINKÖPING</t>
        </is>
      </c>
      <c r="F621" t="inlineStr">
        <is>
          <t>Allmännings- och besparingsskogar</t>
        </is>
      </c>
      <c r="G621" t="n">
        <v>2.6</v>
      </c>
      <c r="H621" t="n">
        <v>0</v>
      </c>
      <c r="I621" t="n">
        <v>0</v>
      </c>
      <c r="J621" t="n">
        <v>0</v>
      </c>
      <c r="K621" t="n">
        <v>0</v>
      </c>
      <c r="L621" t="n">
        <v>0</v>
      </c>
      <c r="M621" t="n">
        <v>0</v>
      </c>
      <c r="N621" t="n">
        <v>0</v>
      </c>
      <c r="O621" t="n">
        <v>0</v>
      </c>
      <c r="P621" t="n">
        <v>0</v>
      </c>
      <c r="Q621" t="n">
        <v>0</v>
      </c>
      <c r="R621" s="2" t="inlineStr"/>
    </row>
    <row r="622" ht="15" customHeight="1">
      <c r="A622" t="inlineStr">
        <is>
          <t>A 53639-2023</t>
        </is>
      </c>
      <c r="B622" s="1" t="n">
        <v>45230.59686342593</v>
      </c>
      <c r="C622" s="1" t="n">
        <v>46094</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1657-2024</t>
        </is>
      </c>
      <c r="B623" s="1" t="n">
        <v>45306.82501157407</v>
      </c>
      <c r="C623" s="1" t="n">
        <v>46094</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50784-2022</t>
        </is>
      </c>
      <c r="B624" s="1" t="n">
        <v>44862</v>
      </c>
      <c r="C624" s="1" t="n">
        <v>46094</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26803-2024</t>
        </is>
      </c>
      <c r="B625" s="1" t="n">
        <v>45470</v>
      </c>
      <c r="C625" s="1" t="n">
        <v>46094</v>
      </c>
      <c r="D625" t="inlineStr">
        <is>
          <t>ÖSTERGÖTLANDS LÄN</t>
        </is>
      </c>
      <c r="E625" t="inlineStr">
        <is>
          <t>LINKÖPING</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19187-2021</t>
        </is>
      </c>
      <c r="B626" s="1" t="n">
        <v>44308</v>
      </c>
      <c r="C626" s="1" t="n">
        <v>46094</v>
      </c>
      <c r="D626" t="inlineStr">
        <is>
          <t>ÖSTERGÖTLANDS LÄN</t>
        </is>
      </c>
      <c r="E626" t="inlineStr">
        <is>
          <t>LINKÖPING</t>
        </is>
      </c>
      <c r="F626" t="inlineStr">
        <is>
          <t>Allmännings- och besparingsskogar</t>
        </is>
      </c>
      <c r="G626" t="n">
        <v>20</v>
      </c>
      <c r="H626" t="n">
        <v>0</v>
      </c>
      <c r="I626" t="n">
        <v>0</v>
      </c>
      <c r="J626" t="n">
        <v>0</v>
      </c>
      <c r="K626" t="n">
        <v>0</v>
      </c>
      <c r="L626" t="n">
        <v>0</v>
      </c>
      <c r="M626" t="n">
        <v>0</v>
      </c>
      <c r="N626" t="n">
        <v>0</v>
      </c>
      <c r="O626" t="n">
        <v>0</v>
      </c>
      <c r="P626" t="n">
        <v>0</v>
      </c>
      <c r="Q626" t="n">
        <v>0</v>
      </c>
      <c r="R626" s="2" t="inlineStr"/>
    </row>
    <row r="627" ht="15" customHeight="1">
      <c r="A627" t="inlineStr">
        <is>
          <t>A 60472-2022</t>
        </is>
      </c>
      <c r="B627" s="1" t="n">
        <v>44911.41037037037</v>
      </c>
      <c r="C627" s="1" t="n">
        <v>46094</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43934-2023</t>
        </is>
      </c>
      <c r="B628" s="1" t="n">
        <v>45187</v>
      </c>
      <c r="C628" s="1" t="n">
        <v>46094</v>
      </c>
      <c r="D628" t="inlineStr">
        <is>
          <t>ÖSTERGÖTLANDS LÄN</t>
        </is>
      </c>
      <c r="E628" t="inlineStr">
        <is>
          <t>LINKÖPING</t>
        </is>
      </c>
      <c r="F628" t="inlineStr">
        <is>
          <t>Övriga Aktiebolag</t>
        </is>
      </c>
      <c r="G628" t="n">
        <v>3.8</v>
      </c>
      <c r="H628" t="n">
        <v>0</v>
      </c>
      <c r="I628" t="n">
        <v>0</v>
      </c>
      <c r="J628" t="n">
        <v>0</v>
      </c>
      <c r="K628" t="n">
        <v>0</v>
      </c>
      <c r="L628" t="n">
        <v>0</v>
      </c>
      <c r="M628" t="n">
        <v>0</v>
      </c>
      <c r="N628" t="n">
        <v>0</v>
      </c>
      <c r="O628" t="n">
        <v>0</v>
      </c>
      <c r="P628" t="n">
        <v>0</v>
      </c>
      <c r="Q628" t="n">
        <v>0</v>
      </c>
      <c r="R628" s="2" t="inlineStr"/>
    </row>
    <row r="629" ht="15" customHeight="1">
      <c r="A629" t="inlineStr">
        <is>
          <t>A 22774-2024</t>
        </is>
      </c>
      <c r="B629" s="1" t="n">
        <v>45448.46924768519</v>
      </c>
      <c r="C629" s="1" t="n">
        <v>46094</v>
      </c>
      <c r="D629" t="inlineStr">
        <is>
          <t>ÖSTERGÖTLANDS LÄN</t>
        </is>
      </c>
      <c r="E629" t="inlineStr">
        <is>
          <t>LINKÖPING</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22778-2024</t>
        </is>
      </c>
      <c r="B630" s="1" t="n">
        <v>45448.47233796296</v>
      </c>
      <c r="C630" s="1" t="n">
        <v>46094</v>
      </c>
      <c r="D630" t="inlineStr">
        <is>
          <t>ÖSTERGÖTLANDS LÄN</t>
        </is>
      </c>
      <c r="E630" t="inlineStr">
        <is>
          <t>LINKÖPING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1209-2023</t>
        </is>
      </c>
      <c r="B631" s="1" t="n">
        <v>44930</v>
      </c>
      <c r="C631" s="1" t="n">
        <v>46094</v>
      </c>
      <c r="D631" t="inlineStr">
        <is>
          <t>ÖSTERGÖTLANDS LÄN</t>
        </is>
      </c>
      <c r="E631" t="inlineStr">
        <is>
          <t>LINKÖPING</t>
        </is>
      </c>
      <c r="F631" t="inlineStr">
        <is>
          <t>Övriga statliga verk och myndigheter</t>
        </is>
      </c>
      <c r="G631" t="n">
        <v>25.8</v>
      </c>
      <c r="H631" t="n">
        <v>0</v>
      </c>
      <c r="I631" t="n">
        <v>0</v>
      </c>
      <c r="J631" t="n">
        <v>0</v>
      </c>
      <c r="K631" t="n">
        <v>0</v>
      </c>
      <c r="L631" t="n">
        <v>0</v>
      </c>
      <c r="M631" t="n">
        <v>0</v>
      </c>
      <c r="N631" t="n">
        <v>0</v>
      </c>
      <c r="O631" t="n">
        <v>0</v>
      </c>
      <c r="P631" t="n">
        <v>0</v>
      </c>
      <c r="Q631" t="n">
        <v>0</v>
      </c>
      <c r="R631" s="2" t="inlineStr"/>
    </row>
    <row r="632" ht="15" customHeight="1">
      <c r="A632" t="inlineStr">
        <is>
          <t>A 44170-2025</t>
        </is>
      </c>
      <c r="B632" s="1" t="n">
        <v>45915.59864583334</v>
      </c>
      <c r="C632" s="1" t="n">
        <v>46094</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10407-2025</t>
        </is>
      </c>
      <c r="B633" s="1" t="n">
        <v>45720.62863425926</v>
      </c>
      <c r="C633" s="1" t="n">
        <v>46094</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11590-2023</t>
        </is>
      </c>
      <c r="B634" s="1" t="n">
        <v>44994.36689814815</v>
      </c>
      <c r="C634" s="1" t="n">
        <v>46094</v>
      </c>
      <c r="D634" t="inlineStr">
        <is>
          <t>ÖSTERGÖTLANDS LÄN</t>
        </is>
      </c>
      <c r="E634" t="inlineStr">
        <is>
          <t>LINKÖPING</t>
        </is>
      </c>
      <c r="G634" t="n">
        <v>3.1</v>
      </c>
      <c r="H634" t="n">
        <v>0</v>
      </c>
      <c r="I634" t="n">
        <v>0</v>
      </c>
      <c r="J634" t="n">
        <v>0</v>
      </c>
      <c r="K634" t="n">
        <v>0</v>
      </c>
      <c r="L634" t="n">
        <v>0</v>
      </c>
      <c r="M634" t="n">
        <v>0</v>
      </c>
      <c r="N634" t="n">
        <v>0</v>
      </c>
      <c r="O634" t="n">
        <v>0</v>
      </c>
      <c r="P634" t="n">
        <v>0</v>
      </c>
      <c r="Q634" t="n">
        <v>0</v>
      </c>
      <c r="R634" s="2" t="inlineStr"/>
    </row>
    <row r="635" ht="15" customHeight="1">
      <c r="A635" t="inlineStr">
        <is>
          <t>A 43755-2025</t>
        </is>
      </c>
      <c r="B635" s="1" t="n">
        <v>45912.47329861111</v>
      </c>
      <c r="C635" s="1" t="n">
        <v>46094</v>
      </c>
      <c r="D635" t="inlineStr">
        <is>
          <t>ÖSTERGÖTLANDS LÄN</t>
        </is>
      </c>
      <c r="E635" t="inlineStr">
        <is>
          <t>LINKÖPING</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43758-2025</t>
        </is>
      </c>
      <c r="B636" s="1" t="n">
        <v>45912.47711805555</v>
      </c>
      <c r="C636" s="1" t="n">
        <v>46094</v>
      </c>
      <c r="D636" t="inlineStr">
        <is>
          <t>ÖSTERGÖTLANDS LÄN</t>
        </is>
      </c>
      <c r="E636" t="inlineStr">
        <is>
          <t>LINKÖPING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19169-2023</t>
        </is>
      </c>
      <c r="B637" s="1" t="n">
        <v>45044</v>
      </c>
      <c r="C637" s="1" t="n">
        <v>46094</v>
      </c>
      <c r="D637" t="inlineStr">
        <is>
          <t>ÖSTERGÖTLANDS LÄN</t>
        </is>
      </c>
      <c r="E637" t="inlineStr">
        <is>
          <t>LINKÖPING</t>
        </is>
      </c>
      <c r="G637" t="n">
        <v>2.7</v>
      </c>
      <c r="H637" t="n">
        <v>0</v>
      </c>
      <c r="I637" t="n">
        <v>0</v>
      </c>
      <c r="J637" t="n">
        <v>0</v>
      </c>
      <c r="K637" t="n">
        <v>0</v>
      </c>
      <c r="L637" t="n">
        <v>0</v>
      </c>
      <c r="M637" t="n">
        <v>0</v>
      </c>
      <c r="N637" t="n">
        <v>0</v>
      </c>
      <c r="O637" t="n">
        <v>0</v>
      </c>
      <c r="P637" t="n">
        <v>0</v>
      </c>
      <c r="Q637" t="n">
        <v>0</v>
      </c>
      <c r="R637" s="2" t="inlineStr"/>
    </row>
    <row r="638" ht="15" customHeight="1">
      <c r="A638" t="inlineStr">
        <is>
          <t>A 43753-2025</t>
        </is>
      </c>
      <c r="B638" s="1" t="n">
        <v>45912.4715625</v>
      </c>
      <c r="C638" s="1" t="n">
        <v>46094</v>
      </c>
      <c r="D638" t="inlineStr">
        <is>
          <t>ÖSTERGÖTLANDS LÄN</t>
        </is>
      </c>
      <c r="E638" t="inlineStr">
        <is>
          <t>LINKÖPING</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672-2024</t>
        </is>
      </c>
      <c r="B639" s="1" t="n">
        <v>45300</v>
      </c>
      <c r="C639" s="1" t="n">
        <v>46094</v>
      </c>
      <c r="D639" t="inlineStr">
        <is>
          <t>ÖSTERGÖTLANDS LÄN</t>
        </is>
      </c>
      <c r="E639" t="inlineStr">
        <is>
          <t>LINKÖPING</t>
        </is>
      </c>
      <c r="F639" t="inlineStr">
        <is>
          <t>Sveaskog</t>
        </is>
      </c>
      <c r="G639" t="n">
        <v>4.5</v>
      </c>
      <c r="H639" t="n">
        <v>0</v>
      </c>
      <c r="I639" t="n">
        <v>0</v>
      </c>
      <c r="J639" t="n">
        <v>0</v>
      </c>
      <c r="K639" t="n">
        <v>0</v>
      </c>
      <c r="L639" t="n">
        <v>0</v>
      </c>
      <c r="M639" t="n">
        <v>0</v>
      </c>
      <c r="N639" t="n">
        <v>0</v>
      </c>
      <c r="O639" t="n">
        <v>0</v>
      </c>
      <c r="P639" t="n">
        <v>0</v>
      </c>
      <c r="Q639" t="n">
        <v>0</v>
      </c>
      <c r="R639" s="2" t="inlineStr"/>
    </row>
    <row r="640" ht="15" customHeight="1">
      <c r="A640" t="inlineStr">
        <is>
          <t>A 55493-2021</t>
        </is>
      </c>
      <c r="B640" s="1" t="n">
        <v>44475.61988425926</v>
      </c>
      <c r="C640" s="1" t="n">
        <v>46094</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44759-2025</t>
        </is>
      </c>
      <c r="B641" s="1" t="n">
        <v>45917.7152662037</v>
      </c>
      <c r="C641" s="1" t="n">
        <v>46094</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44764-2025</t>
        </is>
      </c>
      <c r="B642" s="1" t="n">
        <v>45917.72821759259</v>
      </c>
      <c r="C642" s="1" t="n">
        <v>46094</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14093-2024</t>
        </is>
      </c>
      <c r="B643" s="1" t="n">
        <v>45392.60278935185</v>
      </c>
      <c r="C643" s="1" t="n">
        <v>46094</v>
      </c>
      <c r="D643" t="inlineStr">
        <is>
          <t>ÖSTERGÖTLANDS LÄN</t>
        </is>
      </c>
      <c r="E643" t="inlineStr">
        <is>
          <t>LINKÖPING</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62019-2024</t>
        </is>
      </c>
      <c r="B644" s="1" t="n">
        <v>45655.82</v>
      </c>
      <c r="C644" s="1" t="n">
        <v>46094</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25119-2023</t>
        </is>
      </c>
      <c r="B645" s="1" t="n">
        <v>45086.42326388889</v>
      </c>
      <c r="C645" s="1" t="n">
        <v>46094</v>
      </c>
      <c r="D645" t="inlineStr">
        <is>
          <t>ÖSTERGÖTLANDS LÄN</t>
        </is>
      </c>
      <c r="E645" t="inlineStr">
        <is>
          <t>LINKÖPING</t>
        </is>
      </c>
      <c r="G645" t="n">
        <v>3.2</v>
      </c>
      <c r="H645" t="n">
        <v>0</v>
      </c>
      <c r="I645" t="n">
        <v>0</v>
      </c>
      <c r="J645" t="n">
        <v>0</v>
      </c>
      <c r="K645" t="n">
        <v>0</v>
      </c>
      <c r="L645" t="n">
        <v>0</v>
      </c>
      <c r="M645" t="n">
        <v>0</v>
      </c>
      <c r="N645" t="n">
        <v>0</v>
      </c>
      <c r="O645" t="n">
        <v>0</v>
      </c>
      <c r="P645" t="n">
        <v>0</v>
      </c>
      <c r="Q645" t="n">
        <v>0</v>
      </c>
      <c r="R645" s="2" t="inlineStr"/>
    </row>
    <row r="646" ht="15" customHeight="1">
      <c r="A646" t="inlineStr">
        <is>
          <t>A 57396-2021</t>
        </is>
      </c>
      <c r="B646" s="1" t="n">
        <v>44483.56151620371</v>
      </c>
      <c r="C646" s="1" t="n">
        <v>46094</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51571-2024</t>
        </is>
      </c>
      <c r="B647" s="1" t="n">
        <v>45604</v>
      </c>
      <c r="C647" s="1" t="n">
        <v>46094</v>
      </c>
      <c r="D647" t="inlineStr">
        <is>
          <t>ÖSTERGÖTLANDS LÄN</t>
        </is>
      </c>
      <c r="E647" t="inlineStr">
        <is>
          <t>LINKÖPING</t>
        </is>
      </c>
      <c r="F647" t="inlineStr">
        <is>
          <t>Övriga Aktiebolag</t>
        </is>
      </c>
      <c r="G647" t="n">
        <v>1.4</v>
      </c>
      <c r="H647" t="n">
        <v>0</v>
      </c>
      <c r="I647" t="n">
        <v>0</v>
      </c>
      <c r="J647" t="n">
        <v>0</v>
      </c>
      <c r="K647" t="n">
        <v>0</v>
      </c>
      <c r="L647" t="n">
        <v>0</v>
      </c>
      <c r="M647" t="n">
        <v>0</v>
      </c>
      <c r="N647" t="n">
        <v>0</v>
      </c>
      <c r="O647" t="n">
        <v>0</v>
      </c>
      <c r="P647" t="n">
        <v>0</v>
      </c>
      <c r="Q647" t="n">
        <v>0</v>
      </c>
      <c r="R647" s="2" t="inlineStr"/>
    </row>
    <row r="648" ht="15" customHeight="1">
      <c r="A648" t="inlineStr">
        <is>
          <t>A 17143-2025</t>
        </is>
      </c>
      <c r="B648" s="1" t="n">
        <v>45755.92731481481</v>
      </c>
      <c r="C648" s="1" t="n">
        <v>46094</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45112-2025</t>
        </is>
      </c>
      <c r="B649" s="1" t="n">
        <v>45919</v>
      </c>
      <c r="C649" s="1" t="n">
        <v>46094</v>
      </c>
      <c r="D649" t="inlineStr">
        <is>
          <t>ÖSTERGÖTLANDS LÄN</t>
        </is>
      </c>
      <c r="E649" t="inlineStr">
        <is>
          <t>LINKÖPING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17124-2025</t>
        </is>
      </c>
      <c r="B650" s="1" t="n">
        <v>45755.69678240741</v>
      </c>
      <c r="C650" s="1" t="n">
        <v>46094</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17126-2025</t>
        </is>
      </c>
      <c r="B651" s="1" t="n">
        <v>45755.70814814815</v>
      </c>
      <c r="C651" s="1" t="n">
        <v>46094</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45634-2025</t>
        </is>
      </c>
      <c r="B652" s="1" t="n">
        <v>45922.85089120371</v>
      </c>
      <c r="C652" s="1" t="n">
        <v>46094</v>
      </c>
      <c r="D652" t="inlineStr">
        <is>
          <t>ÖSTERGÖTLANDS LÄN</t>
        </is>
      </c>
      <c r="E652" t="inlineStr">
        <is>
          <t>LINKÖPING</t>
        </is>
      </c>
      <c r="F652" t="inlineStr">
        <is>
          <t>Övriga Aktiebolag</t>
        </is>
      </c>
      <c r="G652" t="n">
        <v>0.3</v>
      </c>
      <c r="H652" t="n">
        <v>0</v>
      </c>
      <c r="I652" t="n">
        <v>0</v>
      </c>
      <c r="J652" t="n">
        <v>0</v>
      </c>
      <c r="K652" t="n">
        <v>0</v>
      </c>
      <c r="L652" t="n">
        <v>0</v>
      </c>
      <c r="M652" t="n">
        <v>0</v>
      </c>
      <c r="N652" t="n">
        <v>0</v>
      </c>
      <c r="O652" t="n">
        <v>0</v>
      </c>
      <c r="P652" t="n">
        <v>0</v>
      </c>
      <c r="Q652" t="n">
        <v>0</v>
      </c>
      <c r="R652" s="2" t="inlineStr"/>
    </row>
    <row r="653" ht="15" customHeight="1">
      <c r="A653" t="inlineStr">
        <is>
          <t>A 31640-2023</t>
        </is>
      </c>
      <c r="B653" s="1" t="n">
        <v>45117</v>
      </c>
      <c r="C653" s="1" t="n">
        <v>46094</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11790-2024</t>
        </is>
      </c>
      <c r="B654" s="1" t="n">
        <v>45374</v>
      </c>
      <c r="C654" s="1" t="n">
        <v>46094</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45792-2025</t>
        </is>
      </c>
      <c r="B655" s="1" t="n">
        <v>45923.56998842592</v>
      </c>
      <c r="C655" s="1" t="n">
        <v>46094</v>
      </c>
      <c r="D655" t="inlineStr">
        <is>
          <t>ÖSTERGÖTLANDS LÄN</t>
        </is>
      </c>
      <c r="E655" t="inlineStr">
        <is>
          <t>LINKÖPING</t>
        </is>
      </c>
      <c r="G655" t="n">
        <v>2.6</v>
      </c>
      <c r="H655" t="n">
        <v>0</v>
      </c>
      <c r="I655" t="n">
        <v>0</v>
      </c>
      <c r="J655" t="n">
        <v>0</v>
      </c>
      <c r="K655" t="n">
        <v>0</v>
      </c>
      <c r="L655" t="n">
        <v>0</v>
      </c>
      <c r="M655" t="n">
        <v>0</v>
      </c>
      <c r="N655" t="n">
        <v>0</v>
      </c>
      <c r="O655" t="n">
        <v>0</v>
      </c>
      <c r="P655" t="n">
        <v>0</v>
      </c>
      <c r="Q655" t="n">
        <v>0</v>
      </c>
      <c r="R655" s="2" t="inlineStr"/>
    </row>
    <row r="656" ht="15" customHeight="1">
      <c r="A656" t="inlineStr">
        <is>
          <t>A 45804-2025</t>
        </is>
      </c>
      <c r="B656" s="1" t="n">
        <v>45923.5819675926</v>
      </c>
      <c r="C656" s="1" t="n">
        <v>46094</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46426-2025</t>
        </is>
      </c>
      <c r="B657" s="1" t="n">
        <v>45925.6012962963</v>
      </c>
      <c r="C657" s="1" t="n">
        <v>46094</v>
      </c>
      <c r="D657" t="inlineStr">
        <is>
          <t>ÖSTERGÖTLANDS LÄN</t>
        </is>
      </c>
      <c r="E657" t="inlineStr">
        <is>
          <t>LINKÖPING</t>
        </is>
      </c>
      <c r="G657" t="n">
        <v>4.4</v>
      </c>
      <c r="H657" t="n">
        <v>0</v>
      </c>
      <c r="I657" t="n">
        <v>0</v>
      </c>
      <c r="J657" t="n">
        <v>0</v>
      </c>
      <c r="K657" t="n">
        <v>0</v>
      </c>
      <c r="L657" t="n">
        <v>0</v>
      </c>
      <c r="M657" t="n">
        <v>0</v>
      </c>
      <c r="N657" t="n">
        <v>0</v>
      </c>
      <c r="O657" t="n">
        <v>0</v>
      </c>
      <c r="P657" t="n">
        <v>0</v>
      </c>
      <c r="Q657" t="n">
        <v>0</v>
      </c>
      <c r="R657" s="2" t="inlineStr"/>
    </row>
    <row r="658" ht="15" customHeight="1">
      <c r="A658" t="inlineStr">
        <is>
          <t>A 46428-2025</t>
        </is>
      </c>
      <c r="B658" s="1" t="n">
        <v>45925.60758101852</v>
      </c>
      <c r="C658" s="1" t="n">
        <v>46094</v>
      </c>
      <c r="D658" t="inlineStr">
        <is>
          <t>ÖSTERGÖTLANDS LÄN</t>
        </is>
      </c>
      <c r="E658" t="inlineStr">
        <is>
          <t>LINKÖPING</t>
        </is>
      </c>
      <c r="G658" t="n">
        <v>3</v>
      </c>
      <c r="H658" t="n">
        <v>0</v>
      </c>
      <c r="I658" t="n">
        <v>0</v>
      </c>
      <c r="J658" t="n">
        <v>0</v>
      </c>
      <c r="K658" t="n">
        <v>0</v>
      </c>
      <c r="L658" t="n">
        <v>0</v>
      </c>
      <c r="M658" t="n">
        <v>0</v>
      </c>
      <c r="N658" t="n">
        <v>0</v>
      </c>
      <c r="O658" t="n">
        <v>0</v>
      </c>
      <c r="P658" t="n">
        <v>0</v>
      </c>
      <c r="Q658" t="n">
        <v>0</v>
      </c>
      <c r="R658" s="2" t="inlineStr"/>
    </row>
    <row r="659" ht="15" customHeight="1">
      <c r="A659" t="inlineStr">
        <is>
          <t>A 46377-2025</t>
        </is>
      </c>
      <c r="B659" s="1" t="n">
        <v>45925.51773148148</v>
      </c>
      <c r="C659" s="1" t="n">
        <v>46094</v>
      </c>
      <c r="D659" t="inlineStr">
        <is>
          <t>ÖSTERGÖTLANDS LÄN</t>
        </is>
      </c>
      <c r="E659" t="inlineStr">
        <is>
          <t>LINKÖPING</t>
        </is>
      </c>
      <c r="G659" t="n">
        <v>3.1</v>
      </c>
      <c r="H659" t="n">
        <v>0</v>
      </c>
      <c r="I659" t="n">
        <v>0</v>
      </c>
      <c r="J659" t="n">
        <v>0</v>
      </c>
      <c r="K659" t="n">
        <v>0</v>
      </c>
      <c r="L659" t="n">
        <v>0</v>
      </c>
      <c r="M659" t="n">
        <v>0</v>
      </c>
      <c r="N659" t="n">
        <v>0</v>
      </c>
      <c r="O659" t="n">
        <v>0</v>
      </c>
      <c r="P659" t="n">
        <v>0</v>
      </c>
      <c r="Q659" t="n">
        <v>0</v>
      </c>
      <c r="R659" s="2" t="inlineStr"/>
    </row>
    <row r="660" ht="15" customHeight="1">
      <c r="A660" t="inlineStr">
        <is>
          <t>A 46847-2025</t>
        </is>
      </c>
      <c r="B660" s="1" t="n">
        <v>45928.69971064815</v>
      </c>
      <c r="C660" s="1" t="n">
        <v>46094</v>
      </c>
      <c r="D660" t="inlineStr">
        <is>
          <t>ÖSTERGÖTLANDS LÄN</t>
        </is>
      </c>
      <c r="E660" t="inlineStr">
        <is>
          <t>LINKÖPING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47233-2025</t>
        </is>
      </c>
      <c r="B661" s="1" t="n">
        <v>45930.40612268518</v>
      </c>
      <c r="C661" s="1" t="n">
        <v>46094</v>
      </c>
      <c r="D661" t="inlineStr">
        <is>
          <t>ÖSTERGÖTLANDS LÄN</t>
        </is>
      </c>
      <c r="E661" t="inlineStr">
        <is>
          <t>LINKÖPING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47606-2025</t>
        </is>
      </c>
      <c r="B662" s="1" t="n">
        <v>45931.46402777778</v>
      </c>
      <c r="C662" s="1" t="n">
        <v>46094</v>
      </c>
      <c r="D662" t="inlineStr">
        <is>
          <t>ÖSTERGÖTLANDS LÄN</t>
        </is>
      </c>
      <c r="E662" t="inlineStr">
        <is>
          <t>LINKÖPING</t>
        </is>
      </c>
      <c r="G662" t="n">
        <v>0.8</v>
      </c>
      <c r="H662" t="n">
        <v>0</v>
      </c>
      <c r="I662" t="n">
        <v>0</v>
      </c>
      <c r="J662" t="n">
        <v>0</v>
      </c>
      <c r="K662" t="n">
        <v>0</v>
      </c>
      <c r="L662" t="n">
        <v>0</v>
      </c>
      <c r="M662" t="n">
        <v>0</v>
      </c>
      <c r="N662" t="n">
        <v>0</v>
      </c>
      <c r="O662" t="n">
        <v>0</v>
      </c>
      <c r="P662" t="n">
        <v>0</v>
      </c>
      <c r="Q662" t="n">
        <v>0</v>
      </c>
      <c r="R662" s="2" t="inlineStr"/>
    </row>
    <row r="663" ht="15" customHeight="1">
      <c r="A663" t="inlineStr">
        <is>
          <t>A 47304-2025</t>
        </is>
      </c>
      <c r="B663" s="1" t="n">
        <v>45930.52037037037</v>
      </c>
      <c r="C663" s="1" t="n">
        <v>46094</v>
      </c>
      <c r="D663" t="inlineStr">
        <is>
          <t>ÖSTERGÖTLANDS LÄN</t>
        </is>
      </c>
      <c r="E663" t="inlineStr">
        <is>
          <t>LINKÖPING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48343-2025</t>
        </is>
      </c>
      <c r="B664" s="1" t="n">
        <v>45932</v>
      </c>
      <c r="C664" s="1" t="n">
        <v>46094</v>
      </c>
      <c r="D664" t="inlineStr">
        <is>
          <t>ÖSTERGÖTLANDS LÄN</t>
        </is>
      </c>
      <c r="E664" t="inlineStr">
        <is>
          <t>LINKÖPING</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48266-2025</t>
        </is>
      </c>
      <c r="B665" s="1" t="n">
        <v>45932</v>
      </c>
      <c r="C665" s="1" t="n">
        <v>46094</v>
      </c>
      <c r="D665" t="inlineStr">
        <is>
          <t>ÖSTERGÖTLANDS LÄN</t>
        </is>
      </c>
      <c r="E665" t="inlineStr">
        <is>
          <t>LINKÖPING</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48254-2025</t>
        </is>
      </c>
      <c r="B666" s="1" t="n">
        <v>45932</v>
      </c>
      <c r="C666" s="1" t="n">
        <v>46094</v>
      </c>
      <c r="D666" t="inlineStr">
        <is>
          <t>ÖSTERGÖTLANDS LÄN</t>
        </is>
      </c>
      <c r="E666" t="inlineStr">
        <is>
          <t>LINKÖPING</t>
        </is>
      </c>
      <c r="F666" t="inlineStr">
        <is>
          <t>Övriga Aktiebolag</t>
        </is>
      </c>
      <c r="G666" t="n">
        <v>0.8</v>
      </c>
      <c r="H666" t="n">
        <v>0</v>
      </c>
      <c r="I666" t="n">
        <v>0</v>
      </c>
      <c r="J666" t="n">
        <v>0</v>
      </c>
      <c r="K666" t="n">
        <v>0</v>
      </c>
      <c r="L666" t="n">
        <v>0</v>
      </c>
      <c r="M666" t="n">
        <v>0</v>
      </c>
      <c r="N666" t="n">
        <v>0</v>
      </c>
      <c r="O666" t="n">
        <v>0</v>
      </c>
      <c r="P666" t="n">
        <v>0</v>
      </c>
      <c r="Q666" t="n">
        <v>0</v>
      </c>
      <c r="R666" s="2" t="inlineStr"/>
    </row>
    <row r="667" ht="15" customHeight="1">
      <c r="A667" t="inlineStr">
        <is>
          <t>A 49455-2025</t>
        </is>
      </c>
      <c r="B667" s="1" t="n">
        <v>45938</v>
      </c>
      <c r="C667" s="1" t="n">
        <v>46094</v>
      </c>
      <c r="D667" t="inlineStr">
        <is>
          <t>ÖSTERGÖTLANDS LÄN</t>
        </is>
      </c>
      <c r="E667" t="inlineStr">
        <is>
          <t>LINKÖPING</t>
        </is>
      </c>
      <c r="F667" t="inlineStr">
        <is>
          <t>Övriga Aktiebolag</t>
        </is>
      </c>
      <c r="G667" t="n">
        <v>5.9</v>
      </c>
      <c r="H667" t="n">
        <v>0</v>
      </c>
      <c r="I667" t="n">
        <v>0</v>
      </c>
      <c r="J667" t="n">
        <v>0</v>
      </c>
      <c r="K667" t="n">
        <v>0</v>
      </c>
      <c r="L667" t="n">
        <v>0</v>
      </c>
      <c r="M667" t="n">
        <v>0</v>
      </c>
      <c r="N667" t="n">
        <v>0</v>
      </c>
      <c r="O667" t="n">
        <v>0</v>
      </c>
      <c r="P667" t="n">
        <v>0</v>
      </c>
      <c r="Q667" t="n">
        <v>0</v>
      </c>
      <c r="R667" s="2" t="inlineStr"/>
    </row>
    <row r="668" ht="15" customHeight="1">
      <c r="A668" t="inlineStr">
        <is>
          <t>A 49605-2025</t>
        </is>
      </c>
      <c r="B668" s="1" t="n">
        <v>45938</v>
      </c>
      <c r="C668" s="1" t="n">
        <v>46094</v>
      </c>
      <c r="D668" t="inlineStr">
        <is>
          <t>ÖSTERGÖTLANDS LÄN</t>
        </is>
      </c>
      <c r="E668" t="inlineStr">
        <is>
          <t>LINKÖPING</t>
        </is>
      </c>
      <c r="F668" t="inlineStr">
        <is>
          <t>Övriga Aktiebolag</t>
        </is>
      </c>
      <c r="G668" t="n">
        <v>3.3</v>
      </c>
      <c r="H668" t="n">
        <v>0</v>
      </c>
      <c r="I668" t="n">
        <v>0</v>
      </c>
      <c r="J668" t="n">
        <v>0</v>
      </c>
      <c r="K668" t="n">
        <v>0</v>
      </c>
      <c r="L668" t="n">
        <v>0</v>
      </c>
      <c r="M668" t="n">
        <v>0</v>
      </c>
      <c r="N668" t="n">
        <v>0</v>
      </c>
      <c r="O668" t="n">
        <v>0</v>
      </c>
      <c r="P668" t="n">
        <v>0</v>
      </c>
      <c r="Q668" t="n">
        <v>0</v>
      </c>
      <c r="R668" s="2" t="inlineStr"/>
    </row>
    <row r="669" ht="15" customHeight="1">
      <c r="A669" t="inlineStr">
        <is>
          <t>A 49663-2025</t>
        </is>
      </c>
      <c r="B669" s="1" t="n">
        <v>45938</v>
      </c>
      <c r="C669" s="1" t="n">
        <v>46094</v>
      </c>
      <c r="D669" t="inlineStr">
        <is>
          <t>ÖSTERGÖTLANDS LÄN</t>
        </is>
      </c>
      <c r="E669" t="inlineStr">
        <is>
          <t>LINKÖPING</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49632-2025</t>
        </is>
      </c>
      <c r="B670" s="1" t="n">
        <v>45938</v>
      </c>
      <c r="C670" s="1" t="n">
        <v>46094</v>
      </c>
      <c r="D670" t="inlineStr">
        <is>
          <t>ÖSTERGÖTLANDS LÄN</t>
        </is>
      </c>
      <c r="E670" t="inlineStr">
        <is>
          <t>LINKÖPING</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49647-2025</t>
        </is>
      </c>
      <c r="B671" s="1" t="n">
        <v>45938</v>
      </c>
      <c r="C671" s="1" t="n">
        <v>46094</v>
      </c>
      <c r="D671" t="inlineStr">
        <is>
          <t>ÖSTERGÖTLANDS LÄN</t>
        </is>
      </c>
      <c r="E671" t="inlineStr">
        <is>
          <t>LINKÖPING</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49652-2025</t>
        </is>
      </c>
      <c r="B672" s="1" t="n">
        <v>45938</v>
      </c>
      <c r="C672" s="1" t="n">
        <v>46094</v>
      </c>
      <c r="D672" t="inlineStr">
        <is>
          <t>ÖSTERGÖTLANDS LÄN</t>
        </is>
      </c>
      <c r="E672" t="inlineStr">
        <is>
          <t>LINKÖPING</t>
        </is>
      </c>
      <c r="F672" t="inlineStr">
        <is>
          <t>Övriga Aktiebolag</t>
        </is>
      </c>
      <c r="G672" t="n">
        <v>1.8</v>
      </c>
      <c r="H672" t="n">
        <v>0</v>
      </c>
      <c r="I672" t="n">
        <v>0</v>
      </c>
      <c r="J672" t="n">
        <v>0</v>
      </c>
      <c r="K672" t="n">
        <v>0</v>
      </c>
      <c r="L672" t="n">
        <v>0</v>
      </c>
      <c r="M672" t="n">
        <v>0</v>
      </c>
      <c r="N672" t="n">
        <v>0</v>
      </c>
      <c r="O672" t="n">
        <v>0</v>
      </c>
      <c r="P672" t="n">
        <v>0</v>
      </c>
      <c r="Q672" t="n">
        <v>0</v>
      </c>
      <c r="R672" s="2" t="inlineStr"/>
    </row>
    <row r="673" ht="15" customHeight="1">
      <c r="A673" t="inlineStr">
        <is>
          <t>A 49654-2025</t>
        </is>
      </c>
      <c r="B673" s="1" t="n">
        <v>45938</v>
      </c>
      <c r="C673" s="1" t="n">
        <v>46094</v>
      </c>
      <c r="D673" t="inlineStr">
        <is>
          <t>ÖSTERGÖTLANDS LÄN</t>
        </is>
      </c>
      <c r="E673" t="inlineStr">
        <is>
          <t>LINKÖPING</t>
        </is>
      </c>
      <c r="F673" t="inlineStr">
        <is>
          <t>Övriga Aktiebolag</t>
        </is>
      </c>
      <c r="G673" t="n">
        <v>3.1</v>
      </c>
      <c r="H673" t="n">
        <v>0</v>
      </c>
      <c r="I673" t="n">
        <v>0</v>
      </c>
      <c r="J673" t="n">
        <v>0</v>
      </c>
      <c r="K673" t="n">
        <v>0</v>
      </c>
      <c r="L673" t="n">
        <v>0</v>
      </c>
      <c r="M673" t="n">
        <v>0</v>
      </c>
      <c r="N673" t="n">
        <v>0</v>
      </c>
      <c r="O673" t="n">
        <v>0</v>
      </c>
      <c r="P673" t="n">
        <v>0</v>
      </c>
      <c r="Q673" t="n">
        <v>0</v>
      </c>
      <c r="R673" s="2" t="inlineStr"/>
    </row>
    <row r="674" ht="15" customHeight="1">
      <c r="A674" t="inlineStr">
        <is>
          <t>A 49615-2025</t>
        </is>
      </c>
      <c r="B674" s="1" t="n">
        <v>45938</v>
      </c>
      <c r="C674" s="1" t="n">
        <v>46094</v>
      </c>
      <c r="D674" t="inlineStr">
        <is>
          <t>ÖSTERGÖTLANDS LÄN</t>
        </is>
      </c>
      <c r="E674" t="inlineStr">
        <is>
          <t>LINKÖPING</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49619-2025</t>
        </is>
      </c>
      <c r="B675" s="1" t="n">
        <v>45938</v>
      </c>
      <c r="C675" s="1" t="n">
        <v>46094</v>
      </c>
      <c r="D675" t="inlineStr">
        <is>
          <t>ÖSTERGÖTLANDS LÄN</t>
        </is>
      </c>
      <c r="E675" t="inlineStr">
        <is>
          <t>LINKÖPING</t>
        </is>
      </c>
      <c r="F675" t="inlineStr">
        <is>
          <t>Övriga Aktiebolag</t>
        </is>
      </c>
      <c r="G675" t="n">
        <v>2.3</v>
      </c>
      <c r="H675" t="n">
        <v>0</v>
      </c>
      <c r="I675" t="n">
        <v>0</v>
      </c>
      <c r="J675" t="n">
        <v>0</v>
      </c>
      <c r="K675" t="n">
        <v>0</v>
      </c>
      <c r="L675" t="n">
        <v>0</v>
      </c>
      <c r="M675" t="n">
        <v>0</v>
      </c>
      <c r="N675" t="n">
        <v>0</v>
      </c>
      <c r="O675" t="n">
        <v>0</v>
      </c>
      <c r="P675" t="n">
        <v>0</v>
      </c>
      <c r="Q675" t="n">
        <v>0</v>
      </c>
      <c r="R675" s="2" t="inlineStr"/>
    </row>
    <row r="676" ht="15" customHeight="1">
      <c r="A676" t="inlineStr">
        <is>
          <t>A 49629-2025</t>
        </is>
      </c>
      <c r="B676" s="1" t="n">
        <v>45938</v>
      </c>
      <c r="C676" s="1" t="n">
        <v>46094</v>
      </c>
      <c r="D676" t="inlineStr">
        <is>
          <t>ÖSTERGÖTLANDS LÄN</t>
        </is>
      </c>
      <c r="E676" t="inlineStr">
        <is>
          <t>LINKÖPING</t>
        </is>
      </c>
      <c r="F676" t="inlineStr">
        <is>
          <t>Övriga Aktiebolag</t>
        </is>
      </c>
      <c r="G676" t="n">
        <v>4.5</v>
      </c>
      <c r="H676" t="n">
        <v>0</v>
      </c>
      <c r="I676" t="n">
        <v>0</v>
      </c>
      <c r="J676" t="n">
        <v>0</v>
      </c>
      <c r="K676" t="n">
        <v>0</v>
      </c>
      <c r="L676" t="n">
        <v>0</v>
      </c>
      <c r="M676" t="n">
        <v>0</v>
      </c>
      <c r="N676" t="n">
        <v>0</v>
      </c>
      <c r="O676" t="n">
        <v>0</v>
      </c>
      <c r="P676" t="n">
        <v>0</v>
      </c>
      <c r="Q676" t="n">
        <v>0</v>
      </c>
      <c r="R676" s="2" t="inlineStr"/>
    </row>
    <row r="677" ht="15" customHeight="1">
      <c r="A677" t="inlineStr">
        <is>
          <t>A 49650-2025</t>
        </is>
      </c>
      <c r="B677" s="1" t="n">
        <v>45938</v>
      </c>
      <c r="C677" s="1" t="n">
        <v>46094</v>
      </c>
      <c r="D677" t="inlineStr">
        <is>
          <t>ÖSTERGÖTLANDS LÄN</t>
        </is>
      </c>
      <c r="E677" t="inlineStr">
        <is>
          <t>LINKÖPING</t>
        </is>
      </c>
      <c r="F677" t="inlineStr">
        <is>
          <t>Övriga Aktiebolag</t>
        </is>
      </c>
      <c r="G677" t="n">
        <v>1.5</v>
      </c>
      <c r="H677" t="n">
        <v>0</v>
      </c>
      <c r="I677" t="n">
        <v>0</v>
      </c>
      <c r="J677" t="n">
        <v>0</v>
      </c>
      <c r="K677" t="n">
        <v>0</v>
      </c>
      <c r="L677" t="n">
        <v>0</v>
      </c>
      <c r="M677" t="n">
        <v>0</v>
      </c>
      <c r="N677" t="n">
        <v>0</v>
      </c>
      <c r="O677" t="n">
        <v>0</v>
      </c>
      <c r="P677" t="n">
        <v>0</v>
      </c>
      <c r="Q677" t="n">
        <v>0</v>
      </c>
      <c r="R677" s="2" t="inlineStr"/>
    </row>
    <row r="678" ht="15" customHeight="1">
      <c r="A678" t="inlineStr">
        <is>
          <t>A 49633-2025</t>
        </is>
      </c>
      <c r="B678" s="1" t="n">
        <v>45938</v>
      </c>
      <c r="C678" s="1" t="n">
        <v>46094</v>
      </c>
      <c r="D678" t="inlineStr">
        <is>
          <t>ÖSTERGÖTLANDS LÄN</t>
        </is>
      </c>
      <c r="E678" t="inlineStr">
        <is>
          <t>LINKÖPING</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40983-2025</t>
        </is>
      </c>
      <c r="B679" s="1" t="n">
        <v>45898</v>
      </c>
      <c r="C679" s="1" t="n">
        <v>46094</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50056-2025</t>
        </is>
      </c>
      <c r="B680" s="1" t="n">
        <v>45941</v>
      </c>
      <c r="C680" s="1" t="n">
        <v>46094</v>
      </c>
      <c r="D680" t="inlineStr">
        <is>
          <t>ÖSTERGÖTLANDS LÄN</t>
        </is>
      </c>
      <c r="E680" t="inlineStr">
        <is>
          <t>LINKÖPING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50667-2025</t>
        </is>
      </c>
      <c r="B681" s="1" t="n">
        <v>45945</v>
      </c>
      <c r="C681" s="1" t="n">
        <v>46094</v>
      </c>
      <c r="D681" t="inlineStr">
        <is>
          <t>ÖSTERGÖTLANDS LÄN</t>
        </is>
      </c>
      <c r="E681" t="inlineStr">
        <is>
          <t>LINKÖPING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51802-2025</t>
        </is>
      </c>
      <c r="B682" s="1" t="n">
        <v>45950</v>
      </c>
      <c r="C682" s="1" t="n">
        <v>46094</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52111-2025</t>
        </is>
      </c>
      <c r="B683" s="1" t="n">
        <v>45952.69527777778</v>
      </c>
      <c r="C683" s="1" t="n">
        <v>46094</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52740-2025</t>
        </is>
      </c>
      <c r="B684" s="1" t="n">
        <v>45957.37747685185</v>
      </c>
      <c r="C684" s="1" t="n">
        <v>46094</v>
      </c>
      <c r="D684" t="inlineStr">
        <is>
          <t>ÖSTERGÖTLANDS LÄN</t>
        </is>
      </c>
      <c r="E684" t="inlineStr">
        <is>
          <t>LINKÖPING</t>
        </is>
      </c>
      <c r="G684" t="n">
        <v>3.7</v>
      </c>
      <c r="H684" t="n">
        <v>0</v>
      </c>
      <c r="I684" t="n">
        <v>0</v>
      </c>
      <c r="J684" t="n">
        <v>0</v>
      </c>
      <c r="K684" t="n">
        <v>0</v>
      </c>
      <c r="L684" t="n">
        <v>0</v>
      </c>
      <c r="M684" t="n">
        <v>0</v>
      </c>
      <c r="N684" t="n">
        <v>0</v>
      </c>
      <c r="O684" t="n">
        <v>0</v>
      </c>
      <c r="P684" t="n">
        <v>0</v>
      </c>
      <c r="Q684" t="n">
        <v>0</v>
      </c>
      <c r="R684" s="2" t="inlineStr"/>
    </row>
    <row r="685" ht="15" customHeight="1">
      <c r="A685" t="inlineStr">
        <is>
          <t>A 52800-2025</t>
        </is>
      </c>
      <c r="B685" s="1" t="n">
        <v>45957.44152777778</v>
      </c>
      <c r="C685" s="1" t="n">
        <v>46094</v>
      </c>
      <c r="D685" t="inlineStr">
        <is>
          <t>ÖSTERGÖTLANDS LÄN</t>
        </is>
      </c>
      <c r="E685" t="inlineStr">
        <is>
          <t>LINKÖPING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52802-2025</t>
        </is>
      </c>
      <c r="B686" s="1" t="n">
        <v>45957.44295138889</v>
      </c>
      <c r="C686" s="1" t="n">
        <v>46094</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52743-2025</t>
        </is>
      </c>
      <c r="B687" s="1" t="n">
        <v>45957.38039351852</v>
      </c>
      <c r="C687" s="1" t="n">
        <v>46094</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52807-2025</t>
        </is>
      </c>
      <c r="B688" s="1" t="n">
        <v>45957.44837962963</v>
      </c>
      <c r="C688" s="1" t="n">
        <v>46094</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54332-2025</t>
        </is>
      </c>
      <c r="B689" s="1" t="n">
        <v>45965.34915509259</v>
      </c>
      <c r="C689" s="1" t="n">
        <v>46094</v>
      </c>
      <c r="D689" t="inlineStr">
        <is>
          <t>ÖSTERGÖTLANDS LÄN</t>
        </is>
      </c>
      <c r="E689" t="inlineStr">
        <is>
          <t>LINKÖPING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54329-2025</t>
        </is>
      </c>
      <c r="B690" s="1" t="n">
        <v>45965.34706018519</v>
      </c>
      <c r="C690" s="1" t="n">
        <v>46094</v>
      </c>
      <c r="D690" t="inlineStr">
        <is>
          <t>ÖSTERGÖTLANDS LÄN</t>
        </is>
      </c>
      <c r="E690" t="inlineStr">
        <is>
          <t>LINKÖPING</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54333-2025</t>
        </is>
      </c>
      <c r="B691" s="1" t="n">
        <v>45965.35090277778</v>
      </c>
      <c r="C691" s="1" t="n">
        <v>46094</v>
      </c>
      <c r="D691" t="inlineStr">
        <is>
          <t>ÖSTERGÖTLANDS LÄN</t>
        </is>
      </c>
      <c r="E691" t="inlineStr">
        <is>
          <t>LINKÖPING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55102-2025</t>
        </is>
      </c>
      <c r="B692" s="1" t="n">
        <v>45968.35410879629</v>
      </c>
      <c r="C692" s="1" t="n">
        <v>46094</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55132-2025</t>
        </is>
      </c>
      <c r="B693" s="1" t="n">
        <v>45968.41912037037</v>
      </c>
      <c r="C693" s="1" t="n">
        <v>46094</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55109-2025</t>
        </is>
      </c>
      <c r="B694" s="1" t="n">
        <v>45968.37731481482</v>
      </c>
      <c r="C694" s="1" t="n">
        <v>46094</v>
      </c>
      <c r="D694" t="inlineStr">
        <is>
          <t>ÖSTERGÖTLANDS LÄN</t>
        </is>
      </c>
      <c r="E694" t="inlineStr">
        <is>
          <t>LINKÖPING</t>
        </is>
      </c>
      <c r="G694" t="n">
        <v>3.2</v>
      </c>
      <c r="H694" t="n">
        <v>0</v>
      </c>
      <c r="I694" t="n">
        <v>0</v>
      </c>
      <c r="J694" t="n">
        <v>0</v>
      </c>
      <c r="K694" t="n">
        <v>0</v>
      </c>
      <c r="L694" t="n">
        <v>0</v>
      </c>
      <c r="M694" t="n">
        <v>0</v>
      </c>
      <c r="N694" t="n">
        <v>0</v>
      </c>
      <c r="O694" t="n">
        <v>0</v>
      </c>
      <c r="P694" t="n">
        <v>0</v>
      </c>
      <c r="Q694" t="n">
        <v>0</v>
      </c>
      <c r="R694" s="2" t="inlineStr"/>
    </row>
    <row r="695" ht="15" customHeight="1">
      <c r="A695" t="inlineStr">
        <is>
          <t>A 55165-2025</t>
        </is>
      </c>
      <c r="B695" s="1" t="n">
        <v>45968.48194444444</v>
      </c>
      <c r="C695" s="1" t="n">
        <v>46094</v>
      </c>
      <c r="D695" t="inlineStr">
        <is>
          <t>ÖSTERGÖTLANDS LÄN</t>
        </is>
      </c>
      <c r="E695" t="inlineStr">
        <is>
          <t>LINKÖPING</t>
        </is>
      </c>
      <c r="G695" t="n">
        <v>2.4</v>
      </c>
      <c r="H695" t="n">
        <v>0</v>
      </c>
      <c r="I695" t="n">
        <v>0</v>
      </c>
      <c r="J695" t="n">
        <v>0</v>
      </c>
      <c r="K695" t="n">
        <v>0</v>
      </c>
      <c r="L695" t="n">
        <v>0</v>
      </c>
      <c r="M695" t="n">
        <v>0</v>
      </c>
      <c r="N695" t="n">
        <v>0</v>
      </c>
      <c r="O695" t="n">
        <v>0</v>
      </c>
      <c r="P695" t="n">
        <v>0</v>
      </c>
      <c r="Q695" t="n">
        <v>0</v>
      </c>
      <c r="R695" s="2" t="inlineStr"/>
    </row>
    <row r="696" ht="15" customHeight="1">
      <c r="A696" t="inlineStr">
        <is>
          <t>A 56113-2025</t>
        </is>
      </c>
      <c r="B696" s="1" t="n">
        <v>45973.73924768518</v>
      </c>
      <c r="C696" s="1" t="n">
        <v>46094</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56105-2025</t>
        </is>
      </c>
      <c r="B697" s="1" t="n">
        <v>45973.72855324074</v>
      </c>
      <c r="C697" s="1" t="n">
        <v>46094</v>
      </c>
      <c r="D697" t="inlineStr">
        <is>
          <t>ÖSTERGÖTLANDS LÄN</t>
        </is>
      </c>
      <c r="E697" t="inlineStr">
        <is>
          <t>LINKÖPING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56403-2025</t>
        </is>
      </c>
      <c r="B698" s="1" t="n">
        <v>45974</v>
      </c>
      <c r="C698" s="1" t="n">
        <v>46094</v>
      </c>
      <c r="D698" t="inlineStr">
        <is>
          <t>ÖSTERGÖTLANDS LÄN</t>
        </is>
      </c>
      <c r="E698" t="inlineStr">
        <is>
          <t>LINKÖPING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56704-2025</t>
        </is>
      </c>
      <c r="B699" s="1" t="n">
        <v>45977.50608796296</v>
      </c>
      <c r="C699" s="1" t="n">
        <v>46094</v>
      </c>
      <c r="D699" t="inlineStr">
        <is>
          <t>ÖSTERGÖTLANDS LÄN</t>
        </is>
      </c>
      <c r="E699" t="inlineStr">
        <is>
          <t>LINKÖPING</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58802-2025</t>
        </is>
      </c>
      <c r="B700" s="1" t="n">
        <v>45986.8768287037</v>
      </c>
      <c r="C700" s="1" t="n">
        <v>46094</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55004-2025</t>
        </is>
      </c>
      <c r="B701" s="1" t="n">
        <v>45967</v>
      </c>
      <c r="C701" s="1" t="n">
        <v>46094</v>
      </c>
      <c r="D701" t="inlineStr">
        <is>
          <t>ÖSTERGÖTLANDS LÄN</t>
        </is>
      </c>
      <c r="E701" t="inlineStr">
        <is>
          <t>LINKÖPING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59205-2025</t>
        </is>
      </c>
      <c r="B702" s="1" t="n">
        <v>45988.60721064815</v>
      </c>
      <c r="C702" s="1" t="n">
        <v>46094</v>
      </c>
      <c r="D702" t="inlineStr">
        <is>
          <t>ÖSTERGÖTLANDS LÄN</t>
        </is>
      </c>
      <c r="E702" t="inlineStr">
        <is>
          <t>LINKÖPING</t>
        </is>
      </c>
      <c r="F702" t="inlineStr">
        <is>
          <t>Sveaskog</t>
        </is>
      </c>
      <c r="G702" t="n">
        <v>11.3</v>
      </c>
      <c r="H702" t="n">
        <v>0</v>
      </c>
      <c r="I702" t="n">
        <v>0</v>
      </c>
      <c r="J702" t="n">
        <v>0</v>
      </c>
      <c r="K702" t="n">
        <v>0</v>
      </c>
      <c r="L702" t="n">
        <v>0</v>
      </c>
      <c r="M702" t="n">
        <v>0</v>
      </c>
      <c r="N702" t="n">
        <v>0</v>
      </c>
      <c r="O702" t="n">
        <v>0</v>
      </c>
      <c r="P702" t="n">
        <v>0</v>
      </c>
      <c r="Q702" t="n">
        <v>0</v>
      </c>
      <c r="R702" s="2" t="inlineStr"/>
    </row>
    <row r="703" ht="15" customHeight="1">
      <c r="A703" t="inlineStr">
        <is>
          <t>A 59472-2025</t>
        </is>
      </c>
      <c r="B703" s="1" t="n">
        <v>45989.58321759259</v>
      </c>
      <c r="C703" s="1" t="n">
        <v>46094</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60087-2025</t>
        </is>
      </c>
      <c r="B704" s="1" t="n">
        <v>45993.71726851852</v>
      </c>
      <c r="C704" s="1" t="n">
        <v>46094</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60306-2025</t>
        </is>
      </c>
      <c r="B705" s="1" t="n">
        <v>45994.68326388889</v>
      </c>
      <c r="C705" s="1" t="n">
        <v>46094</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60284-2025</t>
        </is>
      </c>
      <c r="B706" s="1" t="n">
        <v>45994.64373842593</v>
      </c>
      <c r="C706" s="1" t="n">
        <v>46094</v>
      </c>
      <c r="D706" t="inlineStr">
        <is>
          <t>ÖSTERGÖTLANDS LÄN</t>
        </is>
      </c>
      <c r="E706" t="inlineStr">
        <is>
          <t>LINKÖPING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60703-2025</t>
        </is>
      </c>
      <c r="B707" s="1" t="n">
        <v>45996.6052662037</v>
      </c>
      <c r="C707" s="1" t="n">
        <v>46094</v>
      </c>
      <c r="D707" t="inlineStr">
        <is>
          <t>ÖSTERGÖTLANDS LÄN</t>
        </is>
      </c>
      <c r="E707" t="inlineStr">
        <is>
          <t>LINKÖPING</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60866-2025</t>
        </is>
      </c>
      <c r="B708" s="1" t="n">
        <v>45999</v>
      </c>
      <c r="C708" s="1" t="n">
        <v>46094</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61230-2025</t>
        </is>
      </c>
      <c r="B709" s="1" t="n">
        <v>46000.63111111111</v>
      </c>
      <c r="C709" s="1" t="n">
        <v>46094</v>
      </c>
      <c r="D709" t="inlineStr">
        <is>
          <t>ÖSTERGÖTLANDS LÄN</t>
        </is>
      </c>
      <c r="E709" t="inlineStr">
        <is>
          <t>LINKÖPING</t>
        </is>
      </c>
      <c r="F709" t="inlineStr">
        <is>
          <t>Kyrkan</t>
        </is>
      </c>
      <c r="G709" t="n">
        <v>2.1</v>
      </c>
      <c r="H709" t="n">
        <v>0</v>
      </c>
      <c r="I709" t="n">
        <v>0</v>
      </c>
      <c r="J709" t="n">
        <v>0</v>
      </c>
      <c r="K709" t="n">
        <v>0</v>
      </c>
      <c r="L709" t="n">
        <v>0</v>
      </c>
      <c r="M709" t="n">
        <v>0</v>
      </c>
      <c r="N709" t="n">
        <v>0</v>
      </c>
      <c r="O709" t="n">
        <v>0</v>
      </c>
      <c r="P709" t="n">
        <v>0</v>
      </c>
      <c r="Q709" t="n">
        <v>0</v>
      </c>
      <c r="R709" s="2" t="inlineStr"/>
    </row>
    <row r="710" ht="15" customHeight="1">
      <c r="A710" t="inlineStr">
        <is>
          <t>A 61447-2025</t>
        </is>
      </c>
      <c r="B710" s="1" t="n">
        <v>46001.57554398148</v>
      </c>
      <c r="C710" s="1" t="n">
        <v>46094</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61899-2025</t>
        </is>
      </c>
      <c r="B711" s="1" t="n">
        <v>46003.46635416667</v>
      </c>
      <c r="C711" s="1" t="n">
        <v>46094</v>
      </c>
      <c r="D711" t="inlineStr">
        <is>
          <t>ÖSTERGÖTLANDS LÄN</t>
        </is>
      </c>
      <c r="E711" t="inlineStr">
        <is>
          <t>LINKÖPING</t>
        </is>
      </c>
      <c r="G711" t="n">
        <v>2.4</v>
      </c>
      <c r="H711" t="n">
        <v>0</v>
      </c>
      <c r="I711" t="n">
        <v>0</v>
      </c>
      <c r="J711" t="n">
        <v>0</v>
      </c>
      <c r="K711" t="n">
        <v>0</v>
      </c>
      <c r="L711" t="n">
        <v>0</v>
      </c>
      <c r="M711" t="n">
        <v>0</v>
      </c>
      <c r="N711" t="n">
        <v>0</v>
      </c>
      <c r="O711" t="n">
        <v>0</v>
      </c>
      <c r="P711" t="n">
        <v>0</v>
      </c>
      <c r="Q711" t="n">
        <v>0</v>
      </c>
      <c r="R711" s="2" t="inlineStr"/>
    </row>
    <row r="712" ht="15" customHeight="1">
      <c r="A712" t="inlineStr">
        <is>
          <t>A 61643-2025</t>
        </is>
      </c>
      <c r="B712" s="1" t="n">
        <v>46002.43575231481</v>
      </c>
      <c r="C712" s="1" t="n">
        <v>46094</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61645-2025</t>
        </is>
      </c>
      <c r="B713" s="1" t="n">
        <v>46002.43697916667</v>
      </c>
      <c r="C713" s="1" t="n">
        <v>46094</v>
      </c>
      <c r="D713" t="inlineStr">
        <is>
          <t>ÖSTERGÖTLANDS LÄN</t>
        </is>
      </c>
      <c r="E713" t="inlineStr">
        <is>
          <t>LINKÖPING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62515-2025</t>
        </is>
      </c>
      <c r="B714" s="1" t="n">
        <v>46007.60548611111</v>
      </c>
      <c r="C714" s="1" t="n">
        <v>46094</v>
      </c>
      <c r="D714" t="inlineStr">
        <is>
          <t>ÖSTERGÖTLANDS LÄN</t>
        </is>
      </c>
      <c r="E714" t="inlineStr">
        <is>
          <t>LINKÖPING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62791-2025</t>
        </is>
      </c>
      <c r="B715" s="1" t="n">
        <v>46008.63266203704</v>
      </c>
      <c r="C715" s="1" t="n">
        <v>46094</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62686-2025</t>
        </is>
      </c>
      <c r="B716" s="1" t="n">
        <v>46008.46769675926</v>
      </c>
      <c r="C716" s="1" t="n">
        <v>46094</v>
      </c>
      <c r="D716" t="inlineStr">
        <is>
          <t>ÖSTERGÖTLANDS LÄN</t>
        </is>
      </c>
      <c r="E716" t="inlineStr">
        <is>
          <t>LINKÖPING</t>
        </is>
      </c>
      <c r="G716" t="n">
        <v>7.6</v>
      </c>
      <c r="H716" t="n">
        <v>0</v>
      </c>
      <c r="I716" t="n">
        <v>0</v>
      </c>
      <c r="J716" t="n">
        <v>0</v>
      </c>
      <c r="K716" t="n">
        <v>0</v>
      </c>
      <c r="L716" t="n">
        <v>0</v>
      </c>
      <c r="M716" t="n">
        <v>0</v>
      </c>
      <c r="N716" t="n">
        <v>0</v>
      </c>
      <c r="O716" t="n">
        <v>0</v>
      </c>
      <c r="P716" t="n">
        <v>0</v>
      </c>
      <c r="Q716" t="n">
        <v>0</v>
      </c>
      <c r="R716" s="2" t="inlineStr"/>
    </row>
    <row r="717" ht="15" customHeight="1">
      <c r="A717" t="inlineStr">
        <is>
          <t>A 63147-2025</t>
        </is>
      </c>
      <c r="B717" s="1" t="n">
        <v>46010.35003472222</v>
      </c>
      <c r="C717" s="1" t="n">
        <v>46094</v>
      </c>
      <c r="D717" t="inlineStr">
        <is>
          <t>ÖSTERGÖTLANDS LÄN</t>
        </is>
      </c>
      <c r="E717" t="inlineStr">
        <is>
          <t>LINKÖPING</t>
        </is>
      </c>
      <c r="G717" t="n">
        <v>4</v>
      </c>
      <c r="H717" t="n">
        <v>0</v>
      </c>
      <c r="I717" t="n">
        <v>0</v>
      </c>
      <c r="J717" t="n">
        <v>0</v>
      </c>
      <c r="K717" t="n">
        <v>0</v>
      </c>
      <c r="L717" t="n">
        <v>0</v>
      </c>
      <c r="M717" t="n">
        <v>0</v>
      </c>
      <c r="N717" t="n">
        <v>0</v>
      </c>
      <c r="O717" t="n">
        <v>0</v>
      </c>
      <c r="P717" t="n">
        <v>0</v>
      </c>
      <c r="Q717" t="n">
        <v>0</v>
      </c>
      <c r="R717" s="2" t="inlineStr"/>
    </row>
    <row r="718" ht="15" customHeight="1">
      <c r="A718" t="inlineStr">
        <is>
          <t>A 6164-2026</t>
        </is>
      </c>
      <c r="B718" s="1" t="n">
        <v>46055.32596064815</v>
      </c>
      <c r="C718" s="1" t="n">
        <v>46094</v>
      </c>
      <c r="D718" t="inlineStr">
        <is>
          <t>ÖSTERGÖTLANDS LÄN</t>
        </is>
      </c>
      <c r="E718" t="inlineStr">
        <is>
          <t>LINKÖPING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6384-2026</t>
        </is>
      </c>
      <c r="B719" s="1" t="n">
        <v>46055.63732638889</v>
      </c>
      <c r="C719" s="1" t="n">
        <v>46094</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63144-2025</t>
        </is>
      </c>
      <c r="B720" s="1" t="n">
        <v>46010.34716435185</v>
      </c>
      <c r="C720" s="1" t="n">
        <v>46094</v>
      </c>
      <c r="D720" t="inlineStr">
        <is>
          <t>ÖSTERGÖTLANDS LÄN</t>
        </is>
      </c>
      <c r="E720" t="inlineStr">
        <is>
          <t>LINKÖPING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7133-2026</t>
        </is>
      </c>
      <c r="B721" s="1" t="n">
        <v>46057</v>
      </c>
      <c r="C721" s="1" t="n">
        <v>46094</v>
      </c>
      <c r="D721" t="inlineStr">
        <is>
          <t>ÖSTERGÖTLANDS LÄN</t>
        </is>
      </c>
      <c r="E721" t="inlineStr">
        <is>
          <t>LINKÖPING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1223-2026</t>
        </is>
      </c>
      <c r="B722" s="1" t="n">
        <v>46031.40233796297</v>
      </c>
      <c r="C722" s="1" t="n">
        <v>46094</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858-2026</t>
        </is>
      </c>
      <c r="B723" s="1" t="n">
        <v>46030.41200231481</v>
      </c>
      <c r="C723" s="1" t="n">
        <v>46094</v>
      </c>
      <c r="D723" t="inlineStr">
        <is>
          <t>ÖSTERGÖTLANDS LÄN</t>
        </is>
      </c>
      <c r="E723" t="inlineStr">
        <is>
          <t>LINKÖPING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873-2026</t>
        </is>
      </c>
      <c r="B724" s="1" t="n">
        <v>46030.43818287037</v>
      </c>
      <c r="C724" s="1" t="n">
        <v>46094</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856-2026</t>
        </is>
      </c>
      <c r="B725" s="1" t="n">
        <v>46030.40644675926</v>
      </c>
      <c r="C725" s="1" t="n">
        <v>46094</v>
      </c>
      <c r="D725" t="inlineStr">
        <is>
          <t>ÖSTERGÖTLANDS LÄN</t>
        </is>
      </c>
      <c r="E725" t="inlineStr">
        <is>
          <t>LINKÖPING</t>
        </is>
      </c>
      <c r="G725" t="n">
        <v>6.4</v>
      </c>
      <c r="H725" t="n">
        <v>0</v>
      </c>
      <c r="I725" t="n">
        <v>0</v>
      </c>
      <c r="J725" t="n">
        <v>0</v>
      </c>
      <c r="K725" t="n">
        <v>0</v>
      </c>
      <c r="L725" t="n">
        <v>0</v>
      </c>
      <c r="M725" t="n">
        <v>0</v>
      </c>
      <c r="N725" t="n">
        <v>0</v>
      </c>
      <c r="O725" t="n">
        <v>0</v>
      </c>
      <c r="P725" t="n">
        <v>0</v>
      </c>
      <c r="Q725" t="n">
        <v>0</v>
      </c>
      <c r="R725" s="2" t="inlineStr"/>
    </row>
    <row r="726" ht="15" customHeight="1">
      <c r="A726" t="inlineStr">
        <is>
          <t>A 860-2026</t>
        </is>
      </c>
      <c r="B726" s="1" t="n">
        <v>46030.41974537037</v>
      </c>
      <c r="C726" s="1" t="n">
        <v>46094</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940-2026</t>
        </is>
      </c>
      <c r="B727" s="1" t="n">
        <v>46030.53052083333</v>
      </c>
      <c r="C727" s="1" t="n">
        <v>46094</v>
      </c>
      <c r="D727" t="inlineStr">
        <is>
          <t>ÖSTERGÖTLANDS LÄN</t>
        </is>
      </c>
      <c r="E727" t="inlineStr">
        <is>
          <t>LINKÖPING</t>
        </is>
      </c>
      <c r="F727" t="inlineStr">
        <is>
          <t>Allmännings- och besparingsskogar</t>
        </is>
      </c>
      <c r="G727" t="n">
        <v>2.9</v>
      </c>
      <c r="H727" t="n">
        <v>0</v>
      </c>
      <c r="I727" t="n">
        <v>0</v>
      </c>
      <c r="J727" t="n">
        <v>0</v>
      </c>
      <c r="K727" t="n">
        <v>0</v>
      </c>
      <c r="L727" t="n">
        <v>0</v>
      </c>
      <c r="M727" t="n">
        <v>0</v>
      </c>
      <c r="N727" t="n">
        <v>0</v>
      </c>
      <c r="O727" t="n">
        <v>0</v>
      </c>
      <c r="P727" t="n">
        <v>0</v>
      </c>
      <c r="Q727" t="n">
        <v>0</v>
      </c>
      <c r="R727" s="2" t="inlineStr"/>
    </row>
    <row r="728" ht="15" customHeight="1">
      <c r="A728" t="inlineStr">
        <is>
          <t>A 944-2026</t>
        </is>
      </c>
      <c r="B728" s="1" t="n">
        <v>46030.53461805556</v>
      </c>
      <c r="C728" s="1" t="n">
        <v>46094</v>
      </c>
      <c r="D728" t="inlineStr">
        <is>
          <t>ÖSTERGÖTLANDS LÄN</t>
        </is>
      </c>
      <c r="E728" t="inlineStr">
        <is>
          <t>LINKÖPING</t>
        </is>
      </c>
      <c r="F728" t="inlineStr">
        <is>
          <t>Allmännings- och besparingsskogar</t>
        </is>
      </c>
      <c r="G728" t="n">
        <v>0.9</v>
      </c>
      <c r="H728" t="n">
        <v>0</v>
      </c>
      <c r="I728" t="n">
        <v>0</v>
      </c>
      <c r="J728" t="n">
        <v>0</v>
      </c>
      <c r="K728" t="n">
        <v>0</v>
      </c>
      <c r="L728" t="n">
        <v>0</v>
      </c>
      <c r="M728" t="n">
        <v>0</v>
      </c>
      <c r="N728" t="n">
        <v>0</v>
      </c>
      <c r="O728" t="n">
        <v>0</v>
      </c>
      <c r="P728" t="n">
        <v>0</v>
      </c>
      <c r="Q728" t="n">
        <v>0</v>
      </c>
      <c r="R728" s="2" t="inlineStr"/>
    </row>
    <row r="729" ht="15" customHeight="1">
      <c r="A729" t="inlineStr">
        <is>
          <t>A 927-2026</t>
        </is>
      </c>
      <c r="B729" s="1" t="n">
        <v>46030.50560185185</v>
      </c>
      <c r="C729" s="1" t="n">
        <v>46094</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859-2026</t>
        </is>
      </c>
      <c r="B730" s="1" t="n">
        <v>46030.41450231482</v>
      </c>
      <c r="C730" s="1" t="n">
        <v>46094</v>
      </c>
      <c r="D730" t="inlineStr">
        <is>
          <t>ÖSTERGÖTLANDS LÄN</t>
        </is>
      </c>
      <c r="E730" t="inlineStr">
        <is>
          <t>LINKÖPING</t>
        </is>
      </c>
      <c r="G730" t="n">
        <v>0.2</v>
      </c>
      <c r="H730" t="n">
        <v>0</v>
      </c>
      <c r="I730" t="n">
        <v>0</v>
      </c>
      <c r="J730" t="n">
        <v>0</v>
      </c>
      <c r="K730" t="n">
        <v>0</v>
      </c>
      <c r="L730" t="n">
        <v>0</v>
      </c>
      <c r="M730" t="n">
        <v>0</v>
      </c>
      <c r="N730" t="n">
        <v>0</v>
      </c>
      <c r="O730" t="n">
        <v>0</v>
      </c>
      <c r="P730" t="n">
        <v>0</v>
      </c>
      <c r="Q730" t="n">
        <v>0</v>
      </c>
      <c r="R730" s="2" t="inlineStr"/>
    </row>
    <row r="731" ht="15" customHeight="1">
      <c r="A731" t="inlineStr">
        <is>
          <t>A 2030-2026</t>
        </is>
      </c>
      <c r="B731" s="1" t="n">
        <v>46035.73590277778</v>
      </c>
      <c r="C731" s="1" t="n">
        <v>46094</v>
      </c>
      <c r="D731" t="inlineStr">
        <is>
          <t>ÖSTERGÖTLANDS LÄN</t>
        </is>
      </c>
      <c r="E731" t="inlineStr">
        <is>
          <t>LINKÖPING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10479-2026</t>
        </is>
      </c>
      <c r="B732" s="1" t="n">
        <v>46077.49231481482</v>
      </c>
      <c r="C732" s="1" t="n">
        <v>46094</v>
      </c>
      <c r="D732" t="inlineStr">
        <is>
          <t>ÖSTERGÖTLANDS LÄN</t>
        </is>
      </c>
      <c r="E732" t="inlineStr">
        <is>
          <t>LINKÖPING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2031-2026</t>
        </is>
      </c>
      <c r="B733" s="1" t="n">
        <v>46035.74182870371</v>
      </c>
      <c r="C733" s="1" t="n">
        <v>46094</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11033-2026</t>
        </is>
      </c>
      <c r="B734" s="1" t="n">
        <v>46079.57361111111</v>
      </c>
      <c r="C734" s="1" t="n">
        <v>46094</v>
      </c>
      <c r="D734" t="inlineStr">
        <is>
          <t>ÖSTERGÖTLANDS LÄN</t>
        </is>
      </c>
      <c r="E734" t="inlineStr">
        <is>
          <t>LINKÖPING</t>
        </is>
      </c>
      <c r="G734" t="n">
        <v>7.9</v>
      </c>
      <c r="H734" t="n">
        <v>0</v>
      </c>
      <c r="I734" t="n">
        <v>0</v>
      </c>
      <c r="J734" t="n">
        <v>0</v>
      </c>
      <c r="K734" t="n">
        <v>0</v>
      </c>
      <c r="L734" t="n">
        <v>0</v>
      </c>
      <c r="M734" t="n">
        <v>0</v>
      </c>
      <c r="N734" t="n">
        <v>0</v>
      </c>
      <c r="O734" t="n">
        <v>0</v>
      </c>
      <c r="P734" t="n">
        <v>0</v>
      </c>
      <c r="Q734" t="n">
        <v>0</v>
      </c>
      <c r="R734" s="2" t="inlineStr"/>
    </row>
    <row r="735" ht="15" customHeight="1">
      <c r="A735" t="inlineStr">
        <is>
          <t>A 10756-2026</t>
        </is>
      </c>
      <c r="B735" s="1" t="n">
        <v>46078.55412037037</v>
      </c>
      <c r="C735" s="1" t="n">
        <v>46094</v>
      </c>
      <c r="D735" t="inlineStr">
        <is>
          <t>ÖSTERGÖTLANDS LÄN</t>
        </is>
      </c>
      <c r="E735" t="inlineStr">
        <is>
          <t>LINKÖPING</t>
        </is>
      </c>
      <c r="F735" t="inlineStr">
        <is>
          <t>Övriga Aktiebolag</t>
        </is>
      </c>
      <c r="G735" t="n">
        <v>1.2</v>
      </c>
      <c r="H735" t="n">
        <v>0</v>
      </c>
      <c r="I735" t="n">
        <v>0</v>
      </c>
      <c r="J735" t="n">
        <v>0</v>
      </c>
      <c r="K735" t="n">
        <v>0</v>
      </c>
      <c r="L735" t="n">
        <v>0</v>
      </c>
      <c r="M735" t="n">
        <v>0</v>
      </c>
      <c r="N735" t="n">
        <v>0</v>
      </c>
      <c r="O735" t="n">
        <v>0</v>
      </c>
      <c r="P735" t="n">
        <v>0</v>
      </c>
      <c r="Q735" t="n">
        <v>0</v>
      </c>
      <c r="R735" s="2" t="inlineStr"/>
    </row>
    <row r="736" ht="15" customHeight="1">
      <c r="A736" t="inlineStr">
        <is>
          <t>A 11057-2026</t>
        </is>
      </c>
      <c r="B736" s="1" t="n">
        <v>46079.59515046296</v>
      </c>
      <c r="C736" s="1" t="n">
        <v>46094</v>
      </c>
      <c r="D736" t="inlineStr">
        <is>
          <t>ÖSTERGÖTLANDS LÄN</t>
        </is>
      </c>
      <c r="E736" t="inlineStr">
        <is>
          <t>LINKÖPING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11036-2026</t>
        </is>
      </c>
      <c r="B737" s="1" t="n">
        <v>46079.57836805555</v>
      </c>
      <c r="C737" s="1" t="n">
        <v>46094</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3045-2026</t>
        </is>
      </c>
      <c r="B738" s="1" t="n">
        <v>46038.74047453704</v>
      </c>
      <c r="C738" s="1" t="n">
        <v>46094</v>
      </c>
      <c r="D738" t="inlineStr">
        <is>
          <t>ÖSTERGÖTLANDS LÄN</t>
        </is>
      </c>
      <c r="E738" t="inlineStr">
        <is>
          <t>LINKÖPING</t>
        </is>
      </c>
      <c r="G738" t="n">
        <v>2</v>
      </c>
      <c r="H738" t="n">
        <v>0</v>
      </c>
      <c r="I738" t="n">
        <v>0</v>
      </c>
      <c r="J738" t="n">
        <v>0</v>
      </c>
      <c r="K738" t="n">
        <v>0</v>
      </c>
      <c r="L738" t="n">
        <v>0</v>
      </c>
      <c r="M738" t="n">
        <v>0</v>
      </c>
      <c r="N738" t="n">
        <v>0</v>
      </c>
      <c r="O738" t="n">
        <v>0</v>
      </c>
      <c r="P738" t="n">
        <v>0</v>
      </c>
      <c r="Q738" t="n">
        <v>0</v>
      </c>
      <c r="R738" s="2" t="inlineStr"/>
    </row>
    <row r="739" ht="15" customHeight="1">
      <c r="A739" t="inlineStr">
        <is>
          <t>A 11169-2026</t>
        </is>
      </c>
      <c r="B739" s="1" t="n">
        <v>46080.37020833333</v>
      </c>
      <c r="C739" s="1" t="n">
        <v>46094</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3043-2026</t>
        </is>
      </c>
      <c r="B740" s="1" t="n">
        <v>46038.73675925926</v>
      </c>
      <c r="C740" s="1" t="n">
        <v>46094</v>
      </c>
      <c r="D740" t="inlineStr">
        <is>
          <t>ÖSTERGÖTLANDS LÄN</t>
        </is>
      </c>
      <c r="E740" t="inlineStr">
        <is>
          <t>LINKÖPING</t>
        </is>
      </c>
      <c r="G740" t="n">
        <v>2.5</v>
      </c>
      <c r="H740" t="n">
        <v>0</v>
      </c>
      <c r="I740" t="n">
        <v>0</v>
      </c>
      <c r="J740" t="n">
        <v>0</v>
      </c>
      <c r="K740" t="n">
        <v>0</v>
      </c>
      <c r="L740" t="n">
        <v>0</v>
      </c>
      <c r="M740" t="n">
        <v>0</v>
      </c>
      <c r="N740" t="n">
        <v>0</v>
      </c>
      <c r="O740" t="n">
        <v>0</v>
      </c>
      <c r="P740" t="n">
        <v>0</v>
      </c>
      <c r="Q740" t="n">
        <v>0</v>
      </c>
      <c r="R740" s="2" t="inlineStr"/>
    </row>
    <row r="741" ht="15" customHeight="1">
      <c r="A741" t="inlineStr">
        <is>
          <t>A 3044-2026</t>
        </is>
      </c>
      <c r="B741" s="1" t="n">
        <v>46038.73855324074</v>
      </c>
      <c r="C741" s="1" t="n">
        <v>46094</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10764-2026</t>
        </is>
      </c>
      <c r="B742" s="1" t="n">
        <v>46078</v>
      </c>
      <c r="C742" s="1" t="n">
        <v>46094</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3046-2026</t>
        </is>
      </c>
      <c r="B743" s="1" t="n">
        <v>46038.74182870371</v>
      </c>
      <c r="C743" s="1" t="n">
        <v>46094</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11888-2026</t>
        </is>
      </c>
      <c r="B744" s="1" t="n">
        <v>46085.51813657407</v>
      </c>
      <c r="C744" s="1" t="n">
        <v>46094</v>
      </c>
      <c r="D744" t="inlineStr">
        <is>
          <t>ÖSTERGÖTLANDS LÄN</t>
        </is>
      </c>
      <c r="E744" t="inlineStr">
        <is>
          <t>LINKÖPING</t>
        </is>
      </c>
      <c r="G744" t="n">
        <v>3.6</v>
      </c>
      <c r="H744" t="n">
        <v>0</v>
      </c>
      <c r="I744" t="n">
        <v>0</v>
      </c>
      <c r="J744" t="n">
        <v>0</v>
      </c>
      <c r="K744" t="n">
        <v>0</v>
      </c>
      <c r="L744" t="n">
        <v>0</v>
      </c>
      <c r="M744" t="n">
        <v>0</v>
      </c>
      <c r="N744" t="n">
        <v>0</v>
      </c>
      <c r="O744" t="n">
        <v>0</v>
      </c>
      <c r="P744" t="n">
        <v>0</v>
      </c>
      <c r="Q744" t="n">
        <v>0</v>
      </c>
      <c r="R744" s="2" t="inlineStr"/>
    </row>
    <row r="745" ht="15" customHeight="1">
      <c r="A745" t="inlineStr">
        <is>
          <t>A 11891-2026</t>
        </is>
      </c>
      <c r="B745" s="1" t="n">
        <v>46085.5197800926</v>
      </c>
      <c r="C745" s="1" t="n">
        <v>46094</v>
      </c>
      <c r="D745" t="inlineStr">
        <is>
          <t>ÖSTERGÖTLANDS LÄN</t>
        </is>
      </c>
      <c r="E745" t="inlineStr">
        <is>
          <t>LINKÖPING</t>
        </is>
      </c>
      <c r="G745" t="n">
        <v>2.8</v>
      </c>
      <c r="H745" t="n">
        <v>0</v>
      </c>
      <c r="I745" t="n">
        <v>0</v>
      </c>
      <c r="J745" t="n">
        <v>0</v>
      </c>
      <c r="K745" t="n">
        <v>0</v>
      </c>
      <c r="L745" t="n">
        <v>0</v>
      </c>
      <c r="M745" t="n">
        <v>0</v>
      </c>
      <c r="N745" t="n">
        <v>0</v>
      </c>
      <c r="O745" t="n">
        <v>0</v>
      </c>
      <c r="P745" t="n">
        <v>0</v>
      </c>
      <c r="Q745" t="n">
        <v>0</v>
      </c>
      <c r="R745" s="2" t="inlineStr"/>
    </row>
    <row r="746" ht="15" customHeight="1">
      <c r="A746" t="inlineStr">
        <is>
          <t>A 12251-2026</t>
        </is>
      </c>
      <c r="B746" s="1" t="n">
        <v>46087.45278935185</v>
      </c>
      <c r="C746" s="1" t="n">
        <v>46094</v>
      </c>
      <c r="D746" t="inlineStr">
        <is>
          <t>ÖSTERGÖTLANDS LÄN</t>
        </is>
      </c>
      <c r="E746" t="inlineStr">
        <is>
          <t>LINKÖPING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12254-2026</t>
        </is>
      </c>
      <c r="B747" s="1" t="n">
        <v>46087.46196759259</v>
      </c>
      <c r="C747" s="1" t="n">
        <v>46094</v>
      </c>
      <c r="D747" t="inlineStr">
        <is>
          <t>ÖSTERGÖTLANDS LÄN</t>
        </is>
      </c>
      <c r="E747" t="inlineStr">
        <is>
          <t>LINKÖPING</t>
        </is>
      </c>
      <c r="G747" t="n">
        <v>10.4</v>
      </c>
      <c r="H747" t="n">
        <v>0</v>
      </c>
      <c r="I747" t="n">
        <v>0</v>
      </c>
      <c r="J747" t="n">
        <v>0</v>
      </c>
      <c r="K747" t="n">
        <v>0</v>
      </c>
      <c r="L747" t="n">
        <v>0</v>
      </c>
      <c r="M747" t="n">
        <v>0</v>
      </c>
      <c r="N747" t="n">
        <v>0</v>
      </c>
      <c r="O747" t="n">
        <v>0</v>
      </c>
      <c r="P747" t="n">
        <v>0</v>
      </c>
      <c r="Q747" t="n">
        <v>0</v>
      </c>
      <c r="R747" s="2" t="inlineStr"/>
    </row>
    <row r="748" ht="15" customHeight="1">
      <c r="A748" t="inlineStr">
        <is>
          <t>A 4469-2026</t>
        </is>
      </c>
      <c r="B748" s="1" t="n">
        <v>46045.65662037037</v>
      </c>
      <c r="C748" s="1" t="n">
        <v>46094</v>
      </c>
      <c r="D748" t="inlineStr">
        <is>
          <t>ÖSTERGÖTLANDS LÄN</t>
        </is>
      </c>
      <c r="E748" t="inlineStr">
        <is>
          <t>LINKÖPING</t>
        </is>
      </c>
      <c r="F748" t="inlineStr">
        <is>
          <t>Övriga Aktiebolag</t>
        </is>
      </c>
      <c r="G748" t="n">
        <v>3.8</v>
      </c>
      <c r="H748" t="n">
        <v>0</v>
      </c>
      <c r="I748" t="n">
        <v>0</v>
      </c>
      <c r="J748" t="n">
        <v>0</v>
      </c>
      <c r="K748" t="n">
        <v>0</v>
      </c>
      <c r="L748" t="n">
        <v>0</v>
      </c>
      <c r="M748" t="n">
        <v>0</v>
      </c>
      <c r="N748" t="n">
        <v>0</v>
      </c>
      <c r="O748" t="n">
        <v>0</v>
      </c>
      <c r="P748" t="n">
        <v>0</v>
      </c>
      <c r="Q748" t="n">
        <v>0</v>
      </c>
      <c r="R748" s="2" t="inlineStr"/>
    </row>
    <row r="749" ht="15" customHeight="1">
      <c r="A749" t="inlineStr">
        <is>
          <t>A 12247-2026</t>
        </is>
      </c>
      <c r="B749" s="1" t="n">
        <v>46087.44436342592</v>
      </c>
      <c r="C749" s="1" t="n">
        <v>46094</v>
      </c>
      <c r="D749" t="inlineStr">
        <is>
          <t>ÖSTERGÖTLANDS LÄN</t>
        </is>
      </c>
      <c r="E749" t="inlineStr">
        <is>
          <t>LINKÖPING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12255-2026</t>
        </is>
      </c>
      <c r="B750" s="1" t="n">
        <v>46087.46630787037</v>
      </c>
      <c r="C750" s="1" t="n">
        <v>46094</v>
      </c>
      <c r="D750" t="inlineStr">
        <is>
          <t>ÖSTERGÖTLANDS LÄN</t>
        </is>
      </c>
      <c r="E750" t="inlineStr">
        <is>
          <t>LINKÖPING</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38886-2024</t>
        </is>
      </c>
      <c r="B751" s="1" t="n">
        <v>45547.66443287037</v>
      </c>
      <c r="C751" s="1" t="n">
        <v>46094</v>
      </c>
      <c r="D751" t="inlineStr">
        <is>
          <t>ÖSTERGÖTLANDS LÄN</t>
        </is>
      </c>
      <c r="E751" t="inlineStr">
        <is>
          <t>LINKÖPING</t>
        </is>
      </c>
      <c r="G751" t="n">
        <v>5.3</v>
      </c>
      <c r="H751" t="n">
        <v>0</v>
      </c>
      <c r="I751" t="n">
        <v>0</v>
      </c>
      <c r="J751" t="n">
        <v>0</v>
      </c>
      <c r="K751" t="n">
        <v>0</v>
      </c>
      <c r="L751" t="n">
        <v>0</v>
      </c>
      <c r="M751" t="n">
        <v>0</v>
      </c>
      <c r="N751" t="n">
        <v>0</v>
      </c>
      <c r="O751" t="n">
        <v>0</v>
      </c>
      <c r="P751" t="n">
        <v>0</v>
      </c>
      <c r="Q751" t="n">
        <v>0</v>
      </c>
      <c r="R751" s="2" t="inlineStr"/>
    </row>
    <row r="752" ht="15" customHeight="1">
      <c r="A752" t="inlineStr">
        <is>
          <t>A 12486-2026</t>
        </is>
      </c>
      <c r="B752" s="1" t="n">
        <v>46090.56501157407</v>
      </c>
      <c r="C752" s="1" t="n">
        <v>46094</v>
      </c>
      <c r="D752" t="inlineStr">
        <is>
          <t>ÖSTERGÖTLANDS LÄN</t>
        </is>
      </c>
      <c r="E752" t="inlineStr">
        <is>
          <t>LINKÖPING</t>
        </is>
      </c>
      <c r="G752" t="n">
        <v>2.6</v>
      </c>
      <c r="H752" t="n">
        <v>0</v>
      </c>
      <c r="I752" t="n">
        <v>0</v>
      </c>
      <c r="J752" t="n">
        <v>0</v>
      </c>
      <c r="K752" t="n">
        <v>0</v>
      </c>
      <c r="L752" t="n">
        <v>0</v>
      </c>
      <c r="M752" t="n">
        <v>0</v>
      </c>
      <c r="N752" t="n">
        <v>0</v>
      </c>
      <c r="O752" t="n">
        <v>0</v>
      </c>
      <c r="P752" t="n">
        <v>0</v>
      </c>
      <c r="Q752" t="n">
        <v>0</v>
      </c>
      <c r="R752" s="2" t="inlineStr"/>
    </row>
    <row r="753" ht="15" customHeight="1">
      <c r="A753" t="inlineStr">
        <is>
          <t>A 10477-2026</t>
        </is>
      </c>
      <c r="B753" s="1" t="n">
        <v>46077.4871875</v>
      </c>
      <c r="C753" s="1" t="n">
        <v>46094</v>
      </c>
      <c r="D753" t="inlineStr">
        <is>
          <t>ÖSTERGÖTLANDS LÄN</t>
        </is>
      </c>
      <c r="E753" t="inlineStr">
        <is>
          <t>LINKÖPING</t>
        </is>
      </c>
      <c r="G753" t="n">
        <v>9.6</v>
      </c>
      <c r="H753" t="n">
        <v>0</v>
      </c>
      <c r="I753" t="n">
        <v>0</v>
      </c>
      <c r="J753" t="n">
        <v>0</v>
      </c>
      <c r="K753" t="n">
        <v>0</v>
      </c>
      <c r="L753" t="n">
        <v>0</v>
      </c>
      <c r="M753" t="n">
        <v>0</v>
      </c>
      <c r="N753" t="n">
        <v>0</v>
      </c>
      <c r="O753" t="n">
        <v>0</v>
      </c>
      <c r="P753" t="n">
        <v>0</v>
      </c>
      <c r="Q753" t="n">
        <v>0</v>
      </c>
      <c r="R753" s="2" t="inlineStr"/>
    </row>
    <row r="754" ht="15" customHeight="1">
      <c r="A754" t="inlineStr">
        <is>
          <t>A 5099-2026</t>
        </is>
      </c>
      <c r="B754" s="1" t="n">
        <v>46049.56158564815</v>
      </c>
      <c r="C754" s="1" t="n">
        <v>46094</v>
      </c>
      <c r="D754" t="inlineStr">
        <is>
          <t>ÖSTERGÖTLANDS LÄN</t>
        </is>
      </c>
      <c r="E754" t="inlineStr">
        <is>
          <t>LINKÖPING</t>
        </is>
      </c>
      <c r="G754" t="n">
        <v>5</v>
      </c>
      <c r="H754" t="n">
        <v>0</v>
      </c>
      <c r="I754" t="n">
        <v>0</v>
      </c>
      <c r="J754" t="n">
        <v>0</v>
      </c>
      <c r="K754" t="n">
        <v>0</v>
      </c>
      <c r="L754" t="n">
        <v>0</v>
      </c>
      <c r="M754" t="n">
        <v>0</v>
      </c>
      <c r="N754" t="n">
        <v>0</v>
      </c>
      <c r="O754" t="n">
        <v>0</v>
      </c>
      <c r="P754" t="n">
        <v>0</v>
      </c>
      <c r="Q754" t="n">
        <v>0</v>
      </c>
      <c r="R754" s="2" t="inlineStr"/>
    </row>
    <row r="755" ht="15" customHeight="1">
      <c r="A755" t="inlineStr">
        <is>
          <t>A 12482-2026</t>
        </is>
      </c>
      <c r="B755" s="1" t="n">
        <v>46090.56292824074</v>
      </c>
      <c r="C755" s="1" t="n">
        <v>46094</v>
      </c>
      <c r="D755" t="inlineStr">
        <is>
          <t>ÖSTERGÖTLANDS LÄN</t>
        </is>
      </c>
      <c r="E755" t="inlineStr">
        <is>
          <t>LINKÖPING</t>
        </is>
      </c>
      <c r="G755" t="n">
        <v>1.2</v>
      </c>
      <c r="H755" t="n">
        <v>0</v>
      </c>
      <c r="I755" t="n">
        <v>0</v>
      </c>
      <c r="J755" t="n">
        <v>0</v>
      </c>
      <c r="K755" t="n">
        <v>0</v>
      </c>
      <c r="L755" t="n">
        <v>0</v>
      </c>
      <c r="M755" t="n">
        <v>0</v>
      </c>
      <c r="N755" t="n">
        <v>0</v>
      </c>
      <c r="O755" t="n">
        <v>0</v>
      </c>
      <c r="P755" t="n">
        <v>0</v>
      </c>
      <c r="Q755" t="n">
        <v>0</v>
      </c>
      <c r="R755" s="2" t="inlineStr"/>
    </row>
    <row r="756">
      <c r="A756" t="inlineStr">
        <is>
          <t>A 5545-2026</t>
        </is>
      </c>
      <c r="B756" s="1" t="n">
        <v>46050.70089120371</v>
      </c>
      <c r="C756" s="1" t="n">
        <v>46094</v>
      </c>
      <c r="D756" t="inlineStr">
        <is>
          <t>ÖSTERGÖTLANDS LÄN</t>
        </is>
      </c>
      <c r="E756" t="inlineStr">
        <is>
          <t>LINKÖPING</t>
        </is>
      </c>
      <c r="G756" t="n">
        <v>1.4</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2026-03-13T11:16:23Z</dcterms:created>
  <dcterms:modified xmlns:dcterms="http://purl.org/dc/terms/" xmlns:xsi="http://www.w3.org/2001/XMLSchema-instance" xsi:type="dcterms:W3CDTF">2026-03-13T11:16:24Z</dcterms:modified>
</cp:coreProperties>
</file>