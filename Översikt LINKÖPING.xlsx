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48329-2025</t>
        </is>
      </c>
      <c r="B12" s="1" t="n">
        <v>45932</v>
      </c>
      <c r="C12" s="1" t="n">
        <v>45938</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9192-2025</t>
        </is>
      </c>
      <c r="B13" s="1" t="n">
        <v>45714.45943287037</v>
      </c>
      <c r="C13" s="1" t="n">
        <v>45938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45938</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45938</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40469-2024</t>
        </is>
      </c>
      <c r="B16" s="1" t="n">
        <v>45555.53145833333</v>
      </c>
      <c r="C16" s="1" t="n">
        <v>45938</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45938</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45938</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45938</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45938</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45938</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27981-2022</t>
        </is>
      </c>
      <c r="B22" s="1" t="n">
        <v>44745</v>
      </c>
      <c r="C22" s="1" t="n">
        <v>45938</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58068-2021</t>
        </is>
      </c>
      <c r="B23" s="1" t="n">
        <v>44487</v>
      </c>
      <c r="C23" s="1" t="n">
        <v>45938</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58068-2021</t>
        </is>
      </c>
      <c r="B24" s="1" t="n">
        <v>44487</v>
      </c>
      <c r="C24" s="1" t="n">
        <v>45938</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45938</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41751-2023</t>
        </is>
      </c>
      <c r="B26" s="1" t="n">
        <v>45176</v>
      </c>
      <c r="C26" s="1" t="n">
        <v>45938</v>
      </c>
      <c r="D26" t="inlineStr">
        <is>
          <t>ÖSTERGÖTLANDS LÄN</t>
        </is>
      </c>
      <c r="E26" t="inlineStr">
        <is>
          <t>LINKÖPING</t>
        </is>
      </c>
      <c r="G26" t="n">
        <v>1.5</v>
      </c>
      <c r="H26" t="n">
        <v>1</v>
      </c>
      <c r="I26" t="n">
        <v>0</v>
      </c>
      <c r="J26" t="n">
        <v>1</v>
      </c>
      <c r="K26" t="n">
        <v>0</v>
      </c>
      <c r="L26" t="n">
        <v>0</v>
      </c>
      <c r="M26" t="n">
        <v>0</v>
      </c>
      <c r="N26" t="n">
        <v>0</v>
      </c>
      <c r="O26" t="n">
        <v>1</v>
      </c>
      <c r="P26" t="n">
        <v>0</v>
      </c>
      <c r="Q26" t="n">
        <v>2</v>
      </c>
      <c r="R26" s="2" t="inlineStr">
        <is>
          <t>Svinrot
Grönvit nattviol</t>
        </is>
      </c>
      <c r="S26">
        <f>HYPERLINK("https://klasma.github.io/Logging_0580/artfynd/A 41751-2023 artfynd.xlsx", "A 41751-2023")</f>
        <v/>
      </c>
      <c r="T26">
        <f>HYPERLINK("https://klasma.github.io/Logging_0580/kartor/A 41751-2023 karta.png", "A 41751-2023")</f>
        <v/>
      </c>
      <c r="V26">
        <f>HYPERLINK("https://klasma.github.io/Logging_0580/klagomål/A 41751-2023 FSC-klagomål.docx", "A 41751-2023")</f>
        <v/>
      </c>
      <c r="W26">
        <f>HYPERLINK("https://klasma.github.io/Logging_0580/klagomålsmail/A 41751-2023 FSC-klagomål mail.docx", "A 41751-2023")</f>
        <v/>
      </c>
      <c r="X26">
        <f>HYPERLINK("https://klasma.github.io/Logging_0580/tillsyn/A 41751-2023 tillsynsbegäran.docx", "A 41751-2023")</f>
        <v/>
      </c>
      <c r="Y26">
        <f>HYPERLINK("https://klasma.github.io/Logging_0580/tillsynsmail/A 41751-2023 tillsynsbegäran mail.docx", "A 41751-2023")</f>
        <v/>
      </c>
    </row>
    <row r="27" ht="15" customHeight="1">
      <c r="A27" t="inlineStr">
        <is>
          <t>A 22040-2023</t>
        </is>
      </c>
      <c r="B27" s="1" t="n">
        <v>45068</v>
      </c>
      <c r="C27" s="1" t="n">
        <v>45938</v>
      </c>
      <c r="D27" t="inlineStr">
        <is>
          <t>ÖSTERGÖTLANDS LÄN</t>
        </is>
      </c>
      <c r="E27" t="inlineStr">
        <is>
          <t>LINKÖPING</t>
        </is>
      </c>
      <c r="F27" t="inlineStr">
        <is>
          <t>Kommuner</t>
        </is>
      </c>
      <c r="G27" t="n">
        <v>1</v>
      </c>
      <c r="H27" t="n">
        <v>1</v>
      </c>
      <c r="I27" t="n">
        <v>1</v>
      </c>
      <c r="J27" t="n">
        <v>0</v>
      </c>
      <c r="K27" t="n">
        <v>1</v>
      </c>
      <c r="L27" t="n">
        <v>0</v>
      </c>
      <c r="M27" t="n">
        <v>0</v>
      </c>
      <c r="N27" t="n">
        <v>0</v>
      </c>
      <c r="O27" t="n">
        <v>1</v>
      </c>
      <c r="P27" t="n">
        <v>1</v>
      </c>
      <c r="Q27" t="n">
        <v>2</v>
      </c>
      <c r="R27" s="2" t="inlineStr">
        <is>
          <t>Bombmurkla
Skarp dropptaggsvamp</t>
        </is>
      </c>
      <c r="S27">
        <f>HYPERLINK("https://klasma.github.io/Logging_0580/artfynd/A 22040-2023 artfynd.xlsx", "A 22040-2023")</f>
        <v/>
      </c>
      <c r="T27">
        <f>HYPERLINK("https://klasma.github.io/Logging_0580/kartor/A 22040-2023 karta.png", "A 22040-2023")</f>
        <v/>
      </c>
      <c r="V27">
        <f>HYPERLINK("https://klasma.github.io/Logging_0580/klagomål/A 22040-2023 FSC-klagomål.docx", "A 22040-2023")</f>
        <v/>
      </c>
      <c r="W27">
        <f>HYPERLINK("https://klasma.github.io/Logging_0580/klagomålsmail/A 22040-2023 FSC-klagomål mail.docx", "A 22040-2023")</f>
        <v/>
      </c>
      <c r="X27">
        <f>HYPERLINK("https://klasma.github.io/Logging_0580/tillsyn/A 22040-2023 tillsynsbegäran.docx", "A 22040-2023")</f>
        <v/>
      </c>
      <c r="Y27">
        <f>HYPERLINK("https://klasma.github.io/Logging_0580/tillsynsmail/A 22040-2023 tillsynsbegäran mail.docx", "A 22040-2023")</f>
        <v/>
      </c>
    </row>
    <row r="28" ht="15" customHeight="1">
      <c r="A28" t="inlineStr">
        <is>
          <t>A 49188-2024</t>
        </is>
      </c>
      <c r="B28" s="1" t="n">
        <v>45595</v>
      </c>
      <c r="C28" s="1" t="n">
        <v>45938</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11613-2025</t>
        </is>
      </c>
      <c r="B29" s="1" t="n">
        <v>45727.44623842592</v>
      </c>
      <c r="C29" s="1" t="n">
        <v>45938</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42858-2023</t>
        </is>
      </c>
      <c r="B30" s="1" t="n">
        <v>45177</v>
      </c>
      <c r="C30" s="1" t="n">
        <v>45938</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55344-2024</t>
        </is>
      </c>
      <c r="B31" s="1" t="n">
        <v>45621.7202662037</v>
      </c>
      <c r="C31" s="1" t="n">
        <v>45938</v>
      </c>
      <c r="D31" t="inlineStr">
        <is>
          <t>ÖSTERGÖTLANDS LÄN</t>
        </is>
      </c>
      <c r="E31" t="inlineStr">
        <is>
          <t>LINKÖPING</t>
        </is>
      </c>
      <c r="G31" t="n">
        <v>6.6</v>
      </c>
      <c r="H31" t="n">
        <v>0</v>
      </c>
      <c r="I31" t="n">
        <v>0</v>
      </c>
      <c r="J31" t="n">
        <v>2</v>
      </c>
      <c r="K31" t="n">
        <v>0</v>
      </c>
      <c r="L31" t="n">
        <v>0</v>
      </c>
      <c r="M31" t="n">
        <v>0</v>
      </c>
      <c r="N31" t="n">
        <v>0</v>
      </c>
      <c r="O31" t="n">
        <v>2</v>
      </c>
      <c r="P31" t="n">
        <v>0</v>
      </c>
      <c r="Q31" t="n">
        <v>2</v>
      </c>
      <c r="R31" s="2" t="inlineStr">
        <is>
          <t>Kandelabersvamp
Stjärnnästing</t>
        </is>
      </c>
      <c r="S31">
        <f>HYPERLINK("https://klasma.github.io/Logging_0580/artfynd/A 55344-2024 artfynd.xlsx", "A 55344-2024")</f>
        <v/>
      </c>
      <c r="T31">
        <f>HYPERLINK("https://klasma.github.io/Logging_0580/kartor/A 55344-2024 karta.png", "A 55344-2024")</f>
        <v/>
      </c>
      <c r="V31">
        <f>HYPERLINK("https://klasma.github.io/Logging_0580/klagomål/A 55344-2024 FSC-klagomål.docx", "A 55344-2024")</f>
        <v/>
      </c>
      <c r="W31">
        <f>HYPERLINK("https://klasma.github.io/Logging_0580/klagomålsmail/A 55344-2024 FSC-klagomål mail.docx", "A 55344-2024")</f>
        <v/>
      </c>
      <c r="X31">
        <f>HYPERLINK("https://klasma.github.io/Logging_0580/tillsyn/A 55344-2024 tillsynsbegäran.docx", "A 55344-2024")</f>
        <v/>
      </c>
      <c r="Y31">
        <f>HYPERLINK("https://klasma.github.io/Logging_0580/tillsynsmail/A 55344-2024 tillsynsbegäran mail.docx", "A 55344-2024")</f>
        <v/>
      </c>
    </row>
    <row r="32" ht="15" customHeight="1">
      <c r="A32" t="inlineStr">
        <is>
          <t>A 14879-2024</t>
        </is>
      </c>
      <c r="B32" s="1" t="n">
        <v>45398</v>
      </c>
      <c r="C32" s="1" t="n">
        <v>45938</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45938</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21326-2025</t>
        </is>
      </c>
      <c r="B34" s="1" t="n">
        <v>45782.35407407407</v>
      </c>
      <c r="C34" s="1" t="n">
        <v>45938</v>
      </c>
      <c r="D34" t="inlineStr">
        <is>
          <t>ÖSTERGÖTLANDS LÄN</t>
        </is>
      </c>
      <c r="E34" t="inlineStr">
        <is>
          <t>LINKÖPING</t>
        </is>
      </c>
      <c r="G34" t="n">
        <v>4.9</v>
      </c>
      <c r="H34" t="n">
        <v>2</v>
      </c>
      <c r="I34" t="n">
        <v>0</v>
      </c>
      <c r="J34" t="n">
        <v>0</v>
      </c>
      <c r="K34" t="n">
        <v>0</v>
      </c>
      <c r="L34" t="n">
        <v>0</v>
      </c>
      <c r="M34" t="n">
        <v>0</v>
      </c>
      <c r="N34" t="n">
        <v>0</v>
      </c>
      <c r="O34" t="n">
        <v>0</v>
      </c>
      <c r="P34" t="n">
        <v>0</v>
      </c>
      <c r="Q34" t="n">
        <v>2</v>
      </c>
      <c r="R34" s="2" t="inlineStr">
        <is>
          <t>Blåsippa
Revlummer</t>
        </is>
      </c>
      <c r="S34">
        <f>HYPERLINK("https://klasma.github.io/Logging_0580/artfynd/A 21326-2025 artfynd.xlsx", "A 21326-2025")</f>
        <v/>
      </c>
      <c r="T34">
        <f>HYPERLINK("https://klasma.github.io/Logging_0580/kartor/A 21326-2025 karta.png", "A 21326-2025")</f>
        <v/>
      </c>
      <c r="V34">
        <f>HYPERLINK("https://klasma.github.io/Logging_0580/klagomål/A 21326-2025 FSC-klagomål.docx", "A 21326-2025")</f>
        <v/>
      </c>
      <c r="W34">
        <f>HYPERLINK("https://klasma.github.io/Logging_0580/klagomålsmail/A 21326-2025 FSC-klagomål mail.docx", "A 21326-2025")</f>
        <v/>
      </c>
      <c r="X34">
        <f>HYPERLINK("https://klasma.github.io/Logging_0580/tillsyn/A 21326-2025 tillsynsbegäran.docx", "A 21326-2025")</f>
        <v/>
      </c>
      <c r="Y34">
        <f>HYPERLINK("https://klasma.github.io/Logging_0580/tillsynsmail/A 21326-2025 tillsynsbegäran mail.docx", "A 21326-2025")</f>
        <v/>
      </c>
    </row>
    <row r="35" ht="15" customHeight="1">
      <c r="A35" t="inlineStr">
        <is>
          <t>A 20292-2025</t>
        </is>
      </c>
      <c r="B35" s="1" t="n">
        <v>45774.7449537037</v>
      </c>
      <c r="C35" s="1" t="n">
        <v>45938</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45938</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27795-2025</t>
        </is>
      </c>
      <c r="B37" s="1" t="n">
        <v>45816.7908912037</v>
      </c>
      <c r="C37" s="1" t="n">
        <v>45938</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38913-2023</t>
        </is>
      </c>
      <c r="B38" s="1" t="n">
        <v>45163</v>
      </c>
      <c r="C38" s="1" t="n">
        <v>45938</v>
      </c>
      <c r="D38" t="inlineStr">
        <is>
          <t>ÖSTERGÖTLANDS LÄN</t>
        </is>
      </c>
      <c r="E38" t="inlineStr">
        <is>
          <t>LINKÖPING</t>
        </is>
      </c>
      <c r="G38" t="n">
        <v>2.7</v>
      </c>
      <c r="H38" t="n">
        <v>1</v>
      </c>
      <c r="I38" t="n">
        <v>1</v>
      </c>
      <c r="J38" t="n">
        <v>0</v>
      </c>
      <c r="K38" t="n">
        <v>0</v>
      </c>
      <c r="L38" t="n">
        <v>0</v>
      </c>
      <c r="M38" t="n">
        <v>0</v>
      </c>
      <c r="N38" t="n">
        <v>0</v>
      </c>
      <c r="O38" t="n">
        <v>0</v>
      </c>
      <c r="P38" t="n">
        <v>0</v>
      </c>
      <c r="Q38" t="n">
        <v>2</v>
      </c>
      <c r="R38" s="2" t="inlineStr">
        <is>
          <t>Skogsbräsma
Revlummer</t>
        </is>
      </c>
      <c r="S38">
        <f>HYPERLINK("https://klasma.github.io/Logging_0580/artfynd/A 38913-2023 artfynd.xlsx", "A 38913-2023")</f>
        <v/>
      </c>
      <c r="T38">
        <f>HYPERLINK("https://klasma.github.io/Logging_0580/kartor/A 38913-2023 karta.png", "A 38913-2023")</f>
        <v/>
      </c>
      <c r="V38">
        <f>HYPERLINK("https://klasma.github.io/Logging_0580/klagomål/A 38913-2023 FSC-klagomål.docx", "A 38913-2023")</f>
        <v/>
      </c>
      <c r="W38">
        <f>HYPERLINK("https://klasma.github.io/Logging_0580/klagomålsmail/A 38913-2023 FSC-klagomål mail.docx", "A 38913-2023")</f>
        <v/>
      </c>
      <c r="X38">
        <f>HYPERLINK("https://klasma.github.io/Logging_0580/tillsyn/A 38913-2023 tillsynsbegäran.docx", "A 38913-2023")</f>
        <v/>
      </c>
      <c r="Y38">
        <f>HYPERLINK("https://klasma.github.io/Logging_0580/tillsynsmail/A 38913-2023 tillsynsbegäran mail.docx", "A 38913-2023")</f>
        <v/>
      </c>
    </row>
    <row r="39" ht="15" customHeight="1">
      <c r="A39" t="inlineStr">
        <is>
          <t>A 25985-2025</t>
        </is>
      </c>
      <c r="B39" s="1" t="n">
        <v>45804.64479166667</v>
      </c>
      <c r="C39" s="1" t="n">
        <v>45938</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38129-2021</t>
        </is>
      </c>
      <c r="B40" s="1" t="n">
        <v>44405.37199074074</v>
      </c>
      <c r="C40" s="1" t="n">
        <v>45938</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71127-2021</t>
        </is>
      </c>
      <c r="B41" s="1" t="n">
        <v>44537</v>
      </c>
      <c r="C41" s="1" t="n">
        <v>45938</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45938</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45938</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45938</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46496-2022</t>
        </is>
      </c>
      <c r="B45" s="1" t="n">
        <v>44848</v>
      </c>
      <c r="C45" s="1" t="n">
        <v>45938</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931-2025</t>
        </is>
      </c>
      <c r="B46" s="1" t="n">
        <v>45665.88498842593</v>
      </c>
      <c r="C46" s="1" t="n">
        <v>45938</v>
      </c>
      <c r="D46" t="inlineStr">
        <is>
          <t>ÖSTERGÖTLANDS LÄN</t>
        </is>
      </c>
      <c r="E46" t="inlineStr">
        <is>
          <t>LINKÖPING</t>
        </is>
      </c>
      <c r="F46" t="inlineStr">
        <is>
          <t>Övriga Aktiebolag</t>
        </is>
      </c>
      <c r="G46" t="n">
        <v>0.8</v>
      </c>
      <c r="H46" t="n">
        <v>0</v>
      </c>
      <c r="I46" t="n">
        <v>0</v>
      </c>
      <c r="J46" t="n">
        <v>1</v>
      </c>
      <c r="K46" t="n">
        <v>0</v>
      </c>
      <c r="L46" t="n">
        <v>0</v>
      </c>
      <c r="M46" t="n">
        <v>0</v>
      </c>
      <c r="N46" t="n">
        <v>0</v>
      </c>
      <c r="O46" t="n">
        <v>1</v>
      </c>
      <c r="P46" t="n">
        <v>0</v>
      </c>
      <c r="Q46" t="n">
        <v>1</v>
      </c>
      <c r="R46" s="2" t="inlineStr">
        <is>
          <t>Tallticka</t>
        </is>
      </c>
      <c r="S46">
        <f>HYPERLINK("https://klasma.github.io/Logging_0580/artfynd/A 931-2025 artfynd.xlsx", "A 931-2025")</f>
        <v/>
      </c>
      <c r="T46">
        <f>HYPERLINK("https://klasma.github.io/Logging_0580/kartor/A 931-2025 karta.png", "A 931-2025")</f>
        <v/>
      </c>
      <c r="V46">
        <f>HYPERLINK("https://klasma.github.io/Logging_0580/klagomål/A 931-2025 FSC-klagomål.docx", "A 931-2025")</f>
        <v/>
      </c>
      <c r="W46">
        <f>HYPERLINK("https://klasma.github.io/Logging_0580/klagomålsmail/A 931-2025 FSC-klagomål mail.docx", "A 931-2025")</f>
        <v/>
      </c>
      <c r="X46">
        <f>HYPERLINK("https://klasma.github.io/Logging_0580/tillsyn/A 931-2025 tillsynsbegäran.docx", "A 931-2025")</f>
        <v/>
      </c>
      <c r="Y46">
        <f>HYPERLINK("https://klasma.github.io/Logging_0580/tillsynsmail/A 931-2025 tillsynsbegäran mail.docx", "A 931-2025")</f>
        <v/>
      </c>
    </row>
    <row r="47" ht="15" customHeight="1">
      <c r="A47" t="inlineStr">
        <is>
          <t>A 1716-2023</t>
        </is>
      </c>
      <c r="B47" s="1" t="n">
        <v>44938</v>
      </c>
      <c r="C47" s="1" t="n">
        <v>45938</v>
      </c>
      <c r="D47" t="inlineStr">
        <is>
          <t>ÖSTERGÖTLANDS LÄN</t>
        </is>
      </c>
      <c r="E47" t="inlineStr">
        <is>
          <t>LINKÖPING</t>
        </is>
      </c>
      <c r="G47" t="n">
        <v>3.6</v>
      </c>
      <c r="H47" t="n">
        <v>0</v>
      </c>
      <c r="I47" t="n">
        <v>0</v>
      </c>
      <c r="J47" t="n">
        <v>1</v>
      </c>
      <c r="K47" t="n">
        <v>0</v>
      </c>
      <c r="L47" t="n">
        <v>0</v>
      </c>
      <c r="M47" t="n">
        <v>0</v>
      </c>
      <c r="N47" t="n">
        <v>0</v>
      </c>
      <c r="O47" t="n">
        <v>1</v>
      </c>
      <c r="P47" t="n">
        <v>0</v>
      </c>
      <c r="Q47" t="n">
        <v>1</v>
      </c>
      <c r="R47" s="2" t="inlineStr">
        <is>
          <t>Svinrot</t>
        </is>
      </c>
      <c r="S47">
        <f>HYPERLINK("https://klasma.github.io/Logging_0580/artfynd/A 1716-2023 artfynd.xlsx", "A 1716-2023")</f>
        <v/>
      </c>
      <c r="T47">
        <f>HYPERLINK("https://klasma.github.io/Logging_0580/kartor/A 1716-2023 karta.png", "A 1716-2023")</f>
        <v/>
      </c>
      <c r="V47">
        <f>HYPERLINK("https://klasma.github.io/Logging_0580/klagomål/A 1716-2023 FSC-klagomål.docx", "A 1716-2023")</f>
        <v/>
      </c>
      <c r="W47">
        <f>HYPERLINK("https://klasma.github.io/Logging_0580/klagomålsmail/A 1716-2023 FSC-klagomål mail.docx", "A 1716-2023")</f>
        <v/>
      </c>
      <c r="X47">
        <f>HYPERLINK("https://klasma.github.io/Logging_0580/tillsyn/A 1716-2023 tillsynsbegäran.docx", "A 1716-2023")</f>
        <v/>
      </c>
      <c r="Y47">
        <f>HYPERLINK("https://klasma.github.io/Logging_0580/tillsynsmail/A 1716-2023 tillsynsbegäran mail.docx", "A 1716-2023")</f>
        <v/>
      </c>
    </row>
    <row r="48" ht="15" customHeight="1">
      <c r="A48" t="inlineStr">
        <is>
          <t>A 1213-2023</t>
        </is>
      </c>
      <c r="B48" s="1" t="n">
        <v>44930</v>
      </c>
      <c r="C48" s="1" t="n">
        <v>45938</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45938</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43017-2021</t>
        </is>
      </c>
      <c r="B50" s="1" t="n">
        <v>44431</v>
      </c>
      <c r="C50" s="1" t="n">
        <v>45938</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Hapalopilus aurantiacus</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90-2024</t>
        </is>
      </c>
      <c r="B51" s="1" t="n">
        <v>45293</v>
      </c>
      <c r="C51" s="1" t="n">
        <v>45938</v>
      </c>
      <c r="D51" t="inlineStr">
        <is>
          <t>ÖSTERGÖTLANDS LÄN</t>
        </is>
      </c>
      <c r="E51" t="inlineStr">
        <is>
          <t>LINKÖPING</t>
        </is>
      </c>
      <c r="G51" t="n">
        <v>1.8</v>
      </c>
      <c r="H51" t="n">
        <v>0</v>
      </c>
      <c r="I51" t="n">
        <v>1</v>
      </c>
      <c r="J51" t="n">
        <v>0</v>
      </c>
      <c r="K51" t="n">
        <v>0</v>
      </c>
      <c r="L51" t="n">
        <v>0</v>
      </c>
      <c r="M51" t="n">
        <v>0</v>
      </c>
      <c r="N51" t="n">
        <v>0</v>
      </c>
      <c r="O51" t="n">
        <v>0</v>
      </c>
      <c r="P51" t="n">
        <v>0</v>
      </c>
      <c r="Q51" t="n">
        <v>1</v>
      </c>
      <c r="R51" s="2" t="inlineStr">
        <is>
          <t>Grov fjädermossa</t>
        </is>
      </c>
      <c r="S51">
        <f>HYPERLINK("https://klasma.github.io/Logging_0580/artfynd/A 90-2024 artfynd.xlsx", "A 90-2024")</f>
        <v/>
      </c>
      <c r="T51">
        <f>HYPERLINK("https://klasma.github.io/Logging_0580/kartor/A 90-2024 karta.png", "A 90-2024")</f>
        <v/>
      </c>
      <c r="V51">
        <f>HYPERLINK("https://klasma.github.io/Logging_0580/klagomål/A 90-2024 FSC-klagomål.docx", "A 90-2024")</f>
        <v/>
      </c>
      <c r="W51">
        <f>HYPERLINK("https://klasma.github.io/Logging_0580/klagomålsmail/A 90-2024 FSC-klagomål mail.docx", "A 90-2024")</f>
        <v/>
      </c>
      <c r="X51">
        <f>HYPERLINK("https://klasma.github.io/Logging_0580/tillsyn/A 90-2024 tillsynsbegäran.docx", "A 90-2024")</f>
        <v/>
      </c>
      <c r="Y51">
        <f>HYPERLINK("https://klasma.github.io/Logging_0580/tillsynsmail/A 90-2024 tillsynsbegäran mail.docx", "A 90-2024")</f>
        <v/>
      </c>
    </row>
    <row r="52" ht="15" customHeight="1">
      <c r="A52" t="inlineStr">
        <is>
          <t>A 40315-2024</t>
        </is>
      </c>
      <c r="B52" s="1" t="n">
        <v>45554.7571875</v>
      </c>
      <c r="C52" s="1" t="n">
        <v>45938</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35948-2023</t>
        </is>
      </c>
      <c r="B53" s="1" t="n">
        <v>45148</v>
      </c>
      <c r="C53" s="1" t="n">
        <v>45938</v>
      </c>
      <c r="D53" t="inlineStr">
        <is>
          <t>ÖSTERGÖTLANDS LÄN</t>
        </is>
      </c>
      <c r="E53" t="inlineStr">
        <is>
          <t>LINKÖPING</t>
        </is>
      </c>
      <c r="G53" t="n">
        <v>1.9</v>
      </c>
      <c r="H53" t="n">
        <v>0</v>
      </c>
      <c r="I53" t="n">
        <v>1</v>
      </c>
      <c r="J53" t="n">
        <v>0</v>
      </c>
      <c r="K53" t="n">
        <v>0</v>
      </c>
      <c r="L53" t="n">
        <v>0</v>
      </c>
      <c r="M53" t="n">
        <v>0</v>
      </c>
      <c r="N53" t="n">
        <v>0</v>
      </c>
      <c r="O53" t="n">
        <v>0</v>
      </c>
      <c r="P53" t="n">
        <v>0</v>
      </c>
      <c r="Q53" t="n">
        <v>1</v>
      </c>
      <c r="R53" s="2" t="inlineStr">
        <is>
          <t>Brun nållav</t>
        </is>
      </c>
      <c r="S53">
        <f>HYPERLINK("https://klasma.github.io/Logging_0580/artfynd/A 35948-2023 artfynd.xlsx", "A 35948-2023")</f>
        <v/>
      </c>
      <c r="T53">
        <f>HYPERLINK("https://klasma.github.io/Logging_0580/kartor/A 35948-2023 karta.png", "A 35948-2023")</f>
        <v/>
      </c>
      <c r="V53">
        <f>HYPERLINK("https://klasma.github.io/Logging_0580/klagomål/A 35948-2023 FSC-klagomål.docx", "A 35948-2023")</f>
        <v/>
      </c>
      <c r="W53">
        <f>HYPERLINK("https://klasma.github.io/Logging_0580/klagomålsmail/A 35948-2023 FSC-klagomål mail.docx", "A 35948-2023")</f>
        <v/>
      </c>
      <c r="X53">
        <f>HYPERLINK("https://klasma.github.io/Logging_0580/tillsyn/A 35948-2023 tillsynsbegäran.docx", "A 35948-2023")</f>
        <v/>
      </c>
      <c r="Y53">
        <f>HYPERLINK("https://klasma.github.io/Logging_0580/tillsynsmail/A 35948-2023 tillsynsbegäran mail.docx", "A 35948-2023")</f>
        <v/>
      </c>
    </row>
    <row r="54" ht="15" customHeight="1">
      <c r="A54" t="inlineStr">
        <is>
          <t>A 15290-2025</t>
        </is>
      </c>
      <c r="B54" s="1" t="n">
        <v>45745.45288194445</v>
      </c>
      <c r="C54" s="1" t="n">
        <v>45938</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62071-2023</t>
        </is>
      </c>
      <c r="B55" s="1" t="n">
        <v>45266.73542824074</v>
      </c>
      <c r="C55" s="1" t="n">
        <v>45938</v>
      </c>
      <c r="D55" t="inlineStr">
        <is>
          <t>ÖSTERGÖTLANDS LÄN</t>
        </is>
      </c>
      <c r="E55" t="inlineStr">
        <is>
          <t>LINKÖPING</t>
        </is>
      </c>
      <c r="G55" t="n">
        <v>6.5</v>
      </c>
      <c r="H55" t="n">
        <v>0</v>
      </c>
      <c r="I55" t="n">
        <v>0</v>
      </c>
      <c r="J55" t="n">
        <v>1</v>
      </c>
      <c r="K55" t="n">
        <v>0</v>
      </c>
      <c r="L55" t="n">
        <v>0</v>
      </c>
      <c r="M55" t="n">
        <v>0</v>
      </c>
      <c r="N55" t="n">
        <v>0</v>
      </c>
      <c r="O55" t="n">
        <v>1</v>
      </c>
      <c r="P55" t="n">
        <v>0</v>
      </c>
      <c r="Q55" t="n">
        <v>1</v>
      </c>
      <c r="R55" s="2" t="inlineStr">
        <is>
          <t>Svinrot</t>
        </is>
      </c>
      <c r="S55">
        <f>HYPERLINK("https://klasma.github.io/Logging_0580/artfynd/A 62071-2023 artfynd.xlsx", "A 62071-2023")</f>
        <v/>
      </c>
      <c r="T55">
        <f>HYPERLINK("https://klasma.github.io/Logging_0580/kartor/A 62071-2023 karta.png", "A 62071-2023")</f>
        <v/>
      </c>
      <c r="V55">
        <f>HYPERLINK("https://klasma.github.io/Logging_0580/klagomål/A 62071-2023 FSC-klagomål.docx", "A 62071-2023")</f>
        <v/>
      </c>
      <c r="W55">
        <f>HYPERLINK("https://klasma.github.io/Logging_0580/klagomålsmail/A 62071-2023 FSC-klagomål mail.docx", "A 62071-2023")</f>
        <v/>
      </c>
      <c r="X55">
        <f>HYPERLINK("https://klasma.github.io/Logging_0580/tillsyn/A 62071-2023 tillsynsbegäran.docx", "A 62071-2023")</f>
        <v/>
      </c>
      <c r="Y55">
        <f>HYPERLINK("https://klasma.github.io/Logging_0580/tillsynsmail/A 62071-2023 tillsynsbegäran mail.docx", "A 62071-2023")</f>
        <v/>
      </c>
    </row>
    <row r="56" ht="15" customHeight="1">
      <c r="A56" t="inlineStr">
        <is>
          <t>A 3397-2023</t>
        </is>
      </c>
      <c r="B56" s="1" t="n">
        <v>44949</v>
      </c>
      <c r="C56" s="1" t="n">
        <v>45938</v>
      </c>
      <c r="D56" t="inlineStr">
        <is>
          <t>ÖSTERGÖTLANDS LÄN</t>
        </is>
      </c>
      <c r="E56" t="inlineStr">
        <is>
          <t>LINKÖPING</t>
        </is>
      </c>
      <c r="G56" t="n">
        <v>4.1</v>
      </c>
      <c r="H56" t="n">
        <v>0</v>
      </c>
      <c r="I56" t="n">
        <v>0</v>
      </c>
      <c r="J56" t="n">
        <v>1</v>
      </c>
      <c r="K56" t="n">
        <v>0</v>
      </c>
      <c r="L56" t="n">
        <v>0</v>
      </c>
      <c r="M56" t="n">
        <v>0</v>
      </c>
      <c r="N56" t="n">
        <v>0</v>
      </c>
      <c r="O56" t="n">
        <v>1</v>
      </c>
      <c r="P56" t="n">
        <v>0</v>
      </c>
      <c r="Q56" t="n">
        <v>1</v>
      </c>
      <c r="R56" s="2" t="inlineStr">
        <is>
          <t>Svinrot</t>
        </is>
      </c>
      <c r="S56">
        <f>HYPERLINK("https://klasma.github.io/Logging_0580/artfynd/A 3397-2023 artfynd.xlsx", "A 3397-2023")</f>
        <v/>
      </c>
      <c r="T56">
        <f>HYPERLINK("https://klasma.github.io/Logging_0580/kartor/A 3397-2023 karta.png", "A 3397-2023")</f>
        <v/>
      </c>
      <c r="V56">
        <f>HYPERLINK("https://klasma.github.io/Logging_0580/klagomål/A 3397-2023 FSC-klagomål.docx", "A 3397-2023")</f>
        <v/>
      </c>
      <c r="W56">
        <f>HYPERLINK("https://klasma.github.io/Logging_0580/klagomålsmail/A 3397-2023 FSC-klagomål mail.docx", "A 3397-2023")</f>
        <v/>
      </c>
      <c r="X56">
        <f>HYPERLINK("https://klasma.github.io/Logging_0580/tillsyn/A 3397-2023 tillsynsbegäran.docx", "A 3397-2023")</f>
        <v/>
      </c>
      <c r="Y56">
        <f>HYPERLINK("https://klasma.github.io/Logging_0580/tillsynsmail/A 3397-2023 tillsynsbegäran mail.docx", "A 3397-2023")</f>
        <v/>
      </c>
    </row>
    <row r="57" ht="15" customHeight="1">
      <c r="A57" t="inlineStr">
        <is>
          <t>A 34881-2023</t>
        </is>
      </c>
      <c r="B57" s="1" t="n">
        <v>45140</v>
      </c>
      <c r="C57" s="1" t="n">
        <v>45938</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50471-2024</t>
        </is>
      </c>
      <c r="B58" s="1" t="n">
        <v>45601.47166666666</v>
      </c>
      <c r="C58" s="1" t="n">
        <v>45938</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22526-2025</t>
        </is>
      </c>
      <c r="B59" s="1" t="n">
        <v>45786.78096064815</v>
      </c>
      <c r="C59" s="1" t="n">
        <v>45938</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17389-2021</t>
        </is>
      </c>
      <c r="B60" s="1" t="n">
        <v>44298.96792824074</v>
      </c>
      <c r="C60" s="1" t="n">
        <v>45938</v>
      </c>
      <c r="D60" t="inlineStr">
        <is>
          <t>ÖSTERGÖTLANDS LÄN</t>
        </is>
      </c>
      <c r="E60" t="inlineStr">
        <is>
          <t>LINKÖPING</t>
        </is>
      </c>
      <c r="G60" t="n">
        <v>5.1</v>
      </c>
      <c r="H60" t="n">
        <v>0</v>
      </c>
      <c r="I60" t="n">
        <v>1</v>
      </c>
      <c r="J60" t="n">
        <v>0</v>
      </c>
      <c r="K60" t="n">
        <v>0</v>
      </c>
      <c r="L60" t="n">
        <v>0</v>
      </c>
      <c r="M60" t="n">
        <v>0</v>
      </c>
      <c r="N60" t="n">
        <v>0</v>
      </c>
      <c r="O60" t="n">
        <v>0</v>
      </c>
      <c r="P60" t="n">
        <v>0</v>
      </c>
      <c r="Q60" t="n">
        <v>1</v>
      </c>
      <c r="R60" s="2" t="inlineStr">
        <is>
          <t>Blomkålssvamp</t>
        </is>
      </c>
      <c r="S60">
        <f>HYPERLINK("https://klasma.github.io/Logging_0580/artfynd/A 17389-2021 artfynd.xlsx", "A 17389-2021")</f>
        <v/>
      </c>
      <c r="T60">
        <f>HYPERLINK("https://klasma.github.io/Logging_0580/kartor/A 17389-2021 karta.png", "A 17389-2021")</f>
        <v/>
      </c>
      <c r="V60">
        <f>HYPERLINK("https://klasma.github.io/Logging_0580/klagomål/A 17389-2021 FSC-klagomål.docx", "A 17389-2021")</f>
        <v/>
      </c>
      <c r="W60">
        <f>HYPERLINK("https://klasma.github.io/Logging_0580/klagomålsmail/A 17389-2021 FSC-klagomål mail.docx", "A 17389-2021")</f>
        <v/>
      </c>
      <c r="X60">
        <f>HYPERLINK("https://klasma.github.io/Logging_0580/tillsyn/A 17389-2021 tillsynsbegäran.docx", "A 17389-2021")</f>
        <v/>
      </c>
      <c r="Y60">
        <f>HYPERLINK("https://klasma.github.io/Logging_0580/tillsynsmail/A 17389-2021 tillsynsbegäran mail.docx", "A 17389-2021")</f>
        <v/>
      </c>
    </row>
    <row r="61" ht="15" customHeight="1">
      <c r="A61" t="inlineStr">
        <is>
          <t>A 56128-2022</t>
        </is>
      </c>
      <c r="B61" s="1" t="n">
        <v>44889</v>
      </c>
      <c r="C61" s="1" t="n">
        <v>45938</v>
      </c>
      <c r="D61" t="inlineStr">
        <is>
          <t>ÖSTERGÖTLANDS LÄN</t>
        </is>
      </c>
      <c r="E61" t="inlineStr">
        <is>
          <t>LINKÖPING</t>
        </is>
      </c>
      <c r="G61" t="n">
        <v>2</v>
      </c>
      <c r="H61" t="n">
        <v>0</v>
      </c>
      <c r="I61" t="n">
        <v>1</v>
      </c>
      <c r="J61" t="n">
        <v>0</v>
      </c>
      <c r="K61" t="n">
        <v>0</v>
      </c>
      <c r="L61" t="n">
        <v>0</v>
      </c>
      <c r="M61" t="n">
        <v>0</v>
      </c>
      <c r="N61" t="n">
        <v>0</v>
      </c>
      <c r="O61" t="n">
        <v>0</v>
      </c>
      <c r="P61" t="n">
        <v>0</v>
      </c>
      <c r="Q61" t="n">
        <v>1</v>
      </c>
      <c r="R61" s="2" t="inlineStr">
        <is>
          <t>Tibast</t>
        </is>
      </c>
      <c r="S61">
        <f>HYPERLINK("https://klasma.github.io/Logging_0580/artfynd/A 56128-2022 artfynd.xlsx", "A 56128-2022")</f>
        <v/>
      </c>
      <c r="T61">
        <f>HYPERLINK("https://klasma.github.io/Logging_0580/kartor/A 56128-2022 karta.png", "A 56128-2022")</f>
        <v/>
      </c>
      <c r="V61">
        <f>HYPERLINK("https://klasma.github.io/Logging_0580/klagomål/A 56128-2022 FSC-klagomål.docx", "A 56128-2022")</f>
        <v/>
      </c>
      <c r="W61">
        <f>HYPERLINK("https://klasma.github.io/Logging_0580/klagomålsmail/A 56128-2022 FSC-klagomål mail.docx", "A 56128-2022")</f>
        <v/>
      </c>
      <c r="X61">
        <f>HYPERLINK("https://klasma.github.io/Logging_0580/tillsyn/A 56128-2022 tillsynsbegäran.docx", "A 56128-2022")</f>
        <v/>
      </c>
      <c r="Y61">
        <f>HYPERLINK("https://klasma.github.io/Logging_0580/tillsynsmail/A 56128-2022 tillsynsbegäran mail.docx", "A 56128-2022")</f>
        <v/>
      </c>
    </row>
    <row r="62" ht="15" customHeight="1">
      <c r="A62" t="inlineStr">
        <is>
          <t>A 40309-2024</t>
        </is>
      </c>
      <c r="B62" s="1" t="n">
        <v>45554.724375</v>
      </c>
      <c r="C62" s="1" t="n">
        <v>45938</v>
      </c>
      <c r="D62" t="inlineStr">
        <is>
          <t>ÖSTERGÖTLANDS LÄN</t>
        </is>
      </c>
      <c r="E62" t="inlineStr">
        <is>
          <t>LINKÖPING</t>
        </is>
      </c>
      <c r="F62" t="inlineStr">
        <is>
          <t>Allmännings- och besparingsskogar</t>
        </is>
      </c>
      <c r="G62" t="n">
        <v>6</v>
      </c>
      <c r="H62" t="n">
        <v>0</v>
      </c>
      <c r="I62" t="n">
        <v>0</v>
      </c>
      <c r="J62" t="n">
        <v>1</v>
      </c>
      <c r="K62" t="n">
        <v>0</v>
      </c>
      <c r="L62" t="n">
        <v>0</v>
      </c>
      <c r="M62" t="n">
        <v>0</v>
      </c>
      <c r="N62" t="n">
        <v>0</v>
      </c>
      <c r="O62" t="n">
        <v>1</v>
      </c>
      <c r="P62" t="n">
        <v>0</v>
      </c>
      <c r="Q62" t="n">
        <v>1</v>
      </c>
      <c r="R62" s="2" t="inlineStr">
        <is>
          <t>Garnlav</t>
        </is>
      </c>
      <c r="S62">
        <f>HYPERLINK("https://klasma.github.io/Logging_0580/artfynd/A 40309-2024 artfynd.xlsx", "A 40309-2024")</f>
        <v/>
      </c>
      <c r="T62">
        <f>HYPERLINK("https://klasma.github.io/Logging_0580/kartor/A 40309-2024 karta.png", "A 40309-2024")</f>
        <v/>
      </c>
      <c r="V62">
        <f>HYPERLINK("https://klasma.github.io/Logging_0580/klagomål/A 40309-2024 FSC-klagomål.docx", "A 40309-2024")</f>
        <v/>
      </c>
      <c r="W62">
        <f>HYPERLINK("https://klasma.github.io/Logging_0580/klagomålsmail/A 40309-2024 FSC-klagomål mail.docx", "A 40309-2024")</f>
        <v/>
      </c>
      <c r="X62">
        <f>HYPERLINK("https://klasma.github.io/Logging_0580/tillsyn/A 40309-2024 tillsynsbegäran.docx", "A 40309-2024")</f>
        <v/>
      </c>
      <c r="Y62">
        <f>HYPERLINK("https://klasma.github.io/Logging_0580/tillsynsmail/A 40309-2024 tillsynsbegäran mail.docx", "A 40309-2024")</f>
        <v/>
      </c>
    </row>
    <row r="63" ht="15" customHeight="1">
      <c r="A63" t="inlineStr">
        <is>
          <t>A 48347-2025</t>
        </is>
      </c>
      <c r="B63" s="1" t="n">
        <v>45932</v>
      </c>
      <c r="C63" s="1" t="n">
        <v>45938</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45938</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48273-2025</t>
        </is>
      </c>
      <c r="B65" s="1" t="n">
        <v>45932</v>
      </c>
      <c r="C65" s="1" t="n">
        <v>45938</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45938</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54835-2023</t>
        </is>
      </c>
      <c r="B67" s="1" t="n">
        <v>45236</v>
      </c>
      <c r="C67" s="1" t="n">
        <v>45938</v>
      </c>
      <c r="D67" t="inlineStr">
        <is>
          <t>ÖSTERGÖTLANDS LÄN</t>
        </is>
      </c>
      <c r="E67" t="inlineStr">
        <is>
          <t>LINKÖPING</t>
        </is>
      </c>
      <c r="G67" t="n">
        <v>2</v>
      </c>
      <c r="H67" t="n">
        <v>1</v>
      </c>
      <c r="I67" t="n">
        <v>0</v>
      </c>
      <c r="J67" t="n">
        <v>0</v>
      </c>
      <c r="K67" t="n">
        <v>0</v>
      </c>
      <c r="L67" t="n">
        <v>0</v>
      </c>
      <c r="M67" t="n">
        <v>0</v>
      </c>
      <c r="N67" t="n">
        <v>0</v>
      </c>
      <c r="O67" t="n">
        <v>0</v>
      </c>
      <c r="P67" t="n">
        <v>0</v>
      </c>
      <c r="Q67" t="n">
        <v>1</v>
      </c>
      <c r="R67" s="2" t="inlineStr">
        <is>
          <t>Sparvuggla</t>
        </is>
      </c>
      <c r="S67">
        <f>HYPERLINK("https://klasma.github.io/Logging_0580/artfynd/A 54835-2023 artfynd.xlsx", "A 54835-2023")</f>
        <v/>
      </c>
      <c r="T67">
        <f>HYPERLINK("https://klasma.github.io/Logging_0580/kartor/A 54835-2023 karta.png", "A 54835-2023")</f>
        <v/>
      </c>
      <c r="V67">
        <f>HYPERLINK("https://klasma.github.io/Logging_0580/klagomål/A 54835-2023 FSC-klagomål.docx", "A 54835-2023")</f>
        <v/>
      </c>
      <c r="W67">
        <f>HYPERLINK("https://klasma.github.io/Logging_0580/klagomålsmail/A 54835-2023 FSC-klagomål mail.docx", "A 54835-2023")</f>
        <v/>
      </c>
      <c r="X67">
        <f>HYPERLINK("https://klasma.github.io/Logging_0580/tillsyn/A 54835-2023 tillsynsbegäran.docx", "A 54835-2023")</f>
        <v/>
      </c>
      <c r="Y67">
        <f>HYPERLINK("https://klasma.github.io/Logging_0580/tillsynsmail/A 54835-2023 tillsynsbegäran mail.docx", "A 54835-2023")</f>
        <v/>
      </c>
      <c r="Z67">
        <f>HYPERLINK("https://klasma.github.io/Logging_0580/fåglar/A 54835-2023 prioriterade fågelarter.docx", "A 54835-2023")</f>
        <v/>
      </c>
    </row>
    <row r="68" ht="15" customHeight="1">
      <c r="A68" t="inlineStr">
        <is>
          <t>A 20295-2025</t>
        </is>
      </c>
      <c r="B68" s="1" t="n">
        <v>45774.74846064814</v>
      </c>
      <c r="C68" s="1" t="n">
        <v>45938</v>
      </c>
      <c r="D68" t="inlineStr">
        <is>
          <t>ÖSTERGÖTLANDS LÄN</t>
        </is>
      </c>
      <c r="E68" t="inlineStr">
        <is>
          <t>LINKÖPING</t>
        </is>
      </c>
      <c r="G68" t="n">
        <v>3</v>
      </c>
      <c r="H68" t="n">
        <v>0</v>
      </c>
      <c r="I68" t="n">
        <v>0</v>
      </c>
      <c r="J68" t="n">
        <v>1</v>
      </c>
      <c r="K68" t="n">
        <v>0</v>
      </c>
      <c r="L68" t="n">
        <v>0</v>
      </c>
      <c r="M68" t="n">
        <v>0</v>
      </c>
      <c r="N68" t="n">
        <v>0</v>
      </c>
      <c r="O68" t="n">
        <v>1</v>
      </c>
      <c r="P68" t="n">
        <v>0</v>
      </c>
      <c r="Q68" t="n">
        <v>1</v>
      </c>
      <c r="R68" s="2" t="inlineStr">
        <is>
          <t>Tallticka</t>
        </is>
      </c>
      <c r="S68">
        <f>HYPERLINK("https://klasma.github.io/Logging_0580/artfynd/A 20295-2025 artfynd.xlsx", "A 20295-2025")</f>
        <v/>
      </c>
      <c r="T68">
        <f>HYPERLINK("https://klasma.github.io/Logging_0580/kartor/A 20295-2025 karta.png", "A 20295-2025")</f>
        <v/>
      </c>
      <c r="V68">
        <f>HYPERLINK("https://klasma.github.io/Logging_0580/klagomål/A 20295-2025 FSC-klagomål.docx", "A 20295-2025")</f>
        <v/>
      </c>
      <c r="W68">
        <f>HYPERLINK("https://klasma.github.io/Logging_0580/klagomålsmail/A 20295-2025 FSC-klagomål mail.docx", "A 20295-2025")</f>
        <v/>
      </c>
      <c r="X68">
        <f>HYPERLINK("https://klasma.github.io/Logging_0580/tillsyn/A 20295-2025 tillsynsbegäran.docx", "A 20295-2025")</f>
        <v/>
      </c>
      <c r="Y68">
        <f>HYPERLINK("https://klasma.github.io/Logging_0580/tillsynsmail/A 20295-2025 tillsynsbegäran mail.docx", "A 20295-2025")</f>
        <v/>
      </c>
    </row>
    <row r="69" ht="15" customHeight="1">
      <c r="A69" t="inlineStr">
        <is>
          <t>A 60573-2021</t>
        </is>
      </c>
      <c r="B69" s="1" t="n">
        <v>44496</v>
      </c>
      <c r="C69" s="1" t="n">
        <v>45938</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126-2024</t>
        </is>
      </c>
      <c r="B70" s="1" t="n">
        <v>45294</v>
      </c>
      <c r="C70" s="1" t="n">
        <v>45938</v>
      </c>
      <c r="D70" t="inlineStr">
        <is>
          <t>ÖSTERGÖTLANDS LÄN</t>
        </is>
      </c>
      <c r="E70" t="inlineStr">
        <is>
          <t>LINKÖPING</t>
        </is>
      </c>
      <c r="G70" t="n">
        <v>1</v>
      </c>
      <c r="H70" t="n">
        <v>0</v>
      </c>
      <c r="I70" t="n">
        <v>1</v>
      </c>
      <c r="J70" t="n">
        <v>0</v>
      </c>
      <c r="K70" t="n">
        <v>0</v>
      </c>
      <c r="L70" t="n">
        <v>0</v>
      </c>
      <c r="M70" t="n">
        <v>0</v>
      </c>
      <c r="N70" t="n">
        <v>0</v>
      </c>
      <c r="O70" t="n">
        <v>0</v>
      </c>
      <c r="P70" t="n">
        <v>0</v>
      </c>
      <c r="Q70" t="n">
        <v>1</v>
      </c>
      <c r="R70" s="2" t="inlineStr">
        <is>
          <t>Blåmossa</t>
        </is>
      </c>
      <c r="S70">
        <f>HYPERLINK("https://klasma.github.io/Logging_0580/artfynd/A 126-2024 artfynd.xlsx", "A 126-2024")</f>
        <v/>
      </c>
      <c r="T70">
        <f>HYPERLINK("https://klasma.github.io/Logging_0580/kartor/A 126-2024 karta.png", "A 126-2024")</f>
        <v/>
      </c>
      <c r="V70">
        <f>HYPERLINK("https://klasma.github.io/Logging_0580/klagomål/A 126-2024 FSC-klagomål.docx", "A 126-2024")</f>
        <v/>
      </c>
      <c r="W70">
        <f>HYPERLINK("https://klasma.github.io/Logging_0580/klagomålsmail/A 126-2024 FSC-klagomål mail.docx", "A 126-2024")</f>
        <v/>
      </c>
      <c r="X70">
        <f>HYPERLINK("https://klasma.github.io/Logging_0580/tillsyn/A 126-2024 tillsynsbegäran.docx", "A 126-2024")</f>
        <v/>
      </c>
      <c r="Y70">
        <f>HYPERLINK("https://klasma.github.io/Logging_0580/tillsynsmail/A 126-2024 tillsynsbegäran mail.docx", "A 126-2024")</f>
        <v/>
      </c>
    </row>
    <row r="71" ht="15" customHeight="1">
      <c r="A71" t="inlineStr">
        <is>
          <t>A 56651-2023</t>
        </is>
      </c>
      <c r="B71" s="1" t="n">
        <v>45243</v>
      </c>
      <c r="C71" s="1" t="n">
        <v>45938</v>
      </c>
      <c r="D71" t="inlineStr">
        <is>
          <t>ÖSTERGÖTLANDS LÄN</t>
        </is>
      </c>
      <c r="E71" t="inlineStr">
        <is>
          <t>LINKÖPING</t>
        </is>
      </c>
      <c r="F71" t="inlineStr">
        <is>
          <t>Övriga Aktiebolag</t>
        </is>
      </c>
      <c r="G71" t="n">
        <v>2.3</v>
      </c>
      <c r="H71" t="n">
        <v>0</v>
      </c>
      <c r="I71" t="n">
        <v>0</v>
      </c>
      <c r="J71" t="n">
        <v>1</v>
      </c>
      <c r="K71" t="n">
        <v>0</v>
      </c>
      <c r="L71" t="n">
        <v>0</v>
      </c>
      <c r="M71" t="n">
        <v>0</v>
      </c>
      <c r="N71" t="n">
        <v>0</v>
      </c>
      <c r="O71" t="n">
        <v>1</v>
      </c>
      <c r="P71" t="n">
        <v>0</v>
      </c>
      <c r="Q71" t="n">
        <v>1</v>
      </c>
      <c r="R71" s="2" t="inlineStr">
        <is>
          <t>Gul dropplav</t>
        </is>
      </c>
      <c r="S71">
        <f>HYPERLINK("https://klasma.github.io/Logging_0580/artfynd/A 56651-2023 artfynd.xlsx", "A 56651-2023")</f>
        <v/>
      </c>
      <c r="T71">
        <f>HYPERLINK("https://klasma.github.io/Logging_0580/kartor/A 56651-2023 karta.png", "A 56651-2023")</f>
        <v/>
      </c>
      <c r="V71">
        <f>HYPERLINK("https://klasma.github.io/Logging_0580/klagomål/A 56651-2023 FSC-klagomål.docx", "A 56651-2023")</f>
        <v/>
      </c>
      <c r="W71">
        <f>HYPERLINK("https://klasma.github.io/Logging_0580/klagomålsmail/A 56651-2023 FSC-klagomål mail.docx", "A 56651-2023")</f>
        <v/>
      </c>
      <c r="X71">
        <f>HYPERLINK("https://klasma.github.io/Logging_0580/tillsyn/A 56651-2023 tillsynsbegäran.docx", "A 56651-2023")</f>
        <v/>
      </c>
      <c r="Y71">
        <f>HYPERLINK("https://klasma.github.io/Logging_0580/tillsynsmail/A 56651-2023 tillsynsbegäran mail.docx", "A 56651-2023")</f>
        <v/>
      </c>
    </row>
    <row r="72" ht="15" customHeight="1">
      <c r="A72" t="inlineStr">
        <is>
          <t>A 17444-2025</t>
        </is>
      </c>
      <c r="B72" s="1" t="n">
        <v>45757.43452546297</v>
      </c>
      <c r="C72" s="1" t="n">
        <v>45938</v>
      </c>
      <c r="D72" t="inlineStr">
        <is>
          <t>ÖSTERGÖTLANDS LÄN</t>
        </is>
      </c>
      <c r="E72" t="inlineStr">
        <is>
          <t>LINKÖPING</t>
        </is>
      </c>
      <c r="G72" t="n">
        <v>1.3</v>
      </c>
      <c r="H72" t="n">
        <v>1</v>
      </c>
      <c r="I72" t="n">
        <v>0</v>
      </c>
      <c r="J72" t="n">
        <v>1</v>
      </c>
      <c r="K72" t="n">
        <v>0</v>
      </c>
      <c r="L72" t="n">
        <v>0</v>
      </c>
      <c r="M72" t="n">
        <v>0</v>
      </c>
      <c r="N72" t="n">
        <v>0</v>
      </c>
      <c r="O72" t="n">
        <v>1</v>
      </c>
      <c r="P72" t="n">
        <v>0</v>
      </c>
      <c r="Q72" t="n">
        <v>1</v>
      </c>
      <c r="R72" s="2" t="inlineStr">
        <is>
          <t>Dårgräsfjäril</t>
        </is>
      </c>
      <c r="S72">
        <f>HYPERLINK("https://klasma.github.io/Logging_0580/artfynd/A 17444-2025 artfynd.xlsx", "A 17444-2025")</f>
        <v/>
      </c>
      <c r="T72">
        <f>HYPERLINK("https://klasma.github.io/Logging_0580/kartor/A 17444-2025 karta.png", "A 17444-2025")</f>
        <v/>
      </c>
      <c r="V72">
        <f>HYPERLINK("https://klasma.github.io/Logging_0580/klagomål/A 17444-2025 FSC-klagomål.docx", "A 17444-2025")</f>
        <v/>
      </c>
      <c r="W72">
        <f>HYPERLINK("https://klasma.github.io/Logging_0580/klagomålsmail/A 17444-2025 FSC-klagomål mail.docx", "A 17444-2025")</f>
        <v/>
      </c>
      <c r="X72">
        <f>HYPERLINK("https://klasma.github.io/Logging_0580/tillsyn/A 17444-2025 tillsynsbegäran.docx", "A 17444-2025")</f>
        <v/>
      </c>
      <c r="Y72">
        <f>HYPERLINK("https://klasma.github.io/Logging_0580/tillsynsmail/A 17444-2025 tillsynsbegäran mail.docx", "A 17444-2025")</f>
        <v/>
      </c>
    </row>
    <row r="73" ht="15" customHeight="1">
      <c r="A73" t="inlineStr">
        <is>
          <t>A 41749-2023</t>
        </is>
      </c>
      <c r="B73" s="1" t="n">
        <v>45176</v>
      </c>
      <c r="C73" s="1" t="n">
        <v>45938</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41749-2023 artfynd.xlsx", "A 41749-2023")</f>
        <v/>
      </c>
      <c r="T73">
        <f>HYPERLINK("https://klasma.github.io/Logging_0580/kartor/A 41749-2023 karta.png", "A 41749-2023")</f>
        <v/>
      </c>
      <c r="V73">
        <f>HYPERLINK("https://klasma.github.io/Logging_0580/klagomål/A 41749-2023 FSC-klagomål.docx", "A 41749-2023")</f>
        <v/>
      </c>
      <c r="W73">
        <f>HYPERLINK("https://klasma.github.io/Logging_0580/klagomålsmail/A 41749-2023 FSC-klagomål mail.docx", "A 41749-2023")</f>
        <v/>
      </c>
      <c r="X73">
        <f>HYPERLINK("https://klasma.github.io/Logging_0580/tillsyn/A 41749-2023 tillsynsbegäran.docx", "A 41749-2023")</f>
        <v/>
      </c>
      <c r="Y73">
        <f>HYPERLINK("https://klasma.github.io/Logging_0580/tillsynsmail/A 41749-2023 tillsynsbegäran mail.docx", "A 41749-2023")</f>
        <v/>
      </c>
    </row>
    <row r="74" ht="15" customHeight="1">
      <c r="A74" t="inlineStr">
        <is>
          <t>A 5911-2022</t>
        </is>
      </c>
      <c r="B74" s="1" t="n">
        <v>44597</v>
      </c>
      <c r="C74" s="1" t="n">
        <v>45938</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27403-2025</t>
        </is>
      </c>
      <c r="B75" s="1" t="n">
        <v>45812.72518518518</v>
      </c>
      <c r="C75" s="1" t="n">
        <v>45938</v>
      </c>
      <c r="D75" t="inlineStr">
        <is>
          <t>ÖSTERGÖTLANDS LÄN</t>
        </is>
      </c>
      <c r="E75" t="inlineStr">
        <is>
          <t>LINKÖPING</t>
        </is>
      </c>
      <c r="G75" t="n">
        <v>1.4</v>
      </c>
      <c r="H75" t="n">
        <v>0</v>
      </c>
      <c r="I75" t="n">
        <v>0</v>
      </c>
      <c r="J75" t="n">
        <v>1</v>
      </c>
      <c r="K75" t="n">
        <v>0</v>
      </c>
      <c r="L75" t="n">
        <v>0</v>
      </c>
      <c r="M75" t="n">
        <v>0</v>
      </c>
      <c r="N75" t="n">
        <v>0</v>
      </c>
      <c r="O75" t="n">
        <v>1</v>
      </c>
      <c r="P75" t="n">
        <v>0</v>
      </c>
      <c r="Q75" t="n">
        <v>1</v>
      </c>
      <c r="R75" s="2" t="inlineStr">
        <is>
          <t>Tallticka</t>
        </is>
      </c>
      <c r="S75">
        <f>HYPERLINK("https://klasma.github.io/Logging_0580/artfynd/A 27403-2025 artfynd.xlsx", "A 27403-2025")</f>
        <v/>
      </c>
      <c r="T75">
        <f>HYPERLINK("https://klasma.github.io/Logging_0580/kartor/A 27403-2025 karta.png", "A 27403-2025")</f>
        <v/>
      </c>
      <c r="V75">
        <f>HYPERLINK("https://klasma.github.io/Logging_0580/klagomål/A 27403-2025 FSC-klagomål.docx", "A 27403-2025")</f>
        <v/>
      </c>
      <c r="W75">
        <f>HYPERLINK("https://klasma.github.io/Logging_0580/klagomålsmail/A 27403-2025 FSC-klagomål mail.docx", "A 27403-2025")</f>
        <v/>
      </c>
      <c r="X75">
        <f>HYPERLINK("https://klasma.github.io/Logging_0580/tillsyn/A 27403-2025 tillsynsbegäran.docx", "A 27403-2025")</f>
        <v/>
      </c>
      <c r="Y75">
        <f>HYPERLINK("https://klasma.github.io/Logging_0580/tillsynsmail/A 27403-2025 tillsynsbegäran mail.docx", "A 27403-2025")</f>
        <v/>
      </c>
    </row>
    <row r="76" ht="15" customHeight="1">
      <c r="A76" t="inlineStr">
        <is>
          <t>A 36723-2023</t>
        </is>
      </c>
      <c r="B76" s="1" t="n">
        <v>45153</v>
      </c>
      <c r="C76" s="1" t="n">
        <v>45938</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3395-2023</t>
        </is>
      </c>
      <c r="B77" s="1" t="n">
        <v>44949</v>
      </c>
      <c r="C77" s="1" t="n">
        <v>45938</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19103-2021</t>
        </is>
      </c>
      <c r="B78" s="1" t="n">
        <v>44308</v>
      </c>
      <c r="C78" s="1" t="n">
        <v>45938</v>
      </c>
      <c r="D78" t="inlineStr">
        <is>
          <t>ÖSTERGÖTLANDS LÄN</t>
        </is>
      </c>
      <c r="E78" t="inlineStr">
        <is>
          <t>LINKÖPING</t>
        </is>
      </c>
      <c r="G78" t="n">
        <v>4.7</v>
      </c>
      <c r="H78" t="n">
        <v>0</v>
      </c>
      <c r="I78" t="n">
        <v>0</v>
      </c>
      <c r="J78" t="n">
        <v>1</v>
      </c>
      <c r="K78" t="n">
        <v>0</v>
      </c>
      <c r="L78" t="n">
        <v>0</v>
      </c>
      <c r="M78" t="n">
        <v>0</v>
      </c>
      <c r="N78" t="n">
        <v>0</v>
      </c>
      <c r="O78" t="n">
        <v>1</v>
      </c>
      <c r="P78" t="n">
        <v>0</v>
      </c>
      <c r="Q78" t="n">
        <v>1</v>
      </c>
      <c r="R78" s="2" t="inlineStr">
        <is>
          <t>Tallticka</t>
        </is>
      </c>
      <c r="S78">
        <f>HYPERLINK("https://klasma.github.io/Logging_0580/artfynd/A 19103-2021 artfynd.xlsx", "A 19103-2021")</f>
        <v/>
      </c>
      <c r="T78">
        <f>HYPERLINK("https://klasma.github.io/Logging_0580/kartor/A 19103-2021 karta.png", "A 19103-2021")</f>
        <v/>
      </c>
      <c r="V78">
        <f>HYPERLINK("https://klasma.github.io/Logging_0580/klagomål/A 19103-2021 FSC-klagomål.docx", "A 19103-2021")</f>
        <v/>
      </c>
      <c r="W78">
        <f>HYPERLINK("https://klasma.github.io/Logging_0580/klagomålsmail/A 19103-2021 FSC-klagomål mail.docx", "A 19103-2021")</f>
        <v/>
      </c>
      <c r="X78">
        <f>HYPERLINK("https://klasma.github.io/Logging_0580/tillsyn/A 19103-2021 tillsynsbegäran.docx", "A 19103-2021")</f>
        <v/>
      </c>
      <c r="Y78">
        <f>HYPERLINK("https://klasma.github.io/Logging_0580/tillsynsmail/A 19103-2021 tillsynsbegäran mail.docx", "A 19103-2021")</f>
        <v/>
      </c>
    </row>
    <row r="79" ht="15" customHeight="1">
      <c r="A79" t="inlineStr">
        <is>
          <t>A 50806-2023</t>
        </is>
      </c>
      <c r="B79" s="1" t="n">
        <v>45217</v>
      </c>
      <c r="C79" s="1" t="n">
        <v>45938</v>
      </c>
      <c r="D79" t="inlineStr">
        <is>
          <t>ÖSTERGÖTLANDS LÄN</t>
        </is>
      </c>
      <c r="E79" t="inlineStr">
        <is>
          <t>LINKÖPING</t>
        </is>
      </c>
      <c r="F79" t="inlineStr">
        <is>
          <t>Övriga Aktiebolag</t>
        </is>
      </c>
      <c r="G79" t="n">
        <v>0.7</v>
      </c>
      <c r="H79" t="n">
        <v>1</v>
      </c>
      <c r="I79" t="n">
        <v>0</v>
      </c>
      <c r="J79" t="n">
        <v>0</v>
      </c>
      <c r="K79" t="n">
        <v>0</v>
      </c>
      <c r="L79" t="n">
        <v>0</v>
      </c>
      <c r="M79" t="n">
        <v>0</v>
      </c>
      <c r="N79" t="n">
        <v>0</v>
      </c>
      <c r="O79" t="n">
        <v>0</v>
      </c>
      <c r="P79" t="n">
        <v>0</v>
      </c>
      <c r="Q79" t="n">
        <v>1</v>
      </c>
      <c r="R79" s="2" t="inlineStr">
        <is>
          <t>Gullviva</t>
        </is>
      </c>
      <c r="S79">
        <f>HYPERLINK("https://klasma.github.io/Logging_0580/artfynd/A 50806-2023 artfynd.xlsx", "A 50806-2023")</f>
        <v/>
      </c>
      <c r="T79">
        <f>HYPERLINK("https://klasma.github.io/Logging_0580/kartor/A 50806-2023 karta.png", "A 50806-2023")</f>
        <v/>
      </c>
      <c r="V79">
        <f>HYPERLINK("https://klasma.github.io/Logging_0580/klagomål/A 50806-2023 FSC-klagomål.docx", "A 50806-2023")</f>
        <v/>
      </c>
      <c r="W79">
        <f>HYPERLINK("https://klasma.github.io/Logging_0580/klagomålsmail/A 50806-2023 FSC-klagomål mail.docx", "A 50806-2023")</f>
        <v/>
      </c>
      <c r="X79">
        <f>HYPERLINK("https://klasma.github.io/Logging_0580/tillsyn/A 50806-2023 tillsynsbegäran.docx", "A 50806-2023")</f>
        <v/>
      </c>
      <c r="Y79">
        <f>HYPERLINK("https://klasma.github.io/Logging_0580/tillsynsmail/A 50806-2023 tillsynsbegäran mail.docx", "A 50806-2023")</f>
        <v/>
      </c>
    </row>
    <row r="80" ht="15" customHeight="1">
      <c r="A80" t="inlineStr">
        <is>
          <t>A 43989-2025</t>
        </is>
      </c>
      <c r="B80" s="1" t="n">
        <v>45915.44128472222</v>
      </c>
      <c r="C80" s="1" t="n">
        <v>45938</v>
      </c>
      <c r="D80" t="inlineStr">
        <is>
          <t>ÖSTERGÖTLANDS LÄN</t>
        </is>
      </c>
      <c r="E80" t="inlineStr">
        <is>
          <t>LINKÖPING</t>
        </is>
      </c>
      <c r="F80" t="inlineStr">
        <is>
          <t>Allmännings- och besparingsskogar</t>
        </is>
      </c>
      <c r="G80" t="n">
        <v>3.5</v>
      </c>
      <c r="H80" t="n">
        <v>0</v>
      </c>
      <c r="I80" t="n">
        <v>0</v>
      </c>
      <c r="J80" t="n">
        <v>1</v>
      </c>
      <c r="K80" t="n">
        <v>0</v>
      </c>
      <c r="L80" t="n">
        <v>0</v>
      </c>
      <c r="M80" t="n">
        <v>0</v>
      </c>
      <c r="N80" t="n">
        <v>0</v>
      </c>
      <c r="O80" t="n">
        <v>1</v>
      </c>
      <c r="P80" t="n">
        <v>0</v>
      </c>
      <c r="Q80" t="n">
        <v>1</v>
      </c>
      <c r="R80" s="2" t="inlineStr">
        <is>
          <t>Kavelhirs</t>
        </is>
      </c>
      <c r="S80">
        <f>HYPERLINK("https://klasma.github.io/Logging_0580/artfynd/A 43989-2025 artfynd.xlsx", "A 43989-2025")</f>
        <v/>
      </c>
      <c r="T80">
        <f>HYPERLINK("https://klasma.github.io/Logging_0580/kartor/A 43989-2025 karta.png", "A 43989-2025")</f>
        <v/>
      </c>
      <c r="V80">
        <f>HYPERLINK("https://klasma.github.io/Logging_0580/klagomål/A 43989-2025 FSC-klagomål.docx", "A 43989-2025")</f>
        <v/>
      </c>
      <c r="W80">
        <f>HYPERLINK("https://klasma.github.io/Logging_0580/klagomålsmail/A 43989-2025 FSC-klagomål mail.docx", "A 43989-2025")</f>
        <v/>
      </c>
      <c r="X80">
        <f>HYPERLINK("https://klasma.github.io/Logging_0580/tillsyn/A 43989-2025 tillsynsbegäran.docx", "A 43989-2025")</f>
        <v/>
      </c>
      <c r="Y80">
        <f>HYPERLINK("https://klasma.github.io/Logging_0580/tillsynsmail/A 43989-2025 tillsynsbegäran mail.docx", "A 43989-2025")</f>
        <v/>
      </c>
    </row>
    <row r="81" ht="15" customHeight="1">
      <c r="A81" t="inlineStr">
        <is>
          <t>A 44760-2025</t>
        </is>
      </c>
      <c r="B81" s="1" t="n">
        <v>45917.71873842592</v>
      </c>
      <c r="C81" s="1" t="n">
        <v>45938</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38881-2021</t>
        </is>
      </c>
      <c r="B82" s="1" t="n">
        <v>44411.46893518518</v>
      </c>
      <c r="C82" s="1" t="n">
        <v>45938</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45938</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45938</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45938</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45938</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45938</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45938</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45938</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45938</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45938</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45938</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45938</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45938</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45938</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45938</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45938</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45938</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38961-2021</t>
        </is>
      </c>
      <c r="B99" s="1" t="n">
        <v>44411</v>
      </c>
      <c r="C99" s="1" t="n">
        <v>45938</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159-2022</t>
        </is>
      </c>
      <c r="B100" s="1" t="n">
        <v>44564</v>
      </c>
      <c r="C100" s="1" t="n">
        <v>45938</v>
      </c>
      <c r="D100" t="inlineStr">
        <is>
          <t>ÖSTERGÖTLANDS LÄN</t>
        </is>
      </c>
      <c r="E100" t="inlineStr">
        <is>
          <t>LINKÖPING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45938</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45938</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45938</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45938</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45938</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45938</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45938</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45938</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45938</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44054-2021</t>
        </is>
      </c>
      <c r="B110" s="1" t="n">
        <v>44434</v>
      </c>
      <c r="C110" s="1" t="n">
        <v>45938</v>
      </c>
      <c r="D110" t="inlineStr">
        <is>
          <t>ÖSTERGÖTLANDS LÄN</t>
        </is>
      </c>
      <c r="E110" t="inlineStr">
        <is>
          <t>LINKÖPING</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45938</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53146-2021</t>
        </is>
      </c>
      <c r="B112" s="1" t="n">
        <v>44466</v>
      </c>
      <c r="C112" s="1" t="n">
        <v>45938</v>
      </c>
      <c r="D112" t="inlineStr">
        <is>
          <t>ÖSTERGÖTLANDS LÄN</t>
        </is>
      </c>
      <c r="E112" t="inlineStr">
        <is>
          <t>LINKÖPING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45938</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45938</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45938</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45938</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33876-2021</t>
        </is>
      </c>
      <c r="B117" s="1" t="n">
        <v>44378</v>
      </c>
      <c r="C117" s="1" t="n">
        <v>45938</v>
      </c>
      <c r="D117" t="inlineStr">
        <is>
          <t>ÖSTERGÖTLANDS LÄN</t>
        </is>
      </c>
      <c r="E117" t="inlineStr">
        <is>
          <t>LINKÖPING</t>
        </is>
      </c>
      <c r="G117" t="n">
        <v>6.3</v>
      </c>
      <c r="H117" t="n">
        <v>0</v>
      </c>
      <c r="I117" t="n">
        <v>0</v>
      </c>
      <c r="J117" t="n">
        <v>0</v>
      </c>
      <c r="K117" t="n">
        <v>0</v>
      </c>
      <c r="L117" t="n">
        <v>0</v>
      </c>
      <c r="M117" t="n">
        <v>0</v>
      </c>
      <c r="N117" t="n">
        <v>0</v>
      </c>
      <c r="O117" t="n">
        <v>0</v>
      </c>
      <c r="P117" t="n">
        <v>0</v>
      </c>
      <c r="Q117" t="n">
        <v>0</v>
      </c>
      <c r="R117" s="2" t="inlineStr"/>
    </row>
    <row r="118" ht="15" customHeight="1">
      <c r="A118" t="inlineStr">
        <is>
          <t>A 10123-2021</t>
        </is>
      </c>
      <c r="B118" s="1" t="n">
        <v>44256</v>
      </c>
      <c r="C118" s="1" t="n">
        <v>45938</v>
      </c>
      <c r="D118" t="inlineStr">
        <is>
          <t>ÖSTERGÖTLANDS LÄN</t>
        </is>
      </c>
      <c r="E118" t="inlineStr">
        <is>
          <t>LINKÖPING</t>
        </is>
      </c>
      <c r="F118" t="inlineStr">
        <is>
          <t>Allmännings- och besparingsskogar</t>
        </is>
      </c>
      <c r="G118" t="n">
        <v>1.7</v>
      </c>
      <c r="H118" t="n">
        <v>0</v>
      </c>
      <c r="I118" t="n">
        <v>0</v>
      </c>
      <c r="J118" t="n">
        <v>0</v>
      </c>
      <c r="K118" t="n">
        <v>0</v>
      </c>
      <c r="L118" t="n">
        <v>0</v>
      </c>
      <c r="M118" t="n">
        <v>0</v>
      </c>
      <c r="N118" t="n">
        <v>0</v>
      </c>
      <c r="O118" t="n">
        <v>0</v>
      </c>
      <c r="P118" t="n">
        <v>0</v>
      </c>
      <c r="Q118" t="n">
        <v>0</v>
      </c>
      <c r="R118" s="2" t="inlineStr"/>
    </row>
    <row r="119" ht="15" customHeight="1">
      <c r="A119" t="inlineStr">
        <is>
          <t>A 3862-2021</t>
        </is>
      </c>
      <c r="B119" s="1" t="n">
        <v>44221</v>
      </c>
      <c r="C119" s="1" t="n">
        <v>45938</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3961-2021</t>
        </is>
      </c>
      <c r="B120" s="1" t="n">
        <v>44222</v>
      </c>
      <c r="C120" s="1" t="n">
        <v>45938</v>
      </c>
      <c r="D120" t="inlineStr">
        <is>
          <t>ÖSTERGÖTLANDS LÄN</t>
        </is>
      </c>
      <c r="E120" t="inlineStr">
        <is>
          <t>LINKÖPING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45938</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45938</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27185-2021</t>
        </is>
      </c>
      <c r="B123" s="1" t="n">
        <v>44350</v>
      </c>
      <c r="C123" s="1" t="n">
        <v>45938</v>
      </c>
      <c r="D123" t="inlineStr">
        <is>
          <t>ÖSTERGÖTLANDS LÄN</t>
        </is>
      </c>
      <c r="E123" t="inlineStr">
        <is>
          <t>LINKÖPING</t>
        </is>
      </c>
      <c r="F123" t="inlineStr">
        <is>
          <t>Allmännings- och besparingsskogar</t>
        </is>
      </c>
      <c r="G123" t="n">
        <v>1.6</v>
      </c>
      <c r="H123" t="n">
        <v>0</v>
      </c>
      <c r="I123" t="n">
        <v>0</v>
      </c>
      <c r="J123" t="n">
        <v>0</v>
      </c>
      <c r="K123" t="n">
        <v>0</v>
      </c>
      <c r="L123" t="n">
        <v>0</v>
      </c>
      <c r="M123" t="n">
        <v>0</v>
      </c>
      <c r="N123" t="n">
        <v>0</v>
      </c>
      <c r="O123" t="n">
        <v>0</v>
      </c>
      <c r="P123" t="n">
        <v>0</v>
      </c>
      <c r="Q123" t="n">
        <v>0</v>
      </c>
      <c r="R123" s="2" t="inlineStr"/>
    </row>
    <row r="124" ht="15" customHeight="1">
      <c r="A124" t="inlineStr">
        <is>
          <t>A 29470-2022</t>
        </is>
      </c>
      <c r="B124" s="1" t="n">
        <v>44753</v>
      </c>
      <c r="C124" s="1" t="n">
        <v>45938</v>
      </c>
      <c r="D124" t="inlineStr">
        <is>
          <t>ÖSTERGÖTLANDS LÄN</t>
        </is>
      </c>
      <c r="E124" t="inlineStr">
        <is>
          <t>LINKÖPING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46730-2021</t>
        </is>
      </c>
      <c r="B125" s="1" t="n">
        <v>44445</v>
      </c>
      <c r="C125" s="1" t="n">
        <v>45938</v>
      </c>
      <c r="D125" t="inlineStr">
        <is>
          <t>ÖSTERGÖTLANDS LÄN</t>
        </is>
      </c>
      <c r="E125" t="inlineStr">
        <is>
          <t>LINKÖPING</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26197-2021</t>
        </is>
      </c>
      <c r="B126" s="1" t="n">
        <v>44347.39319444444</v>
      </c>
      <c r="C126" s="1" t="n">
        <v>45938</v>
      </c>
      <c r="D126" t="inlineStr">
        <is>
          <t>ÖSTERGÖTLANDS LÄN</t>
        </is>
      </c>
      <c r="E126" t="inlineStr">
        <is>
          <t>LINKÖPING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16469-2021</t>
        </is>
      </c>
      <c r="B127" s="1" t="n">
        <v>44293.54331018519</v>
      </c>
      <c r="C127" s="1" t="n">
        <v>45938</v>
      </c>
      <c r="D127" t="inlineStr">
        <is>
          <t>ÖSTERGÖTLANDS LÄN</t>
        </is>
      </c>
      <c r="E127" t="inlineStr">
        <is>
          <t>LINKÖPING</t>
        </is>
      </c>
      <c r="F127" t="inlineStr">
        <is>
          <t>Allmännings- och besparingsskogar</t>
        </is>
      </c>
      <c r="G127" t="n">
        <v>33.5</v>
      </c>
      <c r="H127" t="n">
        <v>0</v>
      </c>
      <c r="I127" t="n">
        <v>0</v>
      </c>
      <c r="J127" t="n">
        <v>0</v>
      </c>
      <c r="K127" t="n">
        <v>0</v>
      </c>
      <c r="L127" t="n">
        <v>0</v>
      </c>
      <c r="M127" t="n">
        <v>0</v>
      </c>
      <c r="N127" t="n">
        <v>0</v>
      </c>
      <c r="O127" t="n">
        <v>0</v>
      </c>
      <c r="P127" t="n">
        <v>0</v>
      </c>
      <c r="Q127" t="n">
        <v>0</v>
      </c>
      <c r="R127" s="2" t="inlineStr"/>
    </row>
    <row r="128" ht="15" customHeight="1">
      <c r="A128" t="inlineStr">
        <is>
          <t>A 27313-2021</t>
        </is>
      </c>
      <c r="B128" s="1" t="n">
        <v>44350</v>
      </c>
      <c r="C128" s="1" t="n">
        <v>45938</v>
      </c>
      <c r="D128" t="inlineStr">
        <is>
          <t>ÖSTERGÖTLANDS LÄN</t>
        </is>
      </c>
      <c r="E128" t="inlineStr">
        <is>
          <t>LINKÖPING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34487-2021</t>
        </is>
      </c>
      <c r="B129" s="1" t="n">
        <v>44382.29873842592</v>
      </c>
      <c r="C129" s="1" t="n">
        <v>45938</v>
      </c>
      <c r="D129" t="inlineStr">
        <is>
          <t>ÖSTERGÖTLANDS LÄN</t>
        </is>
      </c>
      <c r="E129" t="inlineStr">
        <is>
          <t>LINKÖPING</t>
        </is>
      </c>
      <c r="G129" t="n">
        <v>7.5</v>
      </c>
      <c r="H129" t="n">
        <v>0</v>
      </c>
      <c r="I129" t="n">
        <v>0</v>
      </c>
      <c r="J129" t="n">
        <v>0</v>
      </c>
      <c r="K129" t="n">
        <v>0</v>
      </c>
      <c r="L129" t="n">
        <v>0</v>
      </c>
      <c r="M129" t="n">
        <v>0</v>
      </c>
      <c r="N129" t="n">
        <v>0</v>
      </c>
      <c r="O129" t="n">
        <v>0</v>
      </c>
      <c r="P129" t="n">
        <v>0</v>
      </c>
      <c r="Q129" t="n">
        <v>0</v>
      </c>
      <c r="R129" s="2" t="inlineStr"/>
    </row>
    <row r="130" ht="15" customHeight="1">
      <c r="A130" t="inlineStr">
        <is>
          <t>A 4382-2021</t>
        </is>
      </c>
      <c r="B130" s="1" t="n">
        <v>44223</v>
      </c>
      <c r="C130" s="1" t="n">
        <v>45938</v>
      </c>
      <c r="D130" t="inlineStr">
        <is>
          <t>ÖSTERGÖTLANDS LÄN</t>
        </is>
      </c>
      <c r="E130" t="inlineStr">
        <is>
          <t>LINKÖPING</t>
        </is>
      </c>
      <c r="G130" t="n">
        <v>4.2</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45938</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58258-2021</t>
        </is>
      </c>
      <c r="B132" s="1" t="n">
        <v>44487</v>
      </c>
      <c r="C132" s="1" t="n">
        <v>45938</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58287-2021</t>
        </is>
      </c>
      <c r="B133" s="1" t="n">
        <v>44487</v>
      </c>
      <c r="C133" s="1" t="n">
        <v>45938</v>
      </c>
      <c r="D133" t="inlineStr">
        <is>
          <t>ÖSTERGÖTLANDS LÄN</t>
        </is>
      </c>
      <c r="E133" t="inlineStr">
        <is>
          <t>LINKÖPING</t>
        </is>
      </c>
      <c r="F133" t="inlineStr">
        <is>
          <t>Övriga Aktiebolag</t>
        </is>
      </c>
      <c r="G133" t="n">
        <v>1.5</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45938</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45938</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45938</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384-2021</t>
        </is>
      </c>
      <c r="B137" s="1" t="n">
        <v>44201.57689814815</v>
      </c>
      <c r="C137" s="1" t="n">
        <v>45938</v>
      </c>
      <c r="D137" t="inlineStr">
        <is>
          <t>ÖSTERGÖTLANDS LÄN</t>
        </is>
      </c>
      <c r="E137" t="inlineStr">
        <is>
          <t>LINKÖPING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38130-2021</t>
        </is>
      </c>
      <c r="B138" s="1" t="n">
        <v>44405</v>
      </c>
      <c r="C138" s="1" t="n">
        <v>45938</v>
      </c>
      <c r="D138" t="inlineStr">
        <is>
          <t>ÖSTERGÖTLANDS LÄN</t>
        </is>
      </c>
      <c r="E138" t="inlineStr">
        <is>
          <t>LINKÖPING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45938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40527-2022</t>
        </is>
      </c>
      <c r="B140" s="1" t="n">
        <v>44823</v>
      </c>
      <c r="C140" s="1" t="n">
        <v>45938</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52968-2021</t>
        </is>
      </c>
      <c r="B141" s="1" t="n">
        <v>44467</v>
      </c>
      <c r="C141" s="1" t="n">
        <v>45938</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65395-2021</t>
        </is>
      </c>
      <c r="B142" s="1" t="n">
        <v>44515</v>
      </c>
      <c r="C142" s="1" t="n">
        <v>45938</v>
      </c>
      <c r="D142" t="inlineStr">
        <is>
          <t>ÖSTERGÖTLANDS LÄN</t>
        </is>
      </c>
      <c r="E142" t="inlineStr">
        <is>
          <t>LINKÖPING</t>
        </is>
      </c>
      <c r="F142" t="inlineStr">
        <is>
          <t>Övriga statliga verk och myndigheter</t>
        </is>
      </c>
      <c r="G142" t="n">
        <v>0.7</v>
      </c>
      <c r="H142" t="n">
        <v>0</v>
      </c>
      <c r="I142" t="n">
        <v>0</v>
      </c>
      <c r="J142" t="n">
        <v>0</v>
      </c>
      <c r="K142" t="n">
        <v>0</v>
      </c>
      <c r="L142" t="n">
        <v>0</v>
      </c>
      <c r="M142" t="n">
        <v>0</v>
      </c>
      <c r="N142" t="n">
        <v>0</v>
      </c>
      <c r="O142" t="n">
        <v>0</v>
      </c>
      <c r="P142" t="n">
        <v>0</v>
      </c>
      <c r="Q142" t="n">
        <v>0</v>
      </c>
      <c r="R142" s="2" t="inlineStr"/>
    </row>
    <row r="143" ht="15" customHeight="1">
      <c r="A143" t="inlineStr">
        <is>
          <t>A 48016-2021</t>
        </is>
      </c>
      <c r="B143" s="1" t="n">
        <v>44449</v>
      </c>
      <c r="C143" s="1" t="n">
        <v>45938</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30858-2022</t>
        </is>
      </c>
      <c r="B144" s="1" t="n">
        <v>44767</v>
      </c>
      <c r="C144" s="1" t="n">
        <v>45938</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23175-2022</t>
        </is>
      </c>
      <c r="B145" s="1" t="n">
        <v>44719</v>
      </c>
      <c r="C145" s="1" t="n">
        <v>45938</v>
      </c>
      <c r="D145" t="inlineStr">
        <is>
          <t>ÖSTERGÖTLANDS LÄN</t>
        </is>
      </c>
      <c r="E145" t="inlineStr">
        <is>
          <t>LINKÖPING</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28447-2021</t>
        </is>
      </c>
      <c r="B146" s="1" t="n">
        <v>44356</v>
      </c>
      <c r="C146" s="1" t="n">
        <v>45938</v>
      </c>
      <c r="D146" t="inlineStr">
        <is>
          <t>ÖSTERGÖTLANDS LÄN</t>
        </is>
      </c>
      <c r="E146" t="inlineStr">
        <is>
          <t>LINKÖPING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31705-2022</t>
        </is>
      </c>
      <c r="B147" s="1" t="n">
        <v>44776.43607638889</v>
      </c>
      <c r="C147" s="1" t="n">
        <v>45938</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9935-2021</t>
        </is>
      </c>
      <c r="B148" s="1" t="n">
        <v>44253</v>
      </c>
      <c r="C148" s="1" t="n">
        <v>45938</v>
      </c>
      <c r="D148" t="inlineStr">
        <is>
          <t>ÖSTERGÖTLANDS LÄN</t>
        </is>
      </c>
      <c r="E148" t="inlineStr">
        <is>
          <t>LINKÖPING</t>
        </is>
      </c>
      <c r="G148" t="n">
        <v>4.5</v>
      </c>
      <c r="H148" t="n">
        <v>0</v>
      </c>
      <c r="I148" t="n">
        <v>0</v>
      </c>
      <c r="J148" t="n">
        <v>0</v>
      </c>
      <c r="K148" t="n">
        <v>0</v>
      </c>
      <c r="L148" t="n">
        <v>0</v>
      </c>
      <c r="M148" t="n">
        <v>0</v>
      </c>
      <c r="N148" t="n">
        <v>0</v>
      </c>
      <c r="O148" t="n">
        <v>0</v>
      </c>
      <c r="P148" t="n">
        <v>0</v>
      </c>
      <c r="Q148" t="n">
        <v>0</v>
      </c>
      <c r="R148" s="2" t="inlineStr"/>
    </row>
    <row r="149" ht="15" customHeight="1">
      <c r="A149" t="inlineStr">
        <is>
          <t>A 19318-2022</t>
        </is>
      </c>
      <c r="B149" s="1" t="n">
        <v>44692.5827662037</v>
      </c>
      <c r="C149" s="1" t="n">
        <v>45938</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45938</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36341-2022</t>
        </is>
      </c>
      <c r="B151" s="1" t="n">
        <v>44803</v>
      </c>
      <c r="C151" s="1" t="n">
        <v>45938</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45938</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45938</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45938</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45938</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13075-2022</t>
        </is>
      </c>
      <c r="B156" s="1" t="n">
        <v>44643</v>
      </c>
      <c r="C156" s="1" t="n">
        <v>45938</v>
      </c>
      <c r="D156" t="inlineStr">
        <is>
          <t>ÖSTERGÖTLANDS LÄN</t>
        </is>
      </c>
      <c r="E156" t="inlineStr">
        <is>
          <t>LINKÖPING</t>
        </is>
      </c>
      <c r="G156" t="n">
        <v>2.2</v>
      </c>
      <c r="H156" t="n">
        <v>0</v>
      </c>
      <c r="I156" t="n">
        <v>0</v>
      </c>
      <c r="J156" t="n">
        <v>0</v>
      </c>
      <c r="K156" t="n">
        <v>0</v>
      </c>
      <c r="L156" t="n">
        <v>0</v>
      </c>
      <c r="M156" t="n">
        <v>0</v>
      </c>
      <c r="N156" t="n">
        <v>0</v>
      </c>
      <c r="O156" t="n">
        <v>0</v>
      </c>
      <c r="P156" t="n">
        <v>0</v>
      </c>
      <c r="Q156" t="n">
        <v>0</v>
      </c>
      <c r="R156" s="2" t="inlineStr"/>
    </row>
    <row r="157" ht="15" customHeight="1">
      <c r="A157" t="inlineStr">
        <is>
          <t>A 51912-2020</t>
        </is>
      </c>
      <c r="B157" s="1" t="n">
        <v>44116</v>
      </c>
      <c r="C157" s="1" t="n">
        <v>45938</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45938</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45938</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23416-2022</t>
        </is>
      </c>
      <c r="B160" s="1" t="n">
        <v>44720.78243055556</v>
      </c>
      <c r="C160" s="1" t="n">
        <v>45938</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5605-2022</t>
        </is>
      </c>
      <c r="B161" s="1" t="n">
        <v>44595</v>
      </c>
      <c r="C161" s="1" t="n">
        <v>45938</v>
      </c>
      <c r="D161" t="inlineStr">
        <is>
          <t>ÖSTERGÖTLANDS LÄN</t>
        </is>
      </c>
      <c r="E161" t="inlineStr">
        <is>
          <t>LINKÖPING</t>
        </is>
      </c>
      <c r="F161" t="inlineStr">
        <is>
          <t>Övriga statliga verk och myndigheter</t>
        </is>
      </c>
      <c r="G161" t="n">
        <v>3</v>
      </c>
      <c r="H161" t="n">
        <v>0</v>
      </c>
      <c r="I161" t="n">
        <v>0</v>
      </c>
      <c r="J161" t="n">
        <v>0</v>
      </c>
      <c r="K161" t="n">
        <v>0</v>
      </c>
      <c r="L161" t="n">
        <v>0</v>
      </c>
      <c r="M161" t="n">
        <v>0</v>
      </c>
      <c r="N161" t="n">
        <v>0</v>
      </c>
      <c r="O161" t="n">
        <v>0</v>
      </c>
      <c r="P161" t="n">
        <v>0</v>
      </c>
      <c r="Q161" t="n">
        <v>0</v>
      </c>
      <c r="R161" s="2" t="inlineStr"/>
    </row>
    <row r="162" ht="15" customHeight="1">
      <c r="A162" t="inlineStr">
        <is>
          <t>A 56688-2021</t>
        </is>
      </c>
      <c r="B162" s="1" t="n">
        <v>44481</v>
      </c>
      <c r="C162" s="1" t="n">
        <v>45938</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59288-2020</t>
        </is>
      </c>
      <c r="B163" s="1" t="n">
        <v>44147</v>
      </c>
      <c r="C163" s="1" t="n">
        <v>45938</v>
      </c>
      <c r="D163" t="inlineStr">
        <is>
          <t>ÖSTERGÖTLANDS LÄN</t>
        </is>
      </c>
      <c r="E163" t="inlineStr">
        <is>
          <t>LINKÖPING</t>
        </is>
      </c>
      <c r="G163" t="n">
        <v>2.8</v>
      </c>
      <c r="H163" t="n">
        <v>0</v>
      </c>
      <c r="I163" t="n">
        <v>0</v>
      </c>
      <c r="J163" t="n">
        <v>0</v>
      </c>
      <c r="K163" t="n">
        <v>0</v>
      </c>
      <c r="L163" t="n">
        <v>0</v>
      </c>
      <c r="M163" t="n">
        <v>0</v>
      </c>
      <c r="N163" t="n">
        <v>0</v>
      </c>
      <c r="O163" t="n">
        <v>0</v>
      </c>
      <c r="P163" t="n">
        <v>0</v>
      </c>
      <c r="Q163" t="n">
        <v>0</v>
      </c>
      <c r="R163" s="2" t="inlineStr"/>
    </row>
    <row r="164" ht="15" customHeight="1">
      <c r="A164" t="inlineStr">
        <is>
          <t>A 32255-2021</t>
        </is>
      </c>
      <c r="B164" s="1" t="n">
        <v>44371.45949074074</v>
      </c>
      <c r="C164" s="1" t="n">
        <v>45938</v>
      </c>
      <c r="D164" t="inlineStr">
        <is>
          <t>ÖSTERGÖTLANDS LÄN</t>
        </is>
      </c>
      <c r="E164" t="inlineStr">
        <is>
          <t>LINKÖPING</t>
        </is>
      </c>
      <c r="F164" t="inlineStr">
        <is>
          <t>Övriga Aktiebolag</t>
        </is>
      </c>
      <c r="G164" t="n">
        <v>1.1</v>
      </c>
      <c r="H164" t="n">
        <v>0</v>
      </c>
      <c r="I164" t="n">
        <v>0</v>
      </c>
      <c r="J164" t="n">
        <v>0</v>
      </c>
      <c r="K164" t="n">
        <v>0</v>
      </c>
      <c r="L164" t="n">
        <v>0</v>
      </c>
      <c r="M164" t="n">
        <v>0</v>
      </c>
      <c r="N164" t="n">
        <v>0</v>
      </c>
      <c r="O164" t="n">
        <v>0</v>
      </c>
      <c r="P164" t="n">
        <v>0</v>
      </c>
      <c r="Q164" t="n">
        <v>0</v>
      </c>
      <c r="R164" s="2" t="inlineStr"/>
    </row>
    <row r="165" ht="15" customHeight="1">
      <c r="A165" t="inlineStr">
        <is>
          <t>A 34486-2021</t>
        </is>
      </c>
      <c r="B165" s="1" t="n">
        <v>44382.29295138889</v>
      </c>
      <c r="C165" s="1" t="n">
        <v>45938</v>
      </c>
      <c r="D165" t="inlineStr">
        <is>
          <t>ÖSTERGÖTLANDS LÄN</t>
        </is>
      </c>
      <c r="E165" t="inlineStr">
        <is>
          <t>LINKÖPING</t>
        </is>
      </c>
      <c r="G165" t="n">
        <v>4.4</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45938</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27769-2022</t>
        </is>
      </c>
      <c r="B167" s="1" t="n">
        <v>44743.53200231482</v>
      </c>
      <c r="C167" s="1" t="n">
        <v>45938</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38235-2022</t>
        </is>
      </c>
      <c r="B168" s="1" t="n">
        <v>44812</v>
      </c>
      <c r="C168" s="1" t="n">
        <v>45938</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1787-2022</t>
        </is>
      </c>
      <c r="B169" s="1" t="n">
        <v>44574</v>
      </c>
      <c r="C169" s="1" t="n">
        <v>45938</v>
      </c>
      <c r="D169" t="inlineStr">
        <is>
          <t>ÖSTERGÖTLANDS LÄN</t>
        </is>
      </c>
      <c r="E169" t="inlineStr">
        <is>
          <t>LINKÖPING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948-2022</t>
        </is>
      </c>
      <c r="B170" s="1" t="n">
        <v>44571</v>
      </c>
      <c r="C170" s="1" t="n">
        <v>45938</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34880-2022</t>
        </is>
      </c>
      <c r="B171" s="1" t="n">
        <v>44796</v>
      </c>
      <c r="C171" s="1" t="n">
        <v>45938</v>
      </c>
      <c r="D171" t="inlineStr">
        <is>
          <t>ÖSTERGÖTLANDS LÄN</t>
        </is>
      </c>
      <c r="E171" t="inlineStr">
        <is>
          <t>LINKÖPING</t>
        </is>
      </c>
      <c r="F171" t="inlineStr">
        <is>
          <t>Övriga statliga verk och myndigheter</t>
        </is>
      </c>
      <c r="G171" t="n">
        <v>4</v>
      </c>
      <c r="H171" t="n">
        <v>0</v>
      </c>
      <c r="I171" t="n">
        <v>0</v>
      </c>
      <c r="J171" t="n">
        <v>0</v>
      </c>
      <c r="K171" t="n">
        <v>0</v>
      </c>
      <c r="L171" t="n">
        <v>0</v>
      </c>
      <c r="M171" t="n">
        <v>0</v>
      </c>
      <c r="N171" t="n">
        <v>0</v>
      </c>
      <c r="O171" t="n">
        <v>0</v>
      </c>
      <c r="P171" t="n">
        <v>0</v>
      </c>
      <c r="Q171" t="n">
        <v>0</v>
      </c>
      <c r="R171" s="2" t="inlineStr"/>
    </row>
    <row r="172" ht="15" customHeight="1">
      <c r="A172" t="inlineStr">
        <is>
          <t>A 48042-2022</t>
        </is>
      </c>
      <c r="B172" s="1" t="n">
        <v>44855</v>
      </c>
      <c r="C172" s="1" t="n">
        <v>45938</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45938</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37014-2021</t>
        </is>
      </c>
      <c r="B174" s="1" t="n">
        <v>44393</v>
      </c>
      <c r="C174" s="1" t="n">
        <v>45938</v>
      </c>
      <c r="D174" t="inlineStr">
        <is>
          <t>ÖSTERGÖTLANDS LÄN</t>
        </is>
      </c>
      <c r="E174" t="inlineStr">
        <is>
          <t>LINKÖPING</t>
        </is>
      </c>
      <c r="F174" t="inlineStr">
        <is>
          <t>Allmännings- och besparingsskogar</t>
        </is>
      </c>
      <c r="G174" t="n">
        <v>7.7</v>
      </c>
      <c r="H174" t="n">
        <v>0</v>
      </c>
      <c r="I174" t="n">
        <v>0</v>
      </c>
      <c r="J174" t="n">
        <v>0</v>
      </c>
      <c r="K174" t="n">
        <v>0</v>
      </c>
      <c r="L174" t="n">
        <v>0</v>
      </c>
      <c r="M174" t="n">
        <v>0</v>
      </c>
      <c r="N174" t="n">
        <v>0</v>
      </c>
      <c r="O174" t="n">
        <v>0</v>
      </c>
      <c r="P174" t="n">
        <v>0</v>
      </c>
      <c r="Q174" t="n">
        <v>0</v>
      </c>
      <c r="R174" s="2" t="inlineStr"/>
    </row>
    <row r="175" ht="15" customHeight="1">
      <c r="A175" t="inlineStr">
        <is>
          <t>A 31732-2022</t>
        </is>
      </c>
      <c r="B175" s="1" t="n">
        <v>44776.49267361111</v>
      </c>
      <c r="C175" s="1" t="n">
        <v>45938</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33891-2021</t>
        </is>
      </c>
      <c r="B176" s="1" t="n">
        <v>44378</v>
      </c>
      <c r="C176" s="1" t="n">
        <v>45938</v>
      </c>
      <c r="D176" t="inlineStr">
        <is>
          <t>ÖSTERGÖTLANDS LÄN</t>
        </is>
      </c>
      <c r="E176" t="inlineStr">
        <is>
          <t>LINKÖPING</t>
        </is>
      </c>
      <c r="G176" t="n">
        <v>5.1</v>
      </c>
      <c r="H176" t="n">
        <v>0</v>
      </c>
      <c r="I176" t="n">
        <v>0</v>
      </c>
      <c r="J176" t="n">
        <v>0</v>
      </c>
      <c r="K176" t="n">
        <v>0</v>
      </c>
      <c r="L176" t="n">
        <v>0</v>
      </c>
      <c r="M176" t="n">
        <v>0</v>
      </c>
      <c r="N176" t="n">
        <v>0</v>
      </c>
      <c r="O176" t="n">
        <v>0</v>
      </c>
      <c r="P176" t="n">
        <v>0</v>
      </c>
      <c r="Q176" t="n">
        <v>0</v>
      </c>
      <c r="R176" s="2" t="inlineStr"/>
    </row>
    <row r="177" ht="15" customHeight="1">
      <c r="A177" t="inlineStr">
        <is>
          <t>A 3008-2023</t>
        </is>
      </c>
      <c r="B177" s="1" t="n">
        <v>44945.79784722222</v>
      </c>
      <c r="C177" s="1" t="n">
        <v>45938</v>
      </c>
      <c r="D177" t="inlineStr">
        <is>
          <t>ÖSTERGÖTLANDS LÄN</t>
        </is>
      </c>
      <c r="E177" t="inlineStr">
        <is>
          <t>LINKÖPING</t>
        </is>
      </c>
      <c r="G177" t="n">
        <v>19.3</v>
      </c>
      <c r="H177" t="n">
        <v>0</v>
      </c>
      <c r="I177" t="n">
        <v>0</v>
      </c>
      <c r="J177" t="n">
        <v>0</v>
      </c>
      <c r="K177" t="n">
        <v>0</v>
      </c>
      <c r="L177" t="n">
        <v>0</v>
      </c>
      <c r="M177" t="n">
        <v>0</v>
      </c>
      <c r="N177" t="n">
        <v>0</v>
      </c>
      <c r="O177" t="n">
        <v>0</v>
      </c>
      <c r="P177" t="n">
        <v>0</v>
      </c>
      <c r="Q177" t="n">
        <v>0</v>
      </c>
      <c r="R177" s="2" t="inlineStr"/>
    </row>
    <row r="178" ht="15" customHeight="1">
      <c r="A178" t="inlineStr">
        <is>
          <t>A 12035-2025</t>
        </is>
      </c>
      <c r="B178" s="1" t="n">
        <v>45728.64946759259</v>
      </c>
      <c r="C178" s="1" t="n">
        <v>45938</v>
      </c>
      <c r="D178" t="inlineStr">
        <is>
          <t>ÖSTERGÖTLANDS LÄN</t>
        </is>
      </c>
      <c r="E178" t="inlineStr">
        <is>
          <t>LINKÖPING</t>
        </is>
      </c>
      <c r="G178" t="n">
        <v>3.7</v>
      </c>
      <c r="H178" t="n">
        <v>0</v>
      </c>
      <c r="I178" t="n">
        <v>0</v>
      </c>
      <c r="J178" t="n">
        <v>0</v>
      </c>
      <c r="K178" t="n">
        <v>0</v>
      </c>
      <c r="L178" t="n">
        <v>0</v>
      </c>
      <c r="M178" t="n">
        <v>0</v>
      </c>
      <c r="N178" t="n">
        <v>0</v>
      </c>
      <c r="O178" t="n">
        <v>0</v>
      </c>
      <c r="P178" t="n">
        <v>0</v>
      </c>
      <c r="Q178" t="n">
        <v>0</v>
      </c>
      <c r="R178" s="2" t="inlineStr"/>
    </row>
    <row r="179" ht="15" customHeight="1">
      <c r="A179" t="inlineStr">
        <is>
          <t>A 38134-2021</t>
        </is>
      </c>
      <c r="B179" s="1" t="n">
        <v>44405.3794212963</v>
      </c>
      <c r="C179" s="1" t="n">
        <v>45938</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19254-2021</t>
        </is>
      </c>
      <c r="B180" s="1" t="n">
        <v>44309.38962962963</v>
      </c>
      <c r="C180" s="1" t="n">
        <v>45938</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60129-2020</t>
        </is>
      </c>
      <c r="B181" s="1" t="n">
        <v>44152</v>
      </c>
      <c r="C181" s="1" t="n">
        <v>45938</v>
      </c>
      <c r="D181" t="inlineStr">
        <is>
          <t>ÖSTERGÖTLANDS LÄN</t>
        </is>
      </c>
      <c r="E181" t="inlineStr">
        <is>
          <t>LINKÖPING</t>
        </is>
      </c>
      <c r="F181" t="inlineStr">
        <is>
          <t>Övriga statliga verk och myndigheter</t>
        </is>
      </c>
      <c r="G181" t="n">
        <v>2.5</v>
      </c>
      <c r="H181" t="n">
        <v>0</v>
      </c>
      <c r="I181" t="n">
        <v>0</v>
      </c>
      <c r="J181" t="n">
        <v>0</v>
      </c>
      <c r="K181" t="n">
        <v>0</v>
      </c>
      <c r="L181" t="n">
        <v>0</v>
      </c>
      <c r="M181" t="n">
        <v>0</v>
      </c>
      <c r="N181" t="n">
        <v>0</v>
      </c>
      <c r="O181" t="n">
        <v>0</v>
      </c>
      <c r="P181" t="n">
        <v>0</v>
      </c>
      <c r="Q181" t="n">
        <v>0</v>
      </c>
      <c r="R181" s="2" t="inlineStr"/>
    </row>
    <row r="182" ht="15" customHeight="1">
      <c r="A182" t="inlineStr">
        <is>
          <t>A 34558-2022</t>
        </is>
      </c>
      <c r="B182" s="1" t="n">
        <v>44794.57594907407</v>
      </c>
      <c r="C182" s="1" t="n">
        <v>45938</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63489-2023</t>
        </is>
      </c>
      <c r="B183" s="1" t="n">
        <v>45274.66761574074</v>
      </c>
      <c r="C183" s="1" t="n">
        <v>45938</v>
      </c>
      <c r="D183" t="inlineStr">
        <is>
          <t>ÖSTERGÖTLANDS LÄN</t>
        </is>
      </c>
      <c r="E183" t="inlineStr">
        <is>
          <t>LINKÖPING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28266-2024</t>
        </is>
      </c>
      <c r="B184" s="1" t="n">
        <v>45477.43600694444</v>
      </c>
      <c r="C184" s="1" t="n">
        <v>45938</v>
      </c>
      <c r="D184" t="inlineStr">
        <is>
          <t>ÖSTERGÖTLANDS LÄN</t>
        </is>
      </c>
      <c r="E184" t="inlineStr">
        <is>
          <t>LINKÖPING</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4377-2021</t>
        </is>
      </c>
      <c r="B185" s="1" t="n">
        <v>44223</v>
      </c>
      <c r="C185" s="1" t="n">
        <v>45938</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25418-2023</t>
        </is>
      </c>
      <c r="B186" s="1" t="n">
        <v>45089</v>
      </c>
      <c r="C186" s="1" t="n">
        <v>45938</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61302-2021</t>
        </is>
      </c>
      <c r="B187" s="1" t="n">
        <v>44498.63189814815</v>
      </c>
      <c r="C187" s="1" t="n">
        <v>45938</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45938</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45938</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22772-2024</t>
        </is>
      </c>
      <c r="B190" s="1" t="n">
        <v>45448.46712962963</v>
      </c>
      <c r="C190" s="1" t="n">
        <v>45938</v>
      </c>
      <c r="D190" t="inlineStr">
        <is>
          <t>ÖSTERGÖTLANDS LÄN</t>
        </is>
      </c>
      <c r="E190" t="inlineStr">
        <is>
          <t>LINKÖPING</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20455-2024</t>
        </is>
      </c>
      <c r="B191" s="1" t="n">
        <v>45435.65314814815</v>
      </c>
      <c r="C191" s="1" t="n">
        <v>45938</v>
      </c>
      <c r="D191" t="inlineStr">
        <is>
          <t>ÖSTERGÖTLANDS LÄN</t>
        </is>
      </c>
      <c r="E191" t="inlineStr">
        <is>
          <t>LINKÖPING</t>
        </is>
      </c>
      <c r="G191" t="n">
        <v>2.6</v>
      </c>
      <c r="H191" t="n">
        <v>0</v>
      </c>
      <c r="I191" t="n">
        <v>0</v>
      </c>
      <c r="J191" t="n">
        <v>0</v>
      </c>
      <c r="K191" t="n">
        <v>0</v>
      </c>
      <c r="L191" t="n">
        <v>0</v>
      </c>
      <c r="M191" t="n">
        <v>0</v>
      </c>
      <c r="N191" t="n">
        <v>0</v>
      </c>
      <c r="O191" t="n">
        <v>0</v>
      </c>
      <c r="P191" t="n">
        <v>0</v>
      </c>
      <c r="Q191" t="n">
        <v>0</v>
      </c>
      <c r="R191" s="2" t="inlineStr"/>
    </row>
    <row r="192" ht="15" customHeight="1">
      <c r="A192" t="inlineStr">
        <is>
          <t>A 61153-2021</t>
        </is>
      </c>
      <c r="B192" s="1" t="n">
        <v>44497</v>
      </c>
      <c r="C192" s="1" t="n">
        <v>45938</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45938</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224-2024</t>
        </is>
      </c>
      <c r="B194" s="1" t="n">
        <v>45294</v>
      </c>
      <c r="C194" s="1" t="n">
        <v>45938</v>
      </c>
      <c r="D194" t="inlineStr">
        <is>
          <t>ÖSTERGÖTLANDS LÄN</t>
        </is>
      </c>
      <c r="E194" t="inlineStr">
        <is>
          <t>LINKÖPING</t>
        </is>
      </c>
      <c r="G194" t="n">
        <v>2.8</v>
      </c>
      <c r="H194" t="n">
        <v>0</v>
      </c>
      <c r="I194" t="n">
        <v>0</v>
      </c>
      <c r="J194" t="n">
        <v>0</v>
      </c>
      <c r="K194" t="n">
        <v>0</v>
      </c>
      <c r="L194" t="n">
        <v>0</v>
      </c>
      <c r="M194" t="n">
        <v>0</v>
      </c>
      <c r="N194" t="n">
        <v>0</v>
      </c>
      <c r="O194" t="n">
        <v>0</v>
      </c>
      <c r="P194" t="n">
        <v>0</v>
      </c>
      <c r="Q194" t="n">
        <v>0</v>
      </c>
      <c r="R194" s="2" t="inlineStr"/>
    </row>
    <row r="195" ht="15" customHeight="1">
      <c r="A195" t="inlineStr">
        <is>
          <t>A 33885-2021</t>
        </is>
      </c>
      <c r="B195" s="1" t="n">
        <v>44378</v>
      </c>
      <c r="C195" s="1" t="n">
        <v>45938</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45938</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54845-2023</t>
        </is>
      </c>
      <c r="B197" s="1" t="n">
        <v>45236</v>
      </c>
      <c r="C197" s="1" t="n">
        <v>45938</v>
      </c>
      <c r="D197" t="inlineStr">
        <is>
          <t>ÖSTERGÖTLANDS LÄN</t>
        </is>
      </c>
      <c r="E197" t="inlineStr">
        <is>
          <t>LINKÖPING</t>
        </is>
      </c>
      <c r="F197" t="inlineStr">
        <is>
          <t>Övriga Aktiebolag</t>
        </is>
      </c>
      <c r="G197" t="n">
        <v>5.7</v>
      </c>
      <c r="H197" t="n">
        <v>0</v>
      </c>
      <c r="I197" t="n">
        <v>0</v>
      </c>
      <c r="J197" t="n">
        <v>0</v>
      </c>
      <c r="K197" t="n">
        <v>0</v>
      </c>
      <c r="L197" t="n">
        <v>0</v>
      </c>
      <c r="M197" t="n">
        <v>0</v>
      </c>
      <c r="N197" t="n">
        <v>0</v>
      </c>
      <c r="O197" t="n">
        <v>0</v>
      </c>
      <c r="P197" t="n">
        <v>0</v>
      </c>
      <c r="Q197" t="n">
        <v>0</v>
      </c>
      <c r="R197" s="2" t="inlineStr"/>
    </row>
    <row r="198" ht="15" customHeight="1">
      <c r="A198" t="inlineStr">
        <is>
          <t>A 62488-2023</t>
        </is>
      </c>
      <c r="B198" s="1" t="n">
        <v>45268.5847337963</v>
      </c>
      <c r="C198" s="1" t="n">
        <v>45938</v>
      </c>
      <c r="D198" t="inlineStr">
        <is>
          <t>ÖSTERGÖTLANDS LÄN</t>
        </is>
      </c>
      <c r="E198" t="inlineStr">
        <is>
          <t>LINKÖPING</t>
        </is>
      </c>
      <c r="G198" t="n">
        <v>4.1</v>
      </c>
      <c r="H198" t="n">
        <v>0</v>
      </c>
      <c r="I198" t="n">
        <v>0</v>
      </c>
      <c r="J198" t="n">
        <v>0</v>
      </c>
      <c r="K198" t="n">
        <v>0</v>
      </c>
      <c r="L198" t="n">
        <v>0</v>
      </c>
      <c r="M198" t="n">
        <v>0</v>
      </c>
      <c r="N198" t="n">
        <v>0</v>
      </c>
      <c r="O198" t="n">
        <v>0</v>
      </c>
      <c r="P198" t="n">
        <v>0</v>
      </c>
      <c r="Q198" t="n">
        <v>0</v>
      </c>
      <c r="R198" s="2" t="inlineStr"/>
    </row>
    <row r="199" ht="15" customHeight="1">
      <c r="A199" t="inlineStr">
        <is>
          <t>A 24351-2024</t>
        </is>
      </c>
      <c r="B199" s="1" t="n">
        <v>45457.59011574074</v>
      </c>
      <c r="C199" s="1" t="n">
        <v>45938</v>
      </c>
      <c r="D199" t="inlineStr">
        <is>
          <t>ÖSTERGÖTLANDS LÄN</t>
        </is>
      </c>
      <c r="E199" t="inlineStr">
        <is>
          <t>LINKÖPING</t>
        </is>
      </c>
      <c r="G199" t="n">
        <v>11.9</v>
      </c>
      <c r="H199" t="n">
        <v>0</v>
      </c>
      <c r="I199" t="n">
        <v>0</v>
      </c>
      <c r="J199" t="n">
        <v>0</v>
      </c>
      <c r="K199" t="n">
        <v>0</v>
      </c>
      <c r="L199" t="n">
        <v>0</v>
      </c>
      <c r="M199" t="n">
        <v>0</v>
      </c>
      <c r="N199" t="n">
        <v>0</v>
      </c>
      <c r="O199" t="n">
        <v>0</v>
      </c>
      <c r="P199" t="n">
        <v>0</v>
      </c>
      <c r="Q199" t="n">
        <v>0</v>
      </c>
      <c r="R199" s="2" t="inlineStr"/>
    </row>
    <row r="200" ht="15" customHeight="1">
      <c r="A200" t="inlineStr">
        <is>
          <t>A 54854-2022</t>
        </is>
      </c>
      <c r="B200" s="1" t="n">
        <v>44884</v>
      </c>
      <c r="C200" s="1" t="n">
        <v>45938</v>
      </c>
      <c r="D200" t="inlineStr">
        <is>
          <t>ÖSTERGÖTLANDS LÄN</t>
        </is>
      </c>
      <c r="E200" t="inlineStr">
        <is>
          <t>LINKÖPING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54855-2022</t>
        </is>
      </c>
      <c r="B201" s="1" t="n">
        <v>44884.59502314815</v>
      </c>
      <c r="C201" s="1" t="n">
        <v>45938</v>
      </c>
      <c r="D201" t="inlineStr">
        <is>
          <t>ÖSTERGÖTLANDS LÄN</t>
        </is>
      </c>
      <c r="E201" t="inlineStr">
        <is>
          <t>LINKÖPING</t>
        </is>
      </c>
      <c r="G201" t="n">
        <v>2.9</v>
      </c>
      <c r="H201" t="n">
        <v>0</v>
      </c>
      <c r="I201" t="n">
        <v>0</v>
      </c>
      <c r="J201" t="n">
        <v>0</v>
      </c>
      <c r="K201" t="n">
        <v>0</v>
      </c>
      <c r="L201" t="n">
        <v>0</v>
      </c>
      <c r="M201" t="n">
        <v>0</v>
      </c>
      <c r="N201" t="n">
        <v>0</v>
      </c>
      <c r="O201" t="n">
        <v>0</v>
      </c>
      <c r="P201" t="n">
        <v>0</v>
      </c>
      <c r="Q201" t="n">
        <v>0</v>
      </c>
      <c r="R201" s="2" t="inlineStr"/>
    </row>
    <row r="202" ht="15" customHeight="1">
      <c r="A202" t="inlineStr">
        <is>
          <t>A 46490-2022</t>
        </is>
      </c>
      <c r="B202" s="1" t="n">
        <v>44848</v>
      </c>
      <c r="C202" s="1" t="n">
        <v>45938</v>
      </c>
      <c r="D202" t="inlineStr">
        <is>
          <t>ÖSTERGÖTLANDS LÄN</t>
        </is>
      </c>
      <c r="E202" t="inlineStr">
        <is>
          <t>LINKÖPING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41426-2022</t>
        </is>
      </c>
      <c r="B203" s="1" t="n">
        <v>44826</v>
      </c>
      <c r="C203" s="1" t="n">
        <v>45938</v>
      </c>
      <c r="D203" t="inlineStr">
        <is>
          <t>ÖSTERGÖTLANDS LÄN</t>
        </is>
      </c>
      <c r="E203" t="inlineStr">
        <is>
          <t>LINKÖPING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52796-2023</t>
        </is>
      </c>
      <c r="B204" s="1" t="n">
        <v>45219</v>
      </c>
      <c r="C204" s="1" t="n">
        <v>45938</v>
      </c>
      <c r="D204" t="inlineStr">
        <is>
          <t>ÖSTERGÖTLANDS LÄN</t>
        </is>
      </c>
      <c r="E204" t="inlineStr">
        <is>
          <t>LINKÖPING</t>
        </is>
      </c>
      <c r="F204" t="inlineStr">
        <is>
          <t>Övriga statliga verk och myndigheter</t>
        </is>
      </c>
      <c r="G204" t="n">
        <v>3.9</v>
      </c>
      <c r="H204" t="n">
        <v>0</v>
      </c>
      <c r="I204" t="n">
        <v>0</v>
      </c>
      <c r="J204" t="n">
        <v>0</v>
      </c>
      <c r="K204" t="n">
        <v>0</v>
      </c>
      <c r="L204" t="n">
        <v>0</v>
      </c>
      <c r="M204" t="n">
        <v>0</v>
      </c>
      <c r="N204" t="n">
        <v>0</v>
      </c>
      <c r="O204" t="n">
        <v>0</v>
      </c>
      <c r="P204" t="n">
        <v>0</v>
      </c>
      <c r="Q204" t="n">
        <v>0</v>
      </c>
      <c r="R204" s="2" t="inlineStr"/>
    </row>
    <row r="205" ht="15" customHeight="1">
      <c r="A205" t="inlineStr">
        <is>
          <t>A 34162-2022</t>
        </is>
      </c>
      <c r="B205" s="1" t="n">
        <v>44791</v>
      </c>
      <c r="C205" s="1" t="n">
        <v>45938</v>
      </c>
      <c r="D205" t="inlineStr">
        <is>
          <t>ÖSTERGÖTLANDS LÄN</t>
        </is>
      </c>
      <c r="E205" t="inlineStr">
        <is>
          <t>LINKÖPING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30855-2022</t>
        </is>
      </c>
      <c r="B206" s="1" t="n">
        <v>44767</v>
      </c>
      <c r="C206" s="1" t="n">
        <v>45938</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11079-2022</t>
        </is>
      </c>
      <c r="B207" s="1" t="n">
        <v>44628</v>
      </c>
      <c r="C207" s="1" t="n">
        <v>45938</v>
      </c>
      <c r="D207" t="inlineStr">
        <is>
          <t>ÖSTERGÖTLANDS LÄN</t>
        </is>
      </c>
      <c r="E207" t="inlineStr">
        <is>
          <t>LINKÖPING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20901-2021</t>
        </is>
      </c>
      <c r="B208" s="1" t="n">
        <v>44319</v>
      </c>
      <c r="C208" s="1" t="n">
        <v>45938</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45938</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61298-2021</t>
        </is>
      </c>
      <c r="B210" s="1" t="n">
        <v>44498.62533564815</v>
      </c>
      <c r="C210" s="1" t="n">
        <v>45938</v>
      </c>
      <c r="D210" t="inlineStr">
        <is>
          <t>ÖSTERGÖTLANDS LÄN</t>
        </is>
      </c>
      <c r="E210" t="inlineStr">
        <is>
          <t>LINKÖPING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61333-2021</t>
        </is>
      </c>
      <c r="B211" s="1" t="n">
        <v>44498.6764699074</v>
      </c>
      <c r="C211" s="1" t="n">
        <v>45938</v>
      </c>
      <c r="D211" t="inlineStr">
        <is>
          <t>ÖSTERGÖTLANDS LÄN</t>
        </is>
      </c>
      <c r="E211" t="inlineStr">
        <is>
          <t>LINKÖPING</t>
        </is>
      </c>
      <c r="G211" t="n">
        <v>7.5</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45938</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12412-2022</t>
        </is>
      </c>
      <c r="B213" s="1" t="n">
        <v>44638</v>
      </c>
      <c r="C213" s="1" t="n">
        <v>45938</v>
      </c>
      <c r="D213" t="inlineStr">
        <is>
          <t>ÖSTERGÖTLANDS LÄN</t>
        </is>
      </c>
      <c r="E213" t="inlineStr">
        <is>
          <t>LINKÖPING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65398-2021</t>
        </is>
      </c>
      <c r="B214" s="1" t="n">
        <v>44515</v>
      </c>
      <c r="C214" s="1" t="n">
        <v>45938</v>
      </c>
      <c r="D214" t="inlineStr">
        <is>
          <t>ÖSTERGÖTLANDS LÄN</t>
        </is>
      </c>
      <c r="E214" t="inlineStr">
        <is>
          <t>LINKÖPING</t>
        </is>
      </c>
      <c r="F214" t="inlineStr">
        <is>
          <t>Övriga statliga verk och myndigheter</t>
        </is>
      </c>
      <c r="G214" t="n">
        <v>2.4</v>
      </c>
      <c r="H214" t="n">
        <v>0</v>
      </c>
      <c r="I214" t="n">
        <v>0</v>
      </c>
      <c r="J214" t="n">
        <v>0</v>
      </c>
      <c r="K214" t="n">
        <v>0</v>
      </c>
      <c r="L214" t="n">
        <v>0</v>
      </c>
      <c r="M214" t="n">
        <v>0</v>
      </c>
      <c r="N214" t="n">
        <v>0</v>
      </c>
      <c r="O214" t="n">
        <v>0</v>
      </c>
      <c r="P214" t="n">
        <v>0</v>
      </c>
      <c r="Q214" t="n">
        <v>0</v>
      </c>
      <c r="R214" s="2" t="inlineStr"/>
    </row>
    <row r="215" ht="15" customHeight="1">
      <c r="A215" t="inlineStr">
        <is>
          <t>A 57745-2022</t>
        </is>
      </c>
      <c r="B215" s="1" t="n">
        <v>44897.58119212963</v>
      </c>
      <c r="C215" s="1" t="n">
        <v>45938</v>
      </c>
      <c r="D215" t="inlineStr">
        <is>
          <t>ÖSTERGÖTLANDS LÄN</t>
        </is>
      </c>
      <c r="E215" t="inlineStr">
        <is>
          <t>LINKÖPING</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34889-2023</t>
        </is>
      </c>
      <c r="B216" s="1" t="n">
        <v>45140</v>
      </c>
      <c r="C216" s="1" t="n">
        <v>45938</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62321-2022</t>
        </is>
      </c>
      <c r="B217" s="1" t="n">
        <v>44916</v>
      </c>
      <c r="C217" s="1" t="n">
        <v>45938</v>
      </c>
      <c r="D217" t="inlineStr">
        <is>
          <t>ÖSTERGÖTLANDS LÄN</t>
        </is>
      </c>
      <c r="E217" t="inlineStr">
        <is>
          <t>LINKÖPING</t>
        </is>
      </c>
      <c r="F217" t="inlineStr">
        <is>
          <t>Kommuner</t>
        </is>
      </c>
      <c r="G217" t="n">
        <v>5.3</v>
      </c>
      <c r="H217" t="n">
        <v>0</v>
      </c>
      <c r="I217" t="n">
        <v>0</v>
      </c>
      <c r="J217" t="n">
        <v>0</v>
      </c>
      <c r="K217" t="n">
        <v>0</v>
      </c>
      <c r="L217" t="n">
        <v>0</v>
      </c>
      <c r="M217" t="n">
        <v>0</v>
      </c>
      <c r="N217" t="n">
        <v>0</v>
      </c>
      <c r="O217" t="n">
        <v>0</v>
      </c>
      <c r="P217" t="n">
        <v>0</v>
      </c>
      <c r="Q217" t="n">
        <v>0</v>
      </c>
      <c r="R217" s="2" t="inlineStr"/>
    </row>
    <row r="218" ht="15" customHeight="1">
      <c r="A218" t="inlineStr">
        <is>
          <t>A 67912-2021</t>
        </is>
      </c>
      <c r="B218" s="1" t="n">
        <v>44525</v>
      </c>
      <c r="C218" s="1" t="n">
        <v>45938</v>
      </c>
      <c r="D218" t="inlineStr">
        <is>
          <t>ÖSTERGÖTLANDS LÄN</t>
        </is>
      </c>
      <c r="E218" t="inlineStr">
        <is>
          <t>LINKÖPING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67940-2021</t>
        </is>
      </c>
      <c r="B219" s="1" t="n">
        <v>44525.62849537037</v>
      </c>
      <c r="C219" s="1" t="n">
        <v>45938</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1084-2023</t>
        </is>
      </c>
      <c r="B220" s="1" t="n">
        <v>44929</v>
      </c>
      <c r="C220" s="1" t="n">
        <v>45938</v>
      </c>
      <c r="D220" t="inlineStr">
        <is>
          <t>ÖSTERGÖTLANDS LÄN</t>
        </is>
      </c>
      <c r="E220" t="inlineStr">
        <is>
          <t>LINKÖPING</t>
        </is>
      </c>
      <c r="G220" t="n">
        <v>10.4</v>
      </c>
      <c r="H220" t="n">
        <v>0</v>
      </c>
      <c r="I220" t="n">
        <v>0</v>
      </c>
      <c r="J220" t="n">
        <v>0</v>
      </c>
      <c r="K220" t="n">
        <v>0</v>
      </c>
      <c r="L220" t="n">
        <v>0</v>
      </c>
      <c r="M220" t="n">
        <v>0</v>
      </c>
      <c r="N220" t="n">
        <v>0</v>
      </c>
      <c r="O220" t="n">
        <v>0</v>
      </c>
      <c r="P220" t="n">
        <v>0</v>
      </c>
      <c r="Q220" t="n">
        <v>0</v>
      </c>
      <c r="R220" s="2" t="inlineStr"/>
    </row>
    <row r="221" ht="15" customHeight="1">
      <c r="A221" t="inlineStr">
        <is>
          <t>A 1993-2023</t>
        </is>
      </c>
      <c r="B221" s="1" t="n">
        <v>44939</v>
      </c>
      <c r="C221" s="1" t="n">
        <v>45938</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267-2023</t>
        </is>
      </c>
      <c r="B222" s="1" t="n">
        <v>44928.80907407407</v>
      </c>
      <c r="C222" s="1" t="n">
        <v>45938</v>
      </c>
      <c r="D222" t="inlineStr">
        <is>
          <t>ÖSTERGÖTLANDS LÄN</t>
        </is>
      </c>
      <c r="E222" t="inlineStr">
        <is>
          <t>LINKÖPING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940-2023</t>
        </is>
      </c>
      <c r="B223" s="1" t="n">
        <v>44933</v>
      </c>
      <c r="C223" s="1" t="n">
        <v>45938</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63669-2023</t>
        </is>
      </c>
      <c r="B224" s="1" t="n">
        <v>45275</v>
      </c>
      <c r="C224" s="1" t="n">
        <v>45938</v>
      </c>
      <c r="D224" t="inlineStr">
        <is>
          <t>ÖSTERGÖTLANDS LÄN</t>
        </is>
      </c>
      <c r="E224" t="inlineStr">
        <is>
          <t>LINKÖPING</t>
        </is>
      </c>
      <c r="F224" t="inlineStr">
        <is>
          <t>Övriga Aktiebolag</t>
        </is>
      </c>
      <c r="G224" t="n">
        <v>3</v>
      </c>
      <c r="H224" t="n">
        <v>0</v>
      </c>
      <c r="I224" t="n">
        <v>0</v>
      </c>
      <c r="J224" t="n">
        <v>0</v>
      </c>
      <c r="K224" t="n">
        <v>0</v>
      </c>
      <c r="L224" t="n">
        <v>0</v>
      </c>
      <c r="M224" t="n">
        <v>0</v>
      </c>
      <c r="N224" t="n">
        <v>0</v>
      </c>
      <c r="O224" t="n">
        <v>0</v>
      </c>
      <c r="P224" t="n">
        <v>0</v>
      </c>
      <c r="Q224" t="n">
        <v>0</v>
      </c>
      <c r="R224" s="2" t="inlineStr"/>
    </row>
    <row r="225" ht="15" customHeight="1">
      <c r="A225" t="inlineStr">
        <is>
          <t>A 6369-2023</t>
        </is>
      </c>
      <c r="B225" s="1" t="n">
        <v>44965.61106481482</v>
      </c>
      <c r="C225" s="1" t="n">
        <v>45938</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24586-2024</t>
        </is>
      </c>
      <c r="B226" s="1" t="n">
        <v>45460.46664351852</v>
      </c>
      <c r="C226" s="1" t="n">
        <v>45938</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59576-2024</t>
        </is>
      </c>
      <c r="B227" s="1" t="n">
        <v>45638.66378472222</v>
      </c>
      <c r="C227" s="1" t="n">
        <v>45938</v>
      </c>
      <c r="D227" t="inlineStr">
        <is>
          <t>ÖSTERGÖTLANDS LÄN</t>
        </is>
      </c>
      <c r="E227" t="inlineStr">
        <is>
          <t>LINKÖPING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59642-2024</t>
        </is>
      </c>
      <c r="B228" s="1" t="n">
        <v>45639.31511574074</v>
      </c>
      <c r="C228" s="1" t="n">
        <v>45938</v>
      </c>
      <c r="D228" t="inlineStr">
        <is>
          <t>ÖSTERGÖTLANDS LÄN</t>
        </is>
      </c>
      <c r="E228" t="inlineStr">
        <is>
          <t>LINKÖPING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59674-2024</t>
        </is>
      </c>
      <c r="B229" s="1" t="n">
        <v>45639</v>
      </c>
      <c r="C229" s="1" t="n">
        <v>45938</v>
      </c>
      <c r="D229" t="inlineStr">
        <is>
          <t>ÖSTERGÖTLANDS LÄN</t>
        </is>
      </c>
      <c r="E229" t="inlineStr">
        <is>
          <t>LINKÖPING</t>
        </is>
      </c>
      <c r="G229" t="n">
        <v>6.3</v>
      </c>
      <c r="H229" t="n">
        <v>0</v>
      </c>
      <c r="I229" t="n">
        <v>0</v>
      </c>
      <c r="J229" t="n">
        <v>0</v>
      </c>
      <c r="K229" t="n">
        <v>0</v>
      </c>
      <c r="L229" t="n">
        <v>0</v>
      </c>
      <c r="M229" t="n">
        <v>0</v>
      </c>
      <c r="N229" t="n">
        <v>0</v>
      </c>
      <c r="O229" t="n">
        <v>0</v>
      </c>
      <c r="P229" t="n">
        <v>0</v>
      </c>
      <c r="Q229" t="n">
        <v>0</v>
      </c>
      <c r="R229" s="2" t="inlineStr"/>
    </row>
    <row r="230" ht="15" customHeight="1">
      <c r="A230" t="inlineStr">
        <is>
          <t>A 30980-2022</t>
        </is>
      </c>
      <c r="B230" s="1" t="n">
        <v>44768</v>
      </c>
      <c r="C230" s="1" t="n">
        <v>45938</v>
      </c>
      <c r="D230" t="inlineStr">
        <is>
          <t>ÖSTERGÖTLANDS LÄN</t>
        </is>
      </c>
      <c r="E230" t="inlineStr">
        <is>
          <t>LINKÖPING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60007-2022</t>
        </is>
      </c>
      <c r="B231" s="1" t="n">
        <v>44909.47282407407</v>
      </c>
      <c r="C231" s="1" t="n">
        <v>45938</v>
      </c>
      <c r="D231" t="inlineStr">
        <is>
          <t>ÖSTERGÖTLANDS LÄN</t>
        </is>
      </c>
      <c r="E231" t="inlineStr">
        <is>
          <t>LINKÖPING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50799-2022</t>
        </is>
      </c>
      <c r="B232" s="1" t="n">
        <v>44862</v>
      </c>
      <c r="C232" s="1" t="n">
        <v>45938</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22771-2024</t>
        </is>
      </c>
      <c r="B233" s="1" t="n">
        <v>45448.46574074074</v>
      </c>
      <c r="C233" s="1" t="n">
        <v>45938</v>
      </c>
      <c r="D233" t="inlineStr">
        <is>
          <t>ÖSTERGÖTLANDS LÄN</t>
        </is>
      </c>
      <c r="E233" t="inlineStr">
        <is>
          <t>LINKÖPING</t>
        </is>
      </c>
      <c r="F233" t="inlineStr">
        <is>
          <t>Sveaskog</t>
        </is>
      </c>
      <c r="G233" t="n">
        <v>2.7</v>
      </c>
      <c r="H233" t="n">
        <v>0</v>
      </c>
      <c r="I233" t="n">
        <v>0</v>
      </c>
      <c r="J233" t="n">
        <v>0</v>
      </c>
      <c r="K233" t="n">
        <v>0</v>
      </c>
      <c r="L233" t="n">
        <v>0</v>
      </c>
      <c r="M233" t="n">
        <v>0</v>
      </c>
      <c r="N233" t="n">
        <v>0</v>
      </c>
      <c r="O233" t="n">
        <v>0</v>
      </c>
      <c r="P233" t="n">
        <v>0</v>
      </c>
      <c r="Q233" t="n">
        <v>0</v>
      </c>
      <c r="R233" s="2" t="inlineStr"/>
    </row>
    <row r="234" ht="15" customHeight="1">
      <c r="A234" t="inlineStr">
        <is>
          <t>A 3742-2021</t>
        </is>
      </c>
      <c r="B234" s="1" t="n">
        <v>44221</v>
      </c>
      <c r="C234" s="1" t="n">
        <v>45938</v>
      </c>
      <c r="D234" t="inlineStr">
        <is>
          <t>ÖSTERGÖTLANDS LÄN</t>
        </is>
      </c>
      <c r="E234" t="inlineStr">
        <is>
          <t>LINKÖPING</t>
        </is>
      </c>
      <c r="G234" t="n">
        <v>5.5</v>
      </c>
      <c r="H234" t="n">
        <v>0</v>
      </c>
      <c r="I234" t="n">
        <v>0</v>
      </c>
      <c r="J234" t="n">
        <v>0</v>
      </c>
      <c r="K234" t="n">
        <v>0</v>
      </c>
      <c r="L234" t="n">
        <v>0</v>
      </c>
      <c r="M234" t="n">
        <v>0</v>
      </c>
      <c r="N234" t="n">
        <v>0</v>
      </c>
      <c r="O234" t="n">
        <v>0</v>
      </c>
      <c r="P234" t="n">
        <v>0</v>
      </c>
      <c r="Q234" t="n">
        <v>0</v>
      </c>
      <c r="R234" s="2" t="inlineStr"/>
    </row>
    <row r="235" ht="15" customHeight="1">
      <c r="A235" t="inlineStr">
        <is>
          <t>A 18916-2024</t>
        </is>
      </c>
      <c r="B235" s="1" t="n">
        <v>45427.39541666667</v>
      </c>
      <c r="C235" s="1" t="n">
        <v>45938</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10951-2022</t>
        </is>
      </c>
      <c r="B236" s="1" t="n">
        <v>44627</v>
      </c>
      <c r="C236" s="1" t="n">
        <v>45938</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56064-2022</t>
        </is>
      </c>
      <c r="B237" s="1" t="n">
        <v>44889.59107638889</v>
      </c>
      <c r="C237" s="1" t="n">
        <v>45938</v>
      </c>
      <c r="D237" t="inlineStr">
        <is>
          <t>ÖSTERGÖTLANDS LÄN</t>
        </is>
      </c>
      <c r="E237" t="inlineStr">
        <is>
          <t>LINKÖPING</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52220-2023</t>
        </is>
      </c>
      <c r="B238" s="1" t="n">
        <v>45217</v>
      </c>
      <c r="C238" s="1" t="n">
        <v>45938</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52225-2023</t>
        </is>
      </c>
      <c r="B239" s="1" t="n">
        <v>45217</v>
      </c>
      <c r="C239" s="1" t="n">
        <v>45938</v>
      </c>
      <c r="D239" t="inlineStr">
        <is>
          <t>ÖSTERGÖTLANDS LÄN</t>
        </is>
      </c>
      <c r="E239" t="inlineStr">
        <is>
          <t>LINKÖPING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47703-2023</t>
        </is>
      </c>
      <c r="B240" s="1" t="n">
        <v>45203</v>
      </c>
      <c r="C240" s="1" t="n">
        <v>45938</v>
      </c>
      <c r="D240" t="inlineStr">
        <is>
          <t>ÖSTERGÖTLANDS LÄN</t>
        </is>
      </c>
      <c r="E240" t="inlineStr">
        <is>
          <t>LINKÖPING</t>
        </is>
      </c>
      <c r="G240" t="n">
        <v>4.1</v>
      </c>
      <c r="H240" t="n">
        <v>0</v>
      </c>
      <c r="I240" t="n">
        <v>0</v>
      </c>
      <c r="J240" t="n">
        <v>0</v>
      </c>
      <c r="K240" t="n">
        <v>0</v>
      </c>
      <c r="L240" t="n">
        <v>0</v>
      </c>
      <c r="M240" t="n">
        <v>0</v>
      </c>
      <c r="N240" t="n">
        <v>0</v>
      </c>
      <c r="O240" t="n">
        <v>0</v>
      </c>
      <c r="P240" t="n">
        <v>0</v>
      </c>
      <c r="Q240" t="n">
        <v>0</v>
      </c>
      <c r="R240" s="2" t="inlineStr"/>
    </row>
    <row r="241" ht="15" customHeight="1">
      <c r="A241" t="inlineStr">
        <is>
          <t>A 42832-2023</t>
        </is>
      </c>
      <c r="B241" s="1" t="n">
        <v>45182.38091435185</v>
      </c>
      <c r="C241" s="1" t="n">
        <v>45938</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11084-2022</t>
        </is>
      </c>
      <c r="B242" s="1" t="n">
        <v>44628</v>
      </c>
      <c r="C242" s="1" t="n">
        <v>45938</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56560-2023</t>
        </is>
      </c>
      <c r="B243" s="1" t="n">
        <v>45238</v>
      </c>
      <c r="C243" s="1" t="n">
        <v>45938</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52412-2023</t>
        </is>
      </c>
      <c r="B244" s="1" t="n">
        <v>45225.27888888889</v>
      </c>
      <c r="C244" s="1" t="n">
        <v>45938</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52413-2023</t>
        </is>
      </c>
      <c r="B245" s="1" t="n">
        <v>45225.27950231481</v>
      </c>
      <c r="C245" s="1" t="n">
        <v>45938</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16111-2022</t>
        </is>
      </c>
      <c r="B246" s="1" t="n">
        <v>44665</v>
      </c>
      <c r="C246" s="1" t="n">
        <v>45938</v>
      </c>
      <c r="D246" t="inlineStr">
        <is>
          <t>ÖSTERGÖTLANDS LÄN</t>
        </is>
      </c>
      <c r="E246" t="inlineStr">
        <is>
          <t>LINKÖPING</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7354-2025</t>
        </is>
      </c>
      <c r="B247" s="1" t="n">
        <v>45704.41174768518</v>
      </c>
      <c r="C247" s="1" t="n">
        <v>45938</v>
      </c>
      <c r="D247" t="inlineStr">
        <is>
          <t>ÖSTERGÖTLANDS LÄN</t>
        </is>
      </c>
      <c r="E247" t="inlineStr">
        <is>
          <t>LINKÖPING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48962-2022</t>
        </is>
      </c>
      <c r="B248" s="1" t="n">
        <v>44860.31635416667</v>
      </c>
      <c r="C248" s="1" t="n">
        <v>45938</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27891-2021</t>
        </is>
      </c>
      <c r="B249" s="1" t="n">
        <v>44354.65108796296</v>
      </c>
      <c r="C249" s="1" t="n">
        <v>45938</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10203-2023</t>
        </is>
      </c>
      <c r="B250" s="1" t="n">
        <v>44986.55711805556</v>
      </c>
      <c r="C250" s="1" t="n">
        <v>45938</v>
      </c>
      <c r="D250" t="inlineStr">
        <is>
          <t>ÖSTERGÖTLANDS LÄN</t>
        </is>
      </c>
      <c r="E250" t="inlineStr">
        <is>
          <t>LINKÖPING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54491-2020</t>
        </is>
      </c>
      <c r="B251" s="1" t="n">
        <v>44126.64</v>
      </c>
      <c r="C251" s="1" t="n">
        <v>45938</v>
      </c>
      <c r="D251" t="inlineStr">
        <is>
          <t>ÖSTERGÖTLANDS LÄN</t>
        </is>
      </c>
      <c r="E251" t="inlineStr">
        <is>
          <t>LINKÖPING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1268-2023</t>
        </is>
      </c>
      <c r="B252" s="1" t="n">
        <v>44936</v>
      </c>
      <c r="C252" s="1" t="n">
        <v>45938</v>
      </c>
      <c r="D252" t="inlineStr">
        <is>
          <t>ÖSTERGÖTLANDS LÄN</t>
        </is>
      </c>
      <c r="E252" t="inlineStr">
        <is>
          <t>LINKÖPING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62687-2023</t>
        </is>
      </c>
      <c r="B253" s="1" t="n">
        <v>45271</v>
      </c>
      <c r="C253" s="1" t="n">
        <v>45938</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34641-2022</t>
        </is>
      </c>
      <c r="B254" s="1" t="n">
        <v>44795</v>
      </c>
      <c r="C254" s="1" t="n">
        <v>45938</v>
      </c>
      <c r="D254" t="inlineStr">
        <is>
          <t>ÖSTERGÖTLANDS LÄN</t>
        </is>
      </c>
      <c r="E254" t="inlineStr">
        <is>
          <t>LINKÖPING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61281-2021</t>
        </is>
      </c>
      <c r="B255" s="1" t="n">
        <v>44498.60736111111</v>
      </c>
      <c r="C255" s="1" t="n">
        <v>45938</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25292-2021</t>
        </is>
      </c>
      <c r="B256" s="1" t="n">
        <v>44342</v>
      </c>
      <c r="C256" s="1" t="n">
        <v>45938</v>
      </c>
      <c r="D256" t="inlineStr">
        <is>
          <t>ÖSTERGÖTLANDS LÄN</t>
        </is>
      </c>
      <c r="E256" t="inlineStr">
        <is>
          <t>LINKÖPING</t>
        </is>
      </c>
      <c r="F256" t="inlineStr">
        <is>
          <t>Övriga Aktiebolag</t>
        </is>
      </c>
      <c r="G256" t="n">
        <v>12.8</v>
      </c>
      <c r="H256" t="n">
        <v>0</v>
      </c>
      <c r="I256" t="n">
        <v>0</v>
      </c>
      <c r="J256" t="n">
        <v>0</v>
      </c>
      <c r="K256" t="n">
        <v>0</v>
      </c>
      <c r="L256" t="n">
        <v>0</v>
      </c>
      <c r="M256" t="n">
        <v>0</v>
      </c>
      <c r="N256" t="n">
        <v>0</v>
      </c>
      <c r="O256" t="n">
        <v>0</v>
      </c>
      <c r="P256" t="n">
        <v>0</v>
      </c>
      <c r="Q256" t="n">
        <v>0</v>
      </c>
      <c r="R256" s="2" t="inlineStr"/>
    </row>
    <row r="257" ht="15" customHeight="1">
      <c r="A257" t="inlineStr">
        <is>
          <t>A 55945-2024</t>
        </is>
      </c>
      <c r="B257" s="1" t="n">
        <v>45623.61754629629</v>
      </c>
      <c r="C257" s="1" t="n">
        <v>45938</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938-2023</t>
        </is>
      </c>
      <c r="B258" s="1" t="n">
        <v>44933</v>
      </c>
      <c r="C258" s="1" t="n">
        <v>45938</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2389-2023</t>
        </is>
      </c>
      <c r="B259" s="1" t="n">
        <v>44942</v>
      </c>
      <c r="C259" s="1" t="n">
        <v>45938</v>
      </c>
      <c r="D259" t="inlineStr">
        <is>
          <t>ÖSTERGÖTLANDS LÄN</t>
        </is>
      </c>
      <c r="E259" t="inlineStr">
        <is>
          <t>LINKÖPING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63935-2021</t>
        </is>
      </c>
      <c r="B260" s="1" t="n">
        <v>44509</v>
      </c>
      <c r="C260" s="1" t="n">
        <v>45938</v>
      </c>
      <c r="D260" t="inlineStr">
        <is>
          <t>ÖSTERGÖTLANDS LÄN</t>
        </is>
      </c>
      <c r="E260" t="inlineStr">
        <is>
          <t>LINKÖPING</t>
        </is>
      </c>
      <c r="F260" t="inlineStr">
        <is>
          <t>Övriga statliga verk och myndigheter</t>
        </is>
      </c>
      <c r="G260" t="n">
        <v>2.8</v>
      </c>
      <c r="H260" t="n">
        <v>0</v>
      </c>
      <c r="I260" t="n">
        <v>0</v>
      </c>
      <c r="J260" t="n">
        <v>0</v>
      </c>
      <c r="K260" t="n">
        <v>0</v>
      </c>
      <c r="L260" t="n">
        <v>0</v>
      </c>
      <c r="M260" t="n">
        <v>0</v>
      </c>
      <c r="N260" t="n">
        <v>0</v>
      </c>
      <c r="O260" t="n">
        <v>0</v>
      </c>
      <c r="P260" t="n">
        <v>0</v>
      </c>
      <c r="Q260" t="n">
        <v>0</v>
      </c>
      <c r="R260" s="2" t="inlineStr"/>
    </row>
    <row r="261" ht="15" customHeight="1">
      <c r="A261" t="inlineStr">
        <is>
          <t>A 34928-2023</t>
        </is>
      </c>
      <c r="B261" s="1" t="n">
        <v>45142</v>
      </c>
      <c r="C261" s="1" t="n">
        <v>45938</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2618-2023</t>
        </is>
      </c>
      <c r="B262" s="1" t="n">
        <v>44944.35847222222</v>
      </c>
      <c r="C262" s="1" t="n">
        <v>45938</v>
      </c>
      <c r="D262" t="inlineStr">
        <is>
          <t>ÖSTERGÖTLANDS LÄN</t>
        </is>
      </c>
      <c r="E262" t="inlineStr">
        <is>
          <t>LINKÖPING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48-2024</t>
        </is>
      </c>
      <c r="B263" s="1" t="n">
        <v>45293</v>
      </c>
      <c r="C263" s="1" t="n">
        <v>45938</v>
      </c>
      <c r="D263" t="inlineStr">
        <is>
          <t>ÖSTERGÖTLANDS LÄN</t>
        </is>
      </c>
      <c r="E263" t="inlineStr">
        <is>
          <t>LINKÖPING</t>
        </is>
      </c>
      <c r="G263" t="n">
        <v>4.6</v>
      </c>
      <c r="H263" t="n">
        <v>0</v>
      </c>
      <c r="I263" t="n">
        <v>0</v>
      </c>
      <c r="J263" t="n">
        <v>0</v>
      </c>
      <c r="K263" t="n">
        <v>0</v>
      </c>
      <c r="L263" t="n">
        <v>0</v>
      </c>
      <c r="M263" t="n">
        <v>0</v>
      </c>
      <c r="N263" t="n">
        <v>0</v>
      </c>
      <c r="O263" t="n">
        <v>0</v>
      </c>
      <c r="P263" t="n">
        <v>0</v>
      </c>
      <c r="Q263" t="n">
        <v>0</v>
      </c>
      <c r="R263" s="2" t="inlineStr"/>
    </row>
    <row r="264" ht="15" customHeight="1">
      <c r="A264" t="inlineStr">
        <is>
          <t>A 1263-2024</t>
        </is>
      </c>
      <c r="B264" s="1" t="n">
        <v>45302</v>
      </c>
      <c r="C264" s="1" t="n">
        <v>45938</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38971-2025</t>
        </is>
      </c>
      <c r="B265" s="1" t="n">
        <v>45887.71827546296</v>
      </c>
      <c r="C265" s="1" t="n">
        <v>45938</v>
      </c>
      <c r="D265" t="inlineStr">
        <is>
          <t>ÖSTERGÖTLANDS LÄN</t>
        </is>
      </c>
      <c r="E265" t="inlineStr">
        <is>
          <t>LINKÖPING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52531-2023</t>
        </is>
      </c>
      <c r="B266" s="1" t="n">
        <v>45225</v>
      </c>
      <c r="C266" s="1" t="n">
        <v>45938</v>
      </c>
      <c r="D266" t="inlineStr">
        <is>
          <t>ÖSTERGÖTLANDS LÄN</t>
        </is>
      </c>
      <c r="E266" t="inlineStr">
        <is>
          <t>LINKÖPING</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45771-2023</t>
        </is>
      </c>
      <c r="B267" s="1" t="n">
        <v>45195.4384375</v>
      </c>
      <c r="C267" s="1" t="n">
        <v>45938</v>
      </c>
      <c r="D267" t="inlineStr">
        <is>
          <t>ÖSTERGÖTLANDS LÄN</t>
        </is>
      </c>
      <c r="E267" t="inlineStr">
        <is>
          <t>LINKÖPING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30547-2023</t>
        </is>
      </c>
      <c r="B268" s="1" t="n">
        <v>45111.75905092592</v>
      </c>
      <c r="C268" s="1" t="n">
        <v>45938</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55345-2021</t>
        </is>
      </c>
      <c r="B269" s="1" t="n">
        <v>44475</v>
      </c>
      <c r="C269" s="1" t="n">
        <v>45938</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40502-2024</t>
        </is>
      </c>
      <c r="B270" s="1" t="n">
        <v>45555.57263888889</v>
      </c>
      <c r="C270" s="1" t="n">
        <v>45938</v>
      </c>
      <c r="D270" t="inlineStr">
        <is>
          <t>ÖSTERGÖTLANDS LÄN</t>
        </is>
      </c>
      <c r="E270" t="inlineStr">
        <is>
          <t>LINKÖPING</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62020-2024</t>
        </is>
      </c>
      <c r="B271" s="1" t="n">
        <v>45655.83563657408</v>
      </c>
      <c r="C271" s="1" t="n">
        <v>45938</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62021-2024</t>
        </is>
      </c>
      <c r="B272" s="1" t="n">
        <v>45655.84232638889</v>
      </c>
      <c r="C272" s="1" t="n">
        <v>45938</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20291-2025</t>
        </is>
      </c>
      <c r="B273" s="1" t="n">
        <v>45774.74288194445</v>
      </c>
      <c r="C273" s="1" t="n">
        <v>45938</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20293-2025</t>
        </is>
      </c>
      <c r="B274" s="1" t="n">
        <v>45774.74611111111</v>
      </c>
      <c r="C274" s="1" t="n">
        <v>45938</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24464-2023</t>
        </is>
      </c>
      <c r="B275" s="1" t="n">
        <v>45082.58068287037</v>
      </c>
      <c r="C275" s="1" t="n">
        <v>45938</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24467-2023</t>
        </is>
      </c>
      <c r="B276" s="1" t="n">
        <v>45082</v>
      </c>
      <c r="C276" s="1" t="n">
        <v>45938</v>
      </c>
      <c r="D276" t="inlineStr">
        <is>
          <t>ÖSTERGÖTLANDS LÄN</t>
        </is>
      </c>
      <c r="E276" t="inlineStr">
        <is>
          <t>LINKÖPING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39457-2023</t>
        </is>
      </c>
      <c r="B277" s="1" t="n">
        <v>45166</v>
      </c>
      <c r="C277" s="1" t="n">
        <v>45938</v>
      </c>
      <c r="D277" t="inlineStr">
        <is>
          <t>ÖSTERGÖTLANDS LÄN</t>
        </is>
      </c>
      <c r="E277" t="inlineStr">
        <is>
          <t>LINKÖPING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48389-2024</t>
        </is>
      </c>
      <c r="B278" s="1" t="n">
        <v>45590.59991898148</v>
      </c>
      <c r="C278" s="1" t="n">
        <v>45938</v>
      </c>
      <c r="D278" t="inlineStr">
        <is>
          <t>ÖSTERGÖTLANDS LÄN</t>
        </is>
      </c>
      <c r="E278" t="inlineStr">
        <is>
          <t>LINKÖPING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56792-2023</t>
        </is>
      </c>
      <c r="B279" s="1" t="n">
        <v>45244</v>
      </c>
      <c r="C279" s="1" t="n">
        <v>45938</v>
      </c>
      <c r="D279" t="inlineStr">
        <is>
          <t>ÖSTERGÖTLANDS LÄN</t>
        </is>
      </c>
      <c r="E279" t="inlineStr">
        <is>
          <t>LINKÖPING</t>
        </is>
      </c>
      <c r="F279" t="inlineStr">
        <is>
          <t>Övriga Aktiebolag</t>
        </is>
      </c>
      <c r="G279" t="n">
        <v>0.9</v>
      </c>
      <c r="H279" t="n">
        <v>0</v>
      </c>
      <c r="I279" t="n">
        <v>0</v>
      </c>
      <c r="J279" t="n">
        <v>0</v>
      </c>
      <c r="K279" t="n">
        <v>0</v>
      </c>
      <c r="L279" t="n">
        <v>0</v>
      </c>
      <c r="M279" t="n">
        <v>0</v>
      </c>
      <c r="N279" t="n">
        <v>0</v>
      </c>
      <c r="O279" t="n">
        <v>0</v>
      </c>
      <c r="P279" t="n">
        <v>0</v>
      </c>
      <c r="Q279" t="n">
        <v>0</v>
      </c>
      <c r="R279" s="2" t="inlineStr"/>
    </row>
    <row r="280" ht="15" customHeight="1">
      <c r="A280" t="inlineStr">
        <is>
          <t>A 1362-2023</t>
        </is>
      </c>
      <c r="B280" s="1" t="n">
        <v>44931</v>
      </c>
      <c r="C280" s="1" t="n">
        <v>45938</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39017-2021</t>
        </is>
      </c>
      <c r="B281" s="1" t="n">
        <v>44412</v>
      </c>
      <c r="C281" s="1" t="n">
        <v>45938</v>
      </c>
      <c r="D281" t="inlineStr">
        <is>
          <t>ÖSTERGÖTLANDS LÄN</t>
        </is>
      </c>
      <c r="E281" t="inlineStr">
        <is>
          <t>LINKÖPING</t>
        </is>
      </c>
      <c r="F281" t="inlineStr">
        <is>
          <t>Övriga statliga verk och myndigheter</t>
        </is>
      </c>
      <c r="G281" t="n">
        <v>0.8</v>
      </c>
      <c r="H281" t="n">
        <v>0</v>
      </c>
      <c r="I281" t="n">
        <v>0</v>
      </c>
      <c r="J281" t="n">
        <v>0</v>
      </c>
      <c r="K281" t="n">
        <v>0</v>
      </c>
      <c r="L281" t="n">
        <v>0</v>
      </c>
      <c r="M281" t="n">
        <v>0</v>
      </c>
      <c r="N281" t="n">
        <v>0</v>
      </c>
      <c r="O281" t="n">
        <v>0</v>
      </c>
      <c r="P281" t="n">
        <v>0</v>
      </c>
      <c r="Q281" t="n">
        <v>0</v>
      </c>
      <c r="R281" s="2" t="inlineStr"/>
    </row>
    <row r="282" ht="15" customHeight="1">
      <c r="A282" t="inlineStr">
        <is>
          <t>A 3041-2024</t>
        </is>
      </c>
      <c r="B282" s="1" t="n">
        <v>45316.34875</v>
      </c>
      <c r="C282" s="1" t="n">
        <v>45938</v>
      </c>
      <c r="D282" t="inlineStr">
        <is>
          <t>ÖSTERGÖTLANDS LÄN</t>
        </is>
      </c>
      <c r="E282" t="inlineStr">
        <is>
          <t>LINKÖPING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3043-2024</t>
        </is>
      </c>
      <c r="B283" s="1" t="n">
        <v>45316</v>
      </c>
      <c r="C283" s="1" t="n">
        <v>45938</v>
      </c>
      <c r="D283" t="inlineStr">
        <is>
          <t>ÖSTERGÖTLANDS LÄN</t>
        </is>
      </c>
      <c r="E283" t="inlineStr">
        <is>
          <t>LINKÖPING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50963-2021</t>
        </is>
      </c>
      <c r="B284" s="1" t="n">
        <v>44460</v>
      </c>
      <c r="C284" s="1" t="n">
        <v>45938</v>
      </c>
      <c r="D284" t="inlineStr">
        <is>
          <t>ÖSTERGÖTLANDS LÄN</t>
        </is>
      </c>
      <c r="E284" t="inlineStr">
        <is>
          <t>LINKÖPING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49928-2024</t>
        </is>
      </c>
      <c r="B285" s="1" t="n">
        <v>45597.57811342592</v>
      </c>
      <c r="C285" s="1" t="n">
        <v>45938</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61307-2021</t>
        </is>
      </c>
      <c r="B286" s="1" t="n">
        <v>44498.63928240741</v>
      </c>
      <c r="C286" s="1" t="n">
        <v>45938</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61325-2021</t>
        </is>
      </c>
      <c r="B287" s="1" t="n">
        <v>44498.66814814815</v>
      </c>
      <c r="C287" s="1" t="n">
        <v>45938</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3627-2023</t>
        </is>
      </c>
      <c r="B288" s="1" t="n">
        <v>44950.64782407408</v>
      </c>
      <c r="C288" s="1" t="n">
        <v>45938</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63665-2023</t>
        </is>
      </c>
      <c r="B289" s="1" t="n">
        <v>45275</v>
      </c>
      <c r="C289" s="1" t="n">
        <v>45938</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1260-2023</t>
        </is>
      </c>
      <c r="B290" s="1" t="n">
        <v>44936</v>
      </c>
      <c r="C290" s="1" t="n">
        <v>45938</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51405-2023</t>
        </is>
      </c>
      <c r="B291" s="1" t="n">
        <v>45219</v>
      </c>
      <c r="C291" s="1" t="n">
        <v>45938</v>
      </c>
      <c r="D291" t="inlineStr">
        <is>
          <t>ÖSTERGÖTLANDS LÄN</t>
        </is>
      </c>
      <c r="E291" t="inlineStr">
        <is>
          <t>LINKÖPING</t>
        </is>
      </c>
      <c r="F291" t="inlineStr">
        <is>
          <t>Övriga Aktiebolag</t>
        </is>
      </c>
      <c r="G291" t="n">
        <v>3</v>
      </c>
      <c r="H291" t="n">
        <v>0</v>
      </c>
      <c r="I291" t="n">
        <v>0</v>
      </c>
      <c r="J291" t="n">
        <v>0</v>
      </c>
      <c r="K291" t="n">
        <v>0</v>
      </c>
      <c r="L291" t="n">
        <v>0</v>
      </c>
      <c r="M291" t="n">
        <v>0</v>
      </c>
      <c r="N291" t="n">
        <v>0</v>
      </c>
      <c r="O291" t="n">
        <v>0</v>
      </c>
      <c r="P291" t="n">
        <v>0</v>
      </c>
      <c r="Q291" t="n">
        <v>0</v>
      </c>
      <c r="R291" s="2" t="inlineStr"/>
    </row>
    <row r="292" ht="15" customHeight="1">
      <c r="A292" t="inlineStr">
        <is>
          <t>A 11601-2023</t>
        </is>
      </c>
      <c r="B292" s="1" t="n">
        <v>44994</v>
      </c>
      <c r="C292" s="1" t="n">
        <v>45938</v>
      </c>
      <c r="D292" t="inlineStr">
        <is>
          <t>ÖSTERGÖTLANDS LÄN</t>
        </is>
      </c>
      <c r="E292" t="inlineStr">
        <is>
          <t>LINKÖPING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33867-2023</t>
        </is>
      </c>
      <c r="B293" s="1" t="n">
        <v>45133.94640046296</v>
      </c>
      <c r="C293" s="1" t="n">
        <v>45938</v>
      </c>
      <c r="D293" t="inlineStr">
        <is>
          <t>ÖSTERGÖTLANDS LÄN</t>
        </is>
      </c>
      <c r="E293" t="inlineStr">
        <is>
          <t>LINKÖPING</t>
        </is>
      </c>
      <c r="G293" t="n">
        <v>2.3</v>
      </c>
      <c r="H293" t="n">
        <v>0</v>
      </c>
      <c r="I293" t="n">
        <v>0</v>
      </c>
      <c r="J293" t="n">
        <v>0</v>
      </c>
      <c r="K293" t="n">
        <v>0</v>
      </c>
      <c r="L293" t="n">
        <v>0</v>
      </c>
      <c r="M293" t="n">
        <v>0</v>
      </c>
      <c r="N293" t="n">
        <v>0</v>
      </c>
      <c r="O293" t="n">
        <v>0</v>
      </c>
      <c r="P293" t="n">
        <v>0</v>
      </c>
      <c r="Q293" t="n">
        <v>0</v>
      </c>
      <c r="R293" s="2" t="inlineStr"/>
    </row>
    <row r="294" ht="15" customHeight="1">
      <c r="A294" t="inlineStr">
        <is>
          <t>A 40338-2024</t>
        </is>
      </c>
      <c r="B294" s="1" t="n">
        <v>45555.32940972222</v>
      </c>
      <c r="C294" s="1" t="n">
        <v>45938</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1355-2023</t>
        </is>
      </c>
      <c r="B295" s="1" t="n">
        <v>44931</v>
      </c>
      <c r="C295" s="1" t="n">
        <v>45938</v>
      </c>
      <c r="D295" t="inlineStr">
        <is>
          <t>ÖSTERGÖTLANDS LÄN</t>
        </is>
      </c>
      <c r="E295" t="inlineStr">
        <is>
          <t>LINKÖPING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167-2024</t>
        </is>
      </c>
      <c r="B296" s="1" t="n">
        <v>45294</v>
      </c>
      <c r="C296" s="1" t="n">
        <v>45938</v>
      </c>
      <c r="D296" t="inlineStr">
        <is>
          <t>ÖSTERGÖTLANDS LÄN</t>
        </is>
      </c>
      <c r="E296" t="inlineStr">
        <is>
          <t>LINKÖPING</t>
        </is>
      </c>
      <c r="F296" t="inlineStr">
        <is>
          <t>Allmännings- och besparingsskogar</t>
        </is>
      </c>
      <c r="G296" t="n">
        <v>11.6</v>
      </c>
      <c r="H296" t="n">
        <v>0</v>
      </c>
      <c r="I296" t="n">
        <v>0</v>
      </c>
      <c r="J296" t="n">
        <v>0</v>
      </c>
      <c r="K296" t="n">
        <v>0</v>
      </c>
      <c r="L296" t="n">
        <v>0</v>
      </c>
      <c r="M296" t="n">
        <v>0</v>
      </c>
      <c r="N296" t="n">
        <v>0</v>
      </c>
      <c r="O296" t="n">
        <v>0</v>
      </c>
      <c r="P296" t="n">
        <v>0</v>
      </c>
      <c r="Q296" t="n">
        <v>0</v>
      </c>
      <c r="R296" s="2" t="inlineStr"/>
    </row>
    <row r="297" ht="15" customHeight="1">
      <c r="A297" t="inlineStr">
        <is>
          <t>A 3007-2025</t>
        </is>
      </c>
      <c r="B297" s="1" t="n">
        <v>45678.56328703704</v>
      </c>
      <c r="C297" s="1" t="n">
        <v>45938</v>
      </c>
      <c r="D297" t="inlineStr">
        <is>
          <t>ÖSTERGÖTLANDS LÄN</t>
        </is>
      </c>
      <c r="E297" t="inlineStr">
        <is>
          <t>LINKÖPING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10492-2022</t>
        </is>
      </c>
      <c r="B298" s="1" t="n">
        <v>44623.6377199074</v>
      </c>
      <c r="C298" s="1" t="n">
        <v>45938</v>
      </c>
      <c r="D298" t="inlineStr">
        <is>
          <t>ÖSTERGÖTLANDS LÄN</t>
        </is>
      </c>
      <c r="E298" t="inlineStr">
        <is>
          <t>LINKÖPING</t>
        </is>
      </c>
      <c r="G298" t="n">
        <v>2.1</v>
      </c>
      <c r="H298" t="n">
        <v>0</v>
      </c>
      <c r="I298" t="n">
        <v>0</v>
      </c>
      <c r="J298" t="n">
        <v>0</v>
      </c>
      <c r="K298" t="n">
        <v>0</v>
      </c>
      <c r="L298" t="n">
        <v>0</v>
      </c>
      <c r="M298" t="n">
        <v>0</v>
      </c>
      <c r="N298" t="n">
        <v>0</v>
      </c>
      <c r="O298" t="n">
        <v>0</v>
      </c>
      <c r="P298" t="n">
        <v>0</v>
      </c>
      <c r="Q298" t="n">
        <v>0</v>
      </c>
      <c r="R298" s="2" t="inlineStr"/>
    </row>
    <row r="299" ht="15" customHeight="1">
      <c r="A299" t="inlineStr">
        <is>
          <t>A 27186-2021</t>
        </is>
      </c>
      <c r="B299" s="1" t="n">
        <v>44350.67715277777</v>
      </c>
      <c r="C299" s="1" t="n">
        <v>45938</v>
      </c>
      <c r="D299" t="inlineStr">
        <is>
          <t>ÖSTERGÖTLANDS LÄN</t>
        </is>
      </c>
      <c r="E299" t="inlineStr">
        <is>
          <t>LINKÖPING</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30985-2022</t>
        </is>
      </c>
      <c r="B300" s="1" t="n">
        <v>44768</v>
      </c>
      <c r="C300" s="1" t="n">
        <v>45938</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38317-2024</t>
        </is>
      </c>
      <c r="B301" s="1" t="n">
        <v>45545.65766203704</v>
      </c>
      <c r="C301" s="1" t="n">
        <v>45938</v>
      </c>
      <c r="D301" t="inlineStr">
        <is>
          <t>ÖSTERGÖTLANDS LÄN</t>
        </is>
      </c>
      <c r="E301" t="inlineStr">
        <is>
          <t>LINKÖPING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7343-2025</t>
        </is>
      </c>
      <c r="B302" s="1" t="n">
        <v>45703.67853009259</v>
      </c>
      <c r="C302" s="1" t="n">
        <v>45938</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30465-2023</t>
        </is>
      </c>
      <c r="B303" s="1" t="n">
        <v>45111</v>
      </c>
      <c r="C303" s="1" t="n">
        <v>45938</v>
      </c>
      <c r="D303" t="inlineStr">
        <is>
          <t>ÖSTERGÖTLANDS LÄN</t>
        </is>
      </c>
      <c r="E303" t="inlineStr">
        <is>
          <t>LINKÖPING</t>
        </is>
      </c>
      <c r="F303" t="inlineStr">
        <is>
          <t>Övriga Aktiebolag</t>
        </is>
      </c>
      <c r="G303" t="n">
        <v>0.7</v>
      </c>
      <c r="H303" t="n">
        <v>0</v>
      </c>
      <c r="I303" t="n">
        <v>0</v>
      </c>
      <c r="J303" t="n">
        <v>0</v>
      </c>
      <c r="K303" t="n">
        <v>0</v>
      </c>
      <c r="L303" t="n">
        <v>0</v>
      </c>
      <c r="M303" t="n">
        <v>0</v>
      </c>
      <c r="N303" t="n">
        <v>0</v>
      </c>
      <c r="O303" t="n">
        <v>0</v>
      </c>
      <c r="P303" t="n">
        <v>0</v>
      </c>
      <c r="Q303" t="n">
        <v>0</v>
      </c>
      <c r="R303" s="2" t="inlineStr"/>
    </row>
    <row r="304" ht="15" customHeight="1">
      <c r="A304" t="inlineStr">
        <is>
          <t>A 39021-2021</t>
        </is>
      </c>
      <c r="B304" s="1" t="n">
        <v>44412</v>
      </c>
      <c r="C304" s="1" t="n">
        <v>45938</v>
      </c>
      <c r="D304" t="inlineStr">
        <is>
          <t>ÖSTERGÖTLANDS LÄN</t>
        </is>
      </c>
      <c r="E304" t="inlineStr">
        <is>
          <t>LINKÖPING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62353-2022</t>
        </is>
      </c>
      <c r="B305" s="1" t="n">
        <v>44923</v>
      </c>
      <c r="C305" s="1" t="n">
        <v>45938</v>
      </c>
      <c r="D305" t="inlineStr">
        <is>
          <t>ÖSTERGÖTLANDS LÄN</t>
        </is>
      </c>
      <c r="E305" t="inlineStr">
        <is>
          <t>LINKÖPING</t>
        </is>
      </c>
      <c r="F305" t="inlineStr">
        <is>
          <t>Allmännings- och besparingsskogar</t>
        </is>
      </c>
      <c r="G305" t="n">
        <v>1.7</v>
      </c>
      <c r="H305" t="n">
        <v>0</v>
      </c>
      <c r="I305" t="n">
        <v>0</v>
      </c>
      <c r="J305" t="n">
        <v>0</v>
      </c>
      <c r="K305" t="n">
        <v>0</v>
      </c>
      <c r="L305" t="n">
        <v>0</v>
      </c>
      <c r="M305" t="n">
        <v>0</v>
      </c>
      <c r="N305" t="n">
        <v>0</v>
      </c>
      <c r="O305" t="n">
        <v>0</v>
      </c>
      <c r="P305" t="n">
        <v>0</v>
      </c>
      <c r="Q305" t="n">
        <v>0</v>
      </c>
      <c r="R305" s="2" t="inlineStr"/>
    </row>
    <row r="306" ht="15" customHeight="1">
      <c r="A306" t="inlineStr">
        <is>
          <t>A 48271-2023</t>
        </is>
      </c>
      <c r="B306" s="1" t="n">
        <v>45205</v>
      </c>
      <c r="C306" s="1" t="n">
        <v>45938</v>
      </c>
      <c r="D306" t="inlineStr">
        <is>
          <t>ÖSTERGÖTLANDS LÄN</t>
        </is>
      </c>
      <c r="E306" t="inlineStr">
        <is>
          <t>LINKÖPING</t>
        </is>
      </c>
      <c r="G306" t="n">
        <v>3</v>
      </c>
      <c r="H306" t="n">
        <v>0</v>
      </c>
      <c r="I306" t="n">
        <v>0</v>
      </c>
      <c r="J306" t="n">
        <v>0</v>
      </c>
      <c r="K306" t="n">
        <v>0</v>
      </c>
      <c r="L306" t="n">
        <v>0</v>
      </c>
      <c r="M306" t="n">
        <v>0</v>
      </c>
      <c r="N306" t="n">
        <v>0</v>
      </c>
      <c r="O306" t="n">
        <v>0</v>
      </c>
      <c r="P306" t="n">
        <v>0</v>
      </c>
      <c r="Q306" t="n">
        <v>0</v>
      </c>
      <c r="R306" s="2" t="inlineStr"/>
    </row>
    <row r="307" ht="15" customHeight="1">
      <c r="A307" t="inlineStr">
        <is>
          <t>A 30111-2024</t>
        </is>
      </c>
      <c r="B307" s="1" t="n">
        <v>45489.46947916667</v>
      </c>
      <c r="C307" s="1" t="n">
        <v>45938</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30119-2024</t>
        </is>
      </c>
      <c r="B308" s="1" t="n">
        <v>45489</v>
      </c>
      <c r="C308" s="1" t="n">
        <v>45938</v>
      </c>
      <c r="D308" t="inlineStr">
        <is>
          <t>ÖSTERGÖTLANDS LÄN</t>
        </is>
      </c>
      <c r="E308" t="inlineStr">
        <is>
          <t>LINKÖPING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29411-2023</t>
        </is>
      </c>
      <c r="B309" s="1" t="n">
        <v>45106.46225694445</v>
      </c>
      <c r="C309" s="1" t="n">
        <v>45938</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29412-2023</t>
        </is>
      </c>
      <c r="B310" s="1" t="n">
        <v>45106.46359953703</v>
      </c>
      <c r="C310" s="1" t="n">
        <v>45938</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31792-2021</t>
        </is>
      </c>
      <c r="B311" s="1" t="n">
        <v>44369</v>
      </c>
      <c r="C311" s="1" t="n">
        <v>45938</v>
      </c>
      <c r="D311" t="inlineStr">
        <is>
          <t>ÖSTERGÖTLANDS LÄN</t>
        </is>
      </c>
      <c r="E311" t="inlineStr">
        <is>
          <t>LINKÖPING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12720-2022</t>
        </is>
      </c>
      <c r="B312" s="1" t="n">
        <v>44641</v>
      </c>
      <c r="C312" s="1" t="n">
        <v>45938</v>
      </c>
      <c r="D312" t="inlineStr">
        <is>
          <t>ÖSTERGÖTLANDS LÄN</t>
        </is>
      </c>
      <c r="E312" t="inlineStr">
        <is>
          <t>LINKÖPING</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421-2024</t>
        </is>
      </c>
      <c r="B313" s="1" t="n">
        <v>45296.51877314815</v>
      </c>
      <c r="C313" s="1" t="n">
        <v>45938</v>
      </c>
      <c r="D313" t="inlineStr">
        <is>
          <t>ÖSTERGÖTLANDS LÄN</t>
        </is>
      </c>
      <c r="E313" t="inlineStr">
        <is>
          <t>LINKÖPING</t>
        </is>
      </c>
      <c r="G313" t="n">
        <v>3.7</v>
      </c>
      <c r="H313" t="n">
        <v>0</v>
      </c>
      <c r="I313" t="n">
        <v>0</v>
      </c>
      <c r="J313" t="n">
        <v>0</v>
      </c>
      <c r="K313" t="n">
        <v>0</v>
      </c>
      <c r="L313" t="n">
        <v>0</v>
      </c>
      <c r="M313" t="n">
        <v>0</v>
      </c>
      <c r="N313" t="n">
        <v>0</v>
      </c>
      <c r="O313" t="n">
        <v>0</v>
      </c>
      <c r="P313" t="n">
        <v>0</v>
      </c>
      <c r="Q313" t="n">
        <v>0</v>
      </c>
      <c r="R313" s="2" t="inlineStr"/>
    </row>
    <row r="314" ht="15" customHeight="1">
      <c r="A314" t="inlineStr">
        <is>
          <t>A 62018-2024</t>
        </is>
      </c>
      <c r="B314" s="1" t="n">
        <v>45655.81387731482</v>
      </c>
      <c r="C314" s="1" t="n">
        <v>45938</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58947-2022</t>
        </is>
      </c>
      <c r="B315" s="1" t="n">
        <v>44903.64769675926</v>
      </c>
      <c r="C315" s="1" t="n">
        <v>45938</v>
      </c>
      <c r="D315" t="inlineStr">
        <is>
          <t>ÖSTERGÖTLANDS LÄN</t>
        </is>
      </c>
      <c r="E315" t="inlineStr">
        <is>
          <t>LINKÖPING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22043-2023</t>
        </is>
      </c>
      <c r="B316" s="1" t="n">
        <v>45069.39050925926</v>
      </c>
      <c r="C316" s="1" t="n">
        <v>45938</v>
      </c>
      <c r="D316" t="inlineStr">
        <is>
          <t>ÖSTERGÖTLANDS LÄN</t>
        </is>
      </c>
      <c r="E316" t="inlineStr">
        <is>
          <t>LINKÖPING</t>
        </is>
      </c>
      <c r="G316" t="n">
        <v>5.9</v>
      </c>
      <c r="H316" t="n">
        <v>0</v>
      </c>
      <c r="I316" t="n">
        <v>0</v>
      </c>
      <c r="J316" t="n">
        <v>0</v>
      </c>
      <c r="K316" t="n">
        <v>0</v>
      </c>
      <c r="L316" t="n">
        <v>0</v>
      </c>
      <c r="M316" t="n">
        <v>0</v>
      </c>
      <c r="N316" t="n">
        <v>0</v>
      </c>
      <c r="O316" t="n">
        <v>0</v>
      </c>
      <c r="P316" t="n">
        <v>0</v>
      </c>
      <c r="Q316" t="n">
        <v>0</v>
      </c>
      <c r="R316" s="2" t="inlineStr"/>
    </row>
    <row r="317" ht="15" customHeight="1">
      <c r="A317" t="inlineStr">
        <is>
          <t>A 16665-2023</t>
        </is>
      </c>
      <c r="B317" s="1" t="n">
        <v>45030.5583912037</v>
      </c>
      <c r="C317" s="1" t="n">
        <v>45938</v>
      </c>
      <c r="D317" t="inlineStr">
        <is>
          <t>ÖSTERGÖTLANDS LÄN</t>
        </is>
      </c>
      <c r="E317" t="inlineStr">
        <is>
          <t>LINKÖPING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61532-2021</t>
        </is>
      </c>
      <c r="B318" s="1" t="n">
        <v>44501</v>
      </c>
      <c r="C318" s="1" t="n">
        <v>45938</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14028-2024</t>
        </is>
      </c>
      <c r="B319" s="1" t="n">
        <v>45392</v>
      </c>
      <c r="C319" s="1" t="n">
        <v>45938</v>
      </c>
      <c r="D319" t="inlineStr">
        <is>
          <t>ÖSTERGÖTLANDS LÄN</t>
        </is>
      </c>
      <c r="E319" t="inlineStr">
        <is>
          <t>LINKÖPING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40431-2024</t>
        </is>
      </c>
      <c r="B320" s="1" t="n">
        <v>45555.47070601852</v>
      </c>
      <c r="C320" s="1" t="n">
        <v>45938</v>
      </c>
      <c r="D320" t="inlineStr">
        <is>
          <t>ÖSTERGÖTLANDS LÄN</t>
        </is>
      </c>
      <c r="E320" t="inlineStr">
        <is>
          <t>LINKÖPING</t>
        </is>
      </c>
      <c r="F320" t="inlineStr">
        <is>
          <t>Allmännings- och besparingsskogar</t>
        </is>
      </c>
      <c r="G320" t="n">
        <v>2.9</v>
      </c>
      <c r="H320" t="n">
        <v>0</v>
      </c>
      <c r="I320" t="n">
        <v>0</v>
      </c>
      <c r="J320" t="n">
        <v>0</v>
      </c>
      <c r="K320" t="n">
        <v>0</v>
      </c>
      <c r="L320" t="n">
        <v>0</v>
      </c>
      <c r="M320" t="n">
        <v>0</v>
      </c>
      <c r="N320" t="n">
        <v>0</v>
      </c>
      <c r="O320" t="n">
        <v>0</v>
      </c>
      <c r="P320" t="n">
        <v>0</v>
      </c>
      <c r="Q320" t="n">
        <v>0</v>
      </c>
      <c r="R320" s="2" t="inlineStr"/>
    </row>
    <row r="321" ht="15" customHeight="1">
      <c r="A321" t="inlineStr">
        <is>
          <t>A 59948-2022</t>
        </is>
      </c>
      <c r="B321" s="1" t="n">
        <v>44909</v>
      </c>
      <c r="C321" s="1" t="n">
        <v>45938</v>
      </c>
      <c r="D321" t="inlineStr">
        <is>
          <t>ÖSTERGÖTLANDS LÄN</t>
        </is>
      </c>
      <c r="E321" t="inlineStr">
        <is>
          <t>LINKÖPING</t>
        </is>
      </c>
      <c r="G321" t="n">
        <v>6.7</v>
      </c>
      <c r="H321" t="n">
        <v>0</v>
      </c>
      <c r="I321" t="n">
        <v>0</v>
      </c>
      <c r="J321" t="n">
        <v>0</v>
      </c>
      <c r="K321" t="n">
        <v>0</v>
      </c>
      <c r="L321" t="n">
        <v>0</v>
      </c>
      <c r="M321" t="n">
        <v>0</v>
      </c>
      <c r="N321" t="n">
        <v>0</v>
      </c>
      <c r="O321" t="n">
        <v>0</v>
      </c>
      <c r="P321" t="n">
        <v>0</v>
      </c>
      <c r="Q321" t="n">
        <v>0</v>
      </c>
      <c r="R321" s="2" t="inlineStr"/>
    </row>
    <row r="322" ht="15" customHeight="1">
      <c r="A322" t="inlineStr">
        <is>
          <t>A 60001-2022</t>
        </is>
      </c>
      <c r="B322" s="1" t="n">
        <v>44909.47087962963</v>
      </c>
      <c r="C322" s="1" t="n">
        <v>45938</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60013-2022</t>
        </is>
      </c>
      <c r="B323" s="1" t="n">
        <v>44909.47482638889</v>
      </c>
      <c r="C323" s="1" t="n">
        <v>45938</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60860-2024</t>
        </is>
      </c>
      <c r="B324" s="1" t="n">
        <v>45644.6893287037</v>
      </c>
      <c r="C324" s="1" t="n">
        <v>45938</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1211-2023</t>
        </is>
      </c>
      <c r="B325" s="1" t="n">
        <v>44930</v>
      </c>
      <c r="C325" s="1" t="n">
        <v>45938</v>
      </c>
      <c r="D325" t="inlineStr">
        <is>
          <t>ÖSTERGÖTLANDS LÄN</t>
        </is>
      </c>
      <c r="E325" t="inlineStr">
        <is>
          <t>LINKÖPING</t>
        </is>
      </c>
      <c r="F325" t="inlineStr">
        <is>
          <t>Övriga statliga verk och myndigheter</t>
        </is>
      </c>
      <c r="G325" t="n">
        <v>7.9</v>
      </c>
      <c r="H325" t="n">
        <v>0</v>
      </c>
      <c r="I325" t="n">
        <v>0</v>
      </c>
      <c r="J325" t="n">
        <v>0</v>
      </c>
      <c r="K325" t="n">
        <v>0</v>
      </c>
      <c r="L325" t="n">
        <v>0</v>
      </c>
      <c r="M325" t="n">
        <v>0</v>
      </c>
      <c r="N325" t="n">
        <v>0</v>
      </c>
      <c r="O325" t="n">
        <v>0</v>
      </c>
      <c r="P325" t="n">
        <v>0</v>
      </c>
      <c r="Q325" t="n">
        <v>0</v>
      </c>
      <c r="R325" s="2" t="inlineStr"/>
    </row>
    <row r="326" ht="15" customHeight="1">
      <c r="A326" t="inlineStr">
        <is>
          <t>A 2697-2023</t>
        </is>
      </c>
      <c r="B326" s="1" t="n">
        <v>44944</v>
      </c>
      <c r="C326" s="1" t="n">
        <v>45938</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38136-2023</t>
        </is>
      </c>
      <c r="B327" s="1" t="n">
        <v>45161.37310185185</v>
      </c>
      <c r="C327" s="1" t="n">
        <v>45938</v>
      </c>
      <c r="D327" t="inlineStr">
        <is>
          <t>ÖSTERGÖTLANDS LÄN</t>
        </is>
      </c>
      <c r="E327" t="inlineStr">
        <is>
          <t>LINKÖPING</t>
        </is>
      </c>
      <c r="G327" t="n">
        <v>5.6</v>
      </c>
      <c r="H327" t="n">
        <v>0</v>
      </c>
      <c r="I327" t="n">
        <v>0</v>
      </c>
      <c r="J327" t="n">
        <v>0</v>
      </c>
      <c r="K327" t="n">
        <v>0</v>
      </c>
      <c r="L327" t="n">
        <v>0</v>
      </c>
      <c r="M327" t="n">
        <v>0</v>
      </c>
      <c r="N327" t="n">
        <v>0</v>
      </c>
      <c r="O327" t="n">
        <v>0</v>
      </c>
      <c r="P327" t="n">
        <v>0</v>
      </c>
      <c r="Q327" t="n">
        <v>0</v>
      </c>
      <c r="R327" s="2" t="inlineStr"/>
    </row>
    <row r="328" ht="15" customHeight="1">
      <c r="A328" t="inlineStr">
        <is>
          <t>A 45806-2024</t>
        </is>
      </c>
      <c r="B328" s="1" t="n">
        <v>45579.69619212963</v>
      </c>
      <c r="C328" s="1" t="n">
        <v>45938</v>
      </c>
      <c r="D328" t="inlineStr">
        <is>
          <t>ÖSTERGÖTLANDS LÄN</t>
        </is>
      </c>
      <c r="E328" t="inlineStr">
        <is>
          <t>LINKÖPING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56756-2023</t>
        </is>
      </c>
      <c r="B329" s="1" t="n">
        <v>45244</v>
      </c>
      <c r="C329" s="1" t="n">
        <v>45938</v>
      </c>
      <c r="D329" t="inlineStr">
        <is>
          <t>ÖSTERGÖTLANDS LÄN</t>
        </is>
      </c>
      <c r="E329" t="inlineStr">
        <is>
          <t>LINKÖPING</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46847-2025</t>
        </is>
      </c>
      <c r="B330" s="1" t="n">
        <v>45928.69971064815</v>
      </c>
      <c r="C330" s="1" t="n">
        <v>45938</v>
      </c>
      <c r="D330" t="inlineStr">
        <is>
          <t>ÖSTERGÖTLANDS LÄN</t>
        </is>
      </c>
      <c r="E330" t="inlineStr">
        <is>
          <t>LINKÖPING</t>
        </is>
      </c>
      <c r="G330" t="n">
        <v>4.6</v>
      </c>
      <c r="H330" t="n">
        <v>0</v>
      </c>
      <c r="I330" t="n">
        <v>0</v>
      </c>
      <c r="J330" t="n">
        <v>0</v>
      </c>
      <c r="K330" t="n">
        <v>0</v>
      </c>
      <c r="L330" t="n">
        <v>0</v>
      </c>
      <c r="M330" t="n">
        <v>0</v>
      </c>
      <c r="N330" t="n">
        <v>0</v>
      </c>
      <c r="O330" t="n">
        <v>0</v>
      </c>
      <c r="P330" t="n">
        <v>0</v>
      </c>
      <c r="Q330" t="n">
        <v>0</v>
      </c>
      <c r="R330" s="2" t="inlineStr"/>
    </row>
    <row r="331" ht="15" customHeight="1">
      <c r="A331" t="inlineStr">
        <is>
          <t>A 3008-2023</t>
        </is>
      </c>
      <c r="B331" s="1" t="n">
        <v>44945.79784722222</v>
      </c>
      <c r="C331" s="1" t="n">
        <v>45938</v>
      </c>
      <c r="D331" t="inlineStr">
        <is>
          <t>ÖSTERGÖTLANDS LÄN</t>
        </is>
      </c>
      <c r="E331" t="inlineStr">
        <is>
          <t>LINKÖPING</t>
        </is>
      </c>
      <c r="G331" t="n">
        <v>19.3</v>
      </c>
      <c r="H331" t="n">
        <v>0</v>
      </c>
      <c r="I331" t="n">
        <v>0</v>
      </c>
      <c r="J331" t="n">
        <v>0</v>
      </c>
      <c r="K331" t="n">
        <v>0</v>
      </c>
      <c r="L331" t="n">
        <v>0</v>
      </c>
      <c r="M331" t="n">
        <v>0</v>
      </c>
      <c r="N331" t="n">
        <v>0</v>
      </c>
      <c r="O331" t="n">
        <v>0</v>
      </c>
      <c r="P331" t="n">
        <v>0</v>
      </c>
      <c r="Q331" t="n">
        <v>0</v>
      </c>
      <c r="R331" s="2" t="inlineStr"/>
    </row>
    <row r="332" ht="15" customHeight="1">
      <c r="A332" t="inlineStr">
        <is>
          <t>A 30551-2023</t>
        </is>
      </c>
      <c r="B332" s="1" t="n">
        <v>45111</v>
      </c>
      <c r="C332" s="1" t="n">
        <v>45938</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30860-2022</t>
        </is>
      </c>
      <c r="B333" s="1" t="n">
        <v>44767</v>
      </c>
      <c r="C333" s="1" t="n">
        <v>45938</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60004-2022</t>
        </is>
      </c>
      <c r="B334" s="1" t="n">
        <v>44909.47206018519</v>
      </c>
      <c r="C334" s="1" t="n">
        <v>45938</v>
      </c>
      <c r="D334" t="inlineStr">
        <is>
          <t>ÖSTERGÖTLANDS LÄN</t>
        </is>
      </c>
      <c r="E334" t="inlineStr">
        <is>
          <t>LINKÖPING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60010-2022</t>
        </is>
      </c>
      <c r="B335" s="1" t="n">
        <v>44909.4740625</v>
      </c>
      <c r="C335" s="1" t="n">
        <v>45938</v>
      </c>
      <c r="D335" t="inlineStr">
        <is>
          <t>ÖSTERGÖTLANDS LÄN</t>
        </is>
      </c>
      <c r="E335" t="inlineStr">
        <is>
          <t>LINKÖPING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53827-2023</t>
        </is>
      </c>
      <c r="B336" s="1" t="n">
        <v>45230</v>
      </c>
      <c r="C336" s="1" t="n">
        <v>45938</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60985-2023</t>
        </is>
      </c>
      <c r="B337" s="1" t="n">
        <v>45261.48429398148</v>
      </c>
      <c r="C337" s="1" t="n">
        <v>45938</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12317-2025</t>
        </is>
      </c>
      <c r="B338" s="1" t="n">
        <v>45729.8487037037</v>
      </c>
      <c r="C338" s="1" t="n">
        <v>45938</v>
      </c>
      <c r="D338" t="inlineStr">
        <is>
          <t>ÖSTERGÖTLANDS LÄN</t>
        </is>
      </c>
      <c r="E338" t="inlineStr">
        <is>
          <t>LINKÖPING</t>
        </is>
      </c>
      <c r="G338" t="n">
        <v>8</v>
      </c>
      <c r="H338" t="n">
        <v>0</v>
      </c>
      <c r="I338" t="n">
        <v>0</v>
      </c>
      <c r="J338" t="n">
        <v>0</v>
      </c>
      <c r="K338" t="n">
        <v>0</v>
      </c>
      <c r="L338" t="n">
        <v>0</v>
      </c>
      <c r="M338" t="n">
        <v>0</v>
      </c>
      <c r="N338" t="n">
        <v>0</v>
      </c>
      <c r="O338" t="n">
        <v>0</v>
      </c>
      <c r="P338" t="n">
        <v>0</v>
      </c>
      <c r="Q338" t="n">
        <v>0</v>
      </c>
      <c r="R338" s="2" t="inlineStr"/>
    </row>
    <row r="339" ht="15" customHeight="1">
      <c r="A339" t="inlineStr">
        <is>
          <t>A 4256-2022</t>
        </is>
      </c>
      <c r="B339" s="1" t="n">
        <v>44588</v>
      </c>
      <c r="C339" s="1" t="n">
        <v>45938</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61649-2023</t>
        </is>
      </c>
      <c r="B340" s="1" t="n">
        <v>45265</v>
      </c>
      <c r="C340" s="1" t="n">
        <v>45938</v>
      </c>
      <c r="D340" t="inlineStr">
        <is>
          <t>ÖSTERGÖTLANDS LÄN</t>
        </is>
      </c>
      <c r="E340" t="inlineStr">
        <is>
          <t>LINKÖPING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24904-2024</t>
        </is>
      </c>
      <c r="B341" s="1" t="n">
        <v>45461</v>
      </c>
      <c r="C341" s="1" t="n">
        <v>45938</v>
      </c>
      <c r="D341" t="inlineStr">
        <is>
          <t>ÖSTERGÖTLANDS LÄN</t>
        </is>
      </c>
      <c r="E341" t="inlineStr">
        <is>
          <t>LINKÖPING</t>
        </is>
      </c>
      <c r="G341" t="n">
        <v>3.8</v>
      </c>
      <c r="H341" t="n">
        <v>0</v>
      </c>
      <c r="I341" t="n">
        <v>0</v>
      </c>
      <c r="J341" t="n">
        <v>0</v>
      </c>
      <c r="K341" t="n">
        <v>0</v>
      </c>
      <c r="L341" t="n">
        <v>0</v>
      </c>
      <c r="M341" t="n">
        <v>0</v>
      </c>
      <c r="N341" t="n">
        <v>0</v>
      </c>
      <c r="O341" t="n">
        <v>0</v>
      </c>
      <c r="P341" t="n">
        <v>0</v>
      </c>
      <c r="Q341" t="n">
        <v>0</v>
      </c>
      <c r="R341" s="2" t="inlineStr"/>
    </row>
    <row r="342" ht="15" customHeight="1">
      <c r="A342" t="inlineStr">
        <is>
          <t>A 36557-2023</t>
        </is>
      </c>
      <c r="B342" s="1" t="n">
        <v>45153</v>
      </c>
      <c r="C342" s="1" t="n">
        <v>45938</v>
      </c>
      <c r="D342" t="inlineStr">
        <is>
          <t>ÖSTERGÖTLANDS LÄN</t>
        </is>
      </c>
      <c r="E342" t="inlineStr">
        <is>
          <t>LINKÖPING</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55009-2023</t>
        </is>
      </c>
      <c r="B343" s="1" t="n">
        <v>45237</v>
      </c>
      <c r="C343" s="1" t="n">
        <v>45938</v>
      </c>
      <c r="D343" t="inlineStr">
        <is>
          <t>ÖSTERGÖTLANDS LÄN</t>
        </is>
      </c>
      <c r="E343" t="inlineStr">
        <is>
          <t>LINKÖPING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34872-2023</t>
        </is>
      </c>
      <c r="B344" s="1" t="n">
        <v>45140</v>
      </c>
      <c r="C344" s="1" t="n">
        <v>45938</v>
      </c>
      <c r="D344" t="inlineStr">
        <is>
          <t>ÖSTERGÖTLANDS LÄN</t>
        </is>
      </c>
      <c r="E344" t="inlineStr">
        <is>
          <t>LINKÖPING</t>
        </is>
      </c>
      <c r="G344" t="n">
        <v>4.8</v>
      </c>
      <c r="H344" t="n">
        <v>0</v>
      </c>
      <c r="I344" t="n">
        <v>0</v>
      </c>
      <c r="J344" t="n">
        <v>0</v>
      </c>
      <c r="K344" t="n">
        <v>0</v>
      </c>
      <c r="L344" t="n">
        <v>0</v>
      </c>
      <c r="M344" t="n">
        <v>0</v>
      </c>
      <c r="N344" t="n">
        <v>0</v>
      </c>
      <c r="O344" t="n">
        <v>0</v>
      </c>
      <c r="P344" t="n">
        <v>0</v>
      </c>
      <c r="Q344" t="n">
        <v>0</v>
      </c>
      <c r="R344" s="2" t="inlineStr"/>
    </row>
    <row r="345" ht="15" customHeight="1">
      <c r="A345" t="inlineStr">
        <is>
          <t>A 2085-2024</t>
        </is>
      </c>
      <c r="B345" s="1" t="n">
        <v>45309</v>
      </c>
      <c r="C345" s="1" t="n">
        <v>45938</v>
      </c>
      <c r="D345" t="inlineStr">
        <is>
          <t>ÖSTERGÖTLANDS LÄN</t>
        </is>
      </c>
      <c r="E345" t="inlineStr">
        <is>
          <t>LINKÖPING</t>
        </is>
      </c>
      <c r="G345" t="n">
        <v>4.5</v>
      </c>
      <c r="H345" t="n">
        <v>0</v>
      </c>
      <c r="I345" t="n">
        <v>0</v>
      </c>
      <c r="J345" t="n">
        <v>0</v>
      </c>
      <c r="K345" t="n">
        <v>0</v>
      </c>
      <c r="L345" t="n">
        <v>0</v>
      </c>
      <c r="M345" t="n">
        <v>0</v>
      </c>
      <c r="N345" t="n">
        <v>0</v>
      </c>
      <c r="O345" t="n">
        <v>0</v>
      </c>
      <c r="P345" t="n">
        <v>0</v>
      </c>
      <c r="Q345" t="n">
        <v>0</v>
      </c>
      <c r="R345" s="2" t="inlineStr"/>
    </row>
    <row r="346" ht="15" customHeight="1">
      <c r="A346" t="inlineStr">
        <is>
          <t>A 30468-2023</t>
        </is>
      </c>
      <c r="B346" s="1" t="n">
        <v>45111.58732638889</v>
      </c>
      <c r="C346" s="1" t="n">
        <v>45938</v>
      </c>
      <c r="D346" t="inlineStr">
        <is>
          <t>ÖSTERGÖTLANDS LÄN</t>
        </is>
      </c>
      <c r="E346" t="inlineStr">
        <is>
          <t>LINKÖPING</t>
        </is>
      </c>
      <c r="G346" t="n">
        <v>10.1</v>
      </c>
      <c r="H346" t="n">
        <v>0</v>
      </c>
      <c r="I346" t="n">
        <v>0</v>
      </c>
      <c r="J346" t="n">
        <v>0</v>
      </c>
      <c r="K346" t="n">
        <v>0</v>
      </c>
      <c r="L346" t="n">
        <v>0</v>
      </c>
      <c r="M346" t="n">
        <v>0</v>
      </c>
      <c r="N346" t="n">
        <v>0</v>
      </c>
      <c r="O346" t="n">
        <v>0</v>
      </c>
      <c r="P346" t="n">
        <v>0</v>
      </c>
      <c r="Q346" t="n">
        <v>0</v>
      </c>
      <c r="R346" s="2" t="inlineStr"/>
    </row>
    <row r="347" ht="15" customHeight="1">
      <c r="A347" t="inlineStr">
        <is>
          <t>A 47606-2025</t>
        </is>
      </c>
      <c r="B347" s="1" t="n">
        <v>45931.46402777778</v>
      </c>
      <c r="C347" s="1" t="n">
        <v>45938</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38715-2023</t>
        </is>
      </c>
      <c r="B348" s="1" t="n">
        <v>45160</v>
      </c>
      <c r="C348" s="1" t="n">
        <v>45938</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36336-2022</t>
        </is>
      </c>
      <c r="B349" s="1" t="n">
        <v>44803</v>
      </c>
      <c r="C349" s="1" t="n">
        <v>45938</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223-2024</t>
        </is>
      </c>
      <c r="B350" s="1" t="n">
        <v>45294.72739583333</v>
      </c>
      <c r="C350" s="1" t="n">
        <v>45938</v>
      </c>
      <c r="D350" t="inlineStr">
        <is>
          <t>ÖSTERGÖTLANDS LÄN</t>
        </is>
      </c>
      <c r="E350" t="inlineStr">
        <is>
          <t>LINKÖPING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29293-2025</t>
        </is>
      </c>
      <c r="B351" s="1" t="n">
        <v>45824</v>
      </c>
      <c r="C351" s="1" t="n">
        <v>45938</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47233-2025</t>
        </is>
      </c>
      <c r="B352" s="1" t="n">
        <v>45930.40612268518</v>
      </c>
      <c r="C352" s="1" t="n">
        <v>45938</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34864-2023</t>
        </is>
      </c>
      <c r="B353" s="1" t="n">
        <v>45141</v>
      </c>
      <c r="C353" s="1" t="n">
        <v>45938</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25097-2023</t>
        </is>
      </c>
      <c r="B354" s="1" t="n">
        <v>45086</v>
      </c>
      <c r="C354" s="1" t="n">
        <v>45938</v>
      </c>
      <c r="D354" t="inlineStr">
        <is>
          <t>ÖSTERGÖTLANDS LÄN</t>
        </is>
      </c>
      <c r="E354" t="inlineStr">
        <is>
          <t>LINKÖPING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19464-2024</t>
        </is>
      </c>
      <c r="B355" s="1" t="n">
        <v>45429</v>
      </c>
      <c r="C355" s="1" t="n">
        <v>45938</v>
      </c>
      <c r="D355" t="inlineStr">
        <is>
          <t>ÖSTERGÖTLANDS LÄN</t>
        </is>
      </c>
      <c r="E355" t="inlineStr">
        <is>
          <t>LINKÖPING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39438-2025</t>
        </is>
      </c>
      <c r="B356" s="1" t="n">
        <v>45889.68641203704</v>
      </c>
      <c r="C356" s="1" t="n">
        <v>45938</v>
      </c>
      <c r="D356" t="inlineStr">
        <is>
          <t>ÖSTERGÖTLANDS LÄN</t>
        </is>
      </c>
      <c r="E356" t="inlineStr">
        <is>
          <t>LINKÖPING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47304-2025</t>
        </is>
      </c>
      <c r="B357" s="1" t="n">
        <v>45930.52037037037</v>
      </c>
      <c r="C357" s="1" t="n">
        <v>45938</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46687-2021</t>
        </is>
      </c>
      <c r="B358" s="1" t="n">
        <v>44445</v>
      </c>
      <c r="C358" s="1" t="n">
        <v>45938</v>
      </c>
      <c r="D358" t="inlineStr">
        <is>
          <t>ÖSTERGÖTLANDS LÄN</t>
        </is>
      </c>
      <c r="E358" t="inlineStr">
        <is>
          <t>LINKÖPING</t>
        </is>
      </c>
      <c r="F358" t="inlineStr">
        <is>
          <t>Övriga statliga verk och myndigheter</t>
        </is>
      </c>
      <c r="G358" t="n">
        <v>2.3</v>
      </c>
      <c r="H358" t="n">
        <v>0</v>
      </c>
      <c r="I358" t="n">
        <v>0</v>
      </c>
      <c r="J358" t="n">
        <v>0</v>
      </c>
      <c r="K358" t="n">
        <v>0</v>
      </c>
      <c r="L358" t="n">
        <v>0</v>
      </c>
      <c r="M358" t="n">
        <v>0</v>
      </c>
      <c r="N358" t="n">
        <v>0</v>
      </c>
      <c r="O358" t="n">
        <v>0</v>
      </c>
      <c r="P358" t="n">
        <v>0</v>
      </c>
      <c r="Q358" t="n">
        <v>0</v>
      </c>
      <c r="R358" s="2" t="inlineStr"/>
    </row>
    <row r="359" ht="15" customHeight="1">
      <c r="A359" t="inlineStr">
        <is>
          <t>A 17103-2025</t>
        </is>
      </c>
      <c r="B359" s="1" t="n">
        <v>45755.66143518518</v>
      </c>
      <c r="C359" s="1" t="n">
        <v>45938</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27264-2025</t>
        </is>
      </c>
      <c r="B360" s="1" t="n">
        <v>45812.4794212963</v>
      </c>
      <c r="C360" s="1" t="n">
        <v>45938</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630-2024</t>
        </is>
      </c>
      <c r="B361" s="1" t="n">
        <v>45299.67736111111</v>
      </c>
      <c r="C361" s="1" t="n">
        <v>45938</v>
      </c>
      <c r="D361" t="inlineStr">
        <is>
          <t>ÖSTERGÖTLANDS LÄN</t>
        </is>
      </c>
      <c r="E361" t="inlineStr">
        <is>
          <t>LINKÖPING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10461-2023</t>
        </is>
      </c>
      <c r="B362" s="1" t="n">
        <v>44987.5969212963</v>
      </c>
      <c r="C362" s="1" t="n">
        <v>45938</v>
      </c>
      <c r="D362" t="inlineStr">
        <is>
          <t>ÖSTERGÖTLANDS LÄN</t>
        </is>
      </c>
      <c r="E362" t="inlineStr">
        <is>
          <t>LINKÖPING</t>
        </is>
      </c>
      <c r="G362" t="n">
        <v>7.8</v>
      </c>
      <c r="H362" t="n">
        <v>0</v>
      </c>
      <c r="I362" t="n">
        <v>0</v>
      </c>
      <c r="J362" t="n">
        <v>0</v>
      </c>
      <c r="K362" t="n">
        <v>0</v>
      </c>
      <c r="L362" t="n">
        <v>0</v>
      </c>
      <c r="M362" t="n">
        <v>0</v>
      </c>
      <c r="N362" t="n">
        <v>0</v>
      </c>
      <c r="O362" t="n">
        <v>0</v>
      </c>
      <c r="P362" t="n">
        <v>0</v>
      </c>
      <c r="Q362" t="n">
        <v>0</v>
      </c>
      <c r="R362" s="2" t="inlineStr"/>
    </row>
    <row r="363" ht="15" customHeight="1">
      <c r="A363" t="inlineStr">
        <is>
          <t>A 50386-2021</t>
        </is>
      </c>
      <c r="B363" s="1" t="n">
        <v>44459</v>
      </c>
      <c r="C363" s="1" t="n">
        <v>45938</v>
      </c>
      <c r="D363" t="inlineStr">
        <is>
          <t>ÖSTERGÖTLANDS LÄN</t>
        </is>
      </c>
      <c r="E363" t="inlineStr">
        <is>
          <t>LINKÖPING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40618-2021</t>
        </is>
      </c>
      <c r="B364" s="1" t="n">
        <v>44420.49575231481</v>
      </c>
      <c r="C364" s="1" t="n">
        <v>45938</v>
      </c>
      <c r="D364" t="inlineStr">
        <is>
          <t>ÖSTERGÖTLANDS LÄN</t>
        </is>
      </c>
      <c r="E364" t="inlineStr">
        <is>
          <t>LINKÖPING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30433-2024</t>
        </is>
      </c>
      <c r="B365" s="1" t="n">
        <v>45491.69741898148</v>
      </c>
      <c r="C365" s="1" t="n">
        <v>45938</v>
      </c>
      <c r="D365" t="inlineStr">
        <is>
          <t>ÖSTERGÖTLANDS LÄN</t>
        </is>
      </c>
      <c r="E365" t="inlineStr">
        <is>
          <t>LINKÖPING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56180-2024</t>
        </is>
      </c>
      <c r="B366" s="1" t="n">
        <v>45624.56611111111</v>
      </c>
      <c r="C366" s="1" t="n">
        <v>45938</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350-2022</t>
        </is>
      </c>
      <c r="B367" s="1" t="n">
        <v>44565</v>
      </c>
      <c r="C367" s="1" t="n">
        <v>45938</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63528-2023</t>
        </is>
      </c>
      <c r="B368" s="1" t="n">
        <v>45274.94810185185</v>
      </c>
      <c r="C368" s="1" t="n">
        <v>45938</v>
      </c>
      <c r="D368" t="inlineStr">
        <is>
          <t>ÖSTERGÖTLANDS LÄN</t>
        </is>
      </c>
      <c r="E368" t="inlineStr">
        <is>
          <t>LINKÖPING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30471-2023</t>
        </is>
      </c>
      <c r="B369" s="1" t="n">
        <v>45111.58931712963</v>
      </c>
      <c r="C369" s="1" t="n">
        <v>45938</v>
      </c>
      <c r="D369" t="inlineStr">
        <is>
          <t>ÖSTERGÖTLANDS LÄN</t>
        </is>
      </c>
      <c r="E369" t="inlineStr">
        <is>
          <t>LINKÖPING</t>
        </is>
      </c>
      <c r="G369" t="n">
        <v>2.9</v>
      </c>
      <c r="H369" t="n">
        <v>0</v>
      </c>
      <c r="I369" t="n">
        <v>0</v>
      </c>
      <c r="J369" t="n">
        <v>0</v>
      </c>
      <c r="K369" t="n">
        <v>0</v>
      </c>
      <c r="L369" t="n">
        <v>0</v>
      </c>
      <c r="M369" t="n">
        <v>0</v>
      </c>
      <c r="N369" t="n">
        <v>0</v>
      </c>
      <c r="O369" t="n">
        <v>0</v>
      </c>
      <c r="P369" t="n">
        <v>0</v>
      </c>
      <c r="Q369" t="n">
        <v>0</v>
      </c>
      <c r="R369" s="2" t="inlineStr"/>
    </row>
    <row r="370" ht="15" customHeight="1">
      <c r="A370" t="inlineStr">
        <is>
          <t>A 18891-2022</t>
        </is>
      </c>
      <c r="B370" s="1" t="n">
        <v>44690</v>
      </c>
      <c r="C370" s="1" t="n">
        <v>45938</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39074-2025</t>
        </is>
      </c>
      <c r="B371" s="1" t="n">
        <v>45888</v>
      </c>
      <c r="C371" s="1" t="n">
        <v>45938</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227-2024</t>
        </is>
      </c>
      <c r="B372" s="1" t="n">
        <v>45294.73603009259</v>
      </c>
      <c r="C372" s="1" t="n">
        <v>45938</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72567-2021</t>
        </is>
      </c>
      <c r="B373" s="1" t="n">
        <v>44546.45023148148</v>
      </c>
      <c r="C373" s="1" t="n">
        <v>45938</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61936-2023</t>
        </is>
      </c>
      <c r="B374" s="1" t="n">
        <v>45266.54534722222</v>
      </c>
      <c r="C374" s="1" t="n">
        <v>45938</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62492-2023</t>
        </is>
      </c>
      <c r="B375" s="1" t="n">
        <v>45268.58987268519</v>
      </c>
      <c r="C375" s="1" t="n">
        <v>45938</v>
      </c>
      <c r="D375" t="inlineStr">
        <is>
          <t>ÖSTERGÖTLANDS LÄN</t>
        </is>
      </c>
      <c r="E375" t="inlineStr">
        <is>
          <t>LINKÖPING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45112-2025</t>
        </is>
      </c>
      <c r="B376" s="1" t="n">
        <v>45919</v>
      </c>
      <c r="C376" s="1" t="n">
        <v>45938</v>
      </c>
      <c r="D376" t="inlineStr">
        <is>
          <t>ÖSTERGÖTLANDS LÄN</t>
        </is>
      </c>
      <c r="E376" t="inlineStr">
        <is>
          <t>LINKÖPING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30976-2022</t>
        </is>
      </c>
      <c r="B377" s="1" t="n">
        <v>44768</v>
      </c>
      <c r="C377" s="1" t="n">
        <v>45938</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44155-2024</t>
        </is>
      </c>
      <c r="B378" s="1" t="n">
        <v>45572.68226851852</v>
      </c>
      <c r="C378" s="1" t="n">
        <v>45938</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674-2024</t>
        </is>
      </c>
      <c r="B379" s="1" t="n">
        <v>45300.34408564815</v>
      </c>
      <c r="C379" s="1" t="n">
        <v>45938</v>
      </c>
      <c r="D379" t="inlineStr">
        <is>
          <t>ÖSTERGÖTLANDS LÄN</t>
        </is>
      </c>
      <c r="E379" t="inlineStr">
        <is>
          <t>LINKÖPING</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55736-2022</t>
        </is>
      </c>
      <c r="B380" s="1" t="n">
        <v>44888</v>
      </c>
      <c r="C380" s="1" t="n">
        <v>45938</v>
      </c>
      <c r="D380" t="inlineStr">
        <is>
          <t>ÖSTERGÖTLANDS LÄN</t>
        </is>
      </c>
      <c r="E380" t="inlineStr">
        <is>
          <t>LINKÖPING</t>
        </is>
      </c>
      <c r="G380" t="n">
        <v>5.5</v>
      </c>
      <c r="H380" t="n">
        <v>0</v>
      </c>
      <c r="I380" t="n">
        <v>0</v>
      </c>
      <c r="J380" t="n">
        <v>0</v>
      </c>
      <c r="K380" t="n">
        <v>0</v>
      </c>
      <c r="L380" t="n">
        <v>0</v>
      </c>
      <c r="M380" t="n">
        <v>0</v>
      </c>
      <c r="N380" t="n">
        <v>0</v>
      </c>
      <c r="O380" t="n">
        <v>0</v>
      </c>
      <c r="P380" t="n">
        <v>0</v>
      </c>
      <c r="Q380" t="n">
        <v>0</v>
      </c>
      <c r="R380" s="2" t="inlineStr"/>
    </row>
    <row r="381" ht="15" customHeight="1">
      <c r="A381" t="inlineStr">
        <is>
          <t>A 30434-2024</t>
        </is>
      </c>
      <c r="B381" s="1" t="n">
        <v>45491.69811342593</v>
      </c>
      <c r="C381" s="1" t="n">
        <v>45938</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56917-2022</t>
        </is>
      </c>
      <c r="B382" s="1" t="n">
        <v>44894</v>
      </c>
      <c r="C382" s="1" t="n">
        <v>45938</v>
      </c>
      <c r="D382" t="inlineStr">
        <is>
          <t>ÖSTERGÖTLANDS LÄN</t>
        </is>
      </c>
      <c r="E382" t="inlineStr">
        <is>
          <t>LINKÖPING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57766-2023</t>
        </is>
      </c>
      <c r="B383" s="1" t="n">
        <v>45246</v>
      </c>
      <c r="C383" s="1" t="n">
        <v>45938</v>
      </c>
      <c r="D383" t="inlineStr">
        <is>
          <t>ÖSTERGÖTLANDS LÄN</t>
        </is>
      </c>
      <c r="E383" t="inlineStr">
        <is>
          <t>LINKÖPING</t>
        </is>
      </c>
      <c r="F383" t="inlineStr">
        <is>
          <t>Allmännings- och besparingsskogar</t>
        </is>
      </c>
      <c r="G383" t="n">
        <v>12.8</v>
      </c>
      <c r="H383" t="n">
        <v>0</v>
      </c>
      <c r="I383" t="n">
        <v>0</v>
      </c>
      <c r="J383" t="n">
        <v>0</v>
      </c>
      <c r="K383" t="n">
        <v>0</v>
      </c>
      <c r="L383" t="n">
        <v>0</v>
      </c>
      <c r="M383" t="n">
        <v>0</v>
      </c>
      <c r="N383" t="n">
        <v>0</v>
      </c>
      <c r="O383" t="n">
        <v>0</v>
      </c>
      <c r="P383" t="n">
        <v>0</v>
      </c>
      <c r="Q383" t="n">
        <v>0</v>
      </c>
      <c r="R383" s="2" t="inlineStr"/>
    </row>
    <row r="384" ht="15" customHeight="1">
      <c r="A384" t="inlineStr">
        <is>
          <t>A 10194-2023</t>
        </is>
      </c>
      <c r="B384" s="1" t="n">
        <v>44986.52277777778</v>
      </c>
      <c r="C384" s="1" t="n">
        <v>45938</v>
      </c>
      <c r="D384" t="inlineStr">
        <is>
          <t>ÖSTERGÖTLANDS LÄN</t>
        </is>
      </c>
      <c r="E384" t="inlineStr">
        <is>
          <t>LINKÖPING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16200-2025</t>
        </is>
      </c>
      <c r="B385" s="1" t="n">
        <v>45750.61050925926</v>
      </c>
      <c r="C385" s="1" t="n">
        <v>45938</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48343-2025</t>
        </is>
      </c>
      <c r="B386" s="1" t="n">
        <v>45932</v>
      </c>
      <c r="C386" s="1" t="n">
        <v>45938</v>
      </c>
      <c r="D386" t="inlineStr">
        <is>
          <t>ÖSTERGÖTLANDS LÄN</t>
        </is>
      </c>
      <c r="E386" t="inlineStr">
        <is>
          <t>LINKÖPING</t>
        </is>
      </c>
      <c r="F386" t="inlineStr">
        <is>
          <t>Övriga Aktiebolag</t>
        </is>
      </c>
      <c r="G386" t="n">
        <v>2</v>
      </c>
      <c r="H386" t="n">
        <v>0</v>
      </c>
      <c r="I386" t="n">
        <v>0</v>
      </c>
      <c r="J386" t="n">
        <v>0</v>
      </c>
      <c r="K386" t="n">
        <v>0</v>
      </c>
      <c r="L386" t="n">
        <v>0</v>
      </c>
      <c r="M386" t="n">
        <v>0</v>
      </c>
      <c r="N386" t="n">
        <v>0</v>
      </c>
      <c r="O386" t="n">
        <v>0</v>
      </c>
      <c r="P386" t="n">
        <v>0</v>
      </c>
      <c r="Q386" t="n">
        <v>0</v>
      </c>
      <c r="R386" s="2" t="inlineStr"/>
    </row>
    <row r="387" ht="15" customHeight="1">
      <c r="A387" t="inlineStr">
        <is>
          <t>A 48266-2025</t>
        </is>
      </c>
      <c r="B387" s="1" t="n">
        <v>45932</v>
      </c>
      <c r="C387" s="1" t="n">
        <v>45938</v>
      </c>
      <c r="D387" t="inlineStr">
        <is>
          <t>ÖSTERGÖTLANDS LÄN</t>
        </is>
      </c>
      <c r="E387" t="inlineStr">
        <is>
          <t>LINKÖPING</t>
        </is>
      </c>
      <c r="F387" t="inlineStr">
        <is>
          <t>Övriga Aktiebolag</t>
        </is>
      </c>
      <c r="G387" t="n">
        <v>0.5</v>
      </c>
      <c r="H387" t="n">
        <v>0</v>
      </c>
      <c r="I387" t="n">
        <v>0</v>
      </c>
      <c r="J387" t="n">
        <v>0</v>
      </c>
      <c r="K387" t="n">
        <v>0</v>
      </c>
      <c r="L387" t="n">
        <v>0</v>
      </c>
      <c r="M387" t="n">
        <v>0</v>
      </c>
      <c r="N387" t="n">
        <v>0</v>
      </c>
      <c r="O387" t="n">
        <v>0</v>
      </c>
      <c r="P387" t="n">
        <v>0</v>
      </c>
      <c r="Q387" t="n">
        <v>0</v>
      </c>
      <c r="R387" s="2" t="inlineStr"/>
    </row>
    <row r="388" ht="15" customHeight="1">
      <c r="A388" t="inlineStr">
        <is>
          <t>A 48254-2025</t>
        </is>
      </c>
      <c r="B388" s="1" t="n">
        <v>45932</v>
      </c>
      <c r="C388" s="1" t="n">
        <v>45938</v>
      </c>
      <c r="D388" t="inlineStr">
        <is>
          <t>ÖSTERGÖTLANDS LÄN</t>
        </is>
      </c>
      <c r="E388" t="inlineStr">
        <is>
          <t>LINKÖPING</t>
        </is>
      </c>
      <c r="F388" t="inlineStr">
        <is>
          <t>Övriga Aktiebolag</t>
        </is>
      </c>
      <c r="G388" t="n">
        <v>0.8</v>
      </c>
      <c r="H388" t="n">
        <v>0</v>
      </c>
      <c r="I388" t="n">
        <v>0</v>
      </c>
      <c r="J388" t="n">
        <v>0</v>
      </c>
      <c r="K388" t="n">
        <v>0</v>
      </c>
      <c r="L388" t="n">
        <v>0</v>
      </c>
      <c r="M388" t="n">
        <v>0</v>
      </c>
      <c r="N388" t="n">
        <v>0</v>
      </c>
      <c r="O388" t="n">
        <v>0</v>
      </c>
      <c r="P388" t="n">
        <v>0</v>
      </c>
      <c r="Q388" t="n">
        <v>0</v>
      </c>
      <c r="R388" s="2" t="inlineStr"/>
    </row>
    <row r="389" ht="15" customHeight="1">
      <c r="A389" t="inlineStr">
        <is>
          <t>A 6782-2024</t>
        </is>
      </c>
      <c r="B389" s="1" t="n">
        <v>45342</v>
      </c>
      <c r="C389" s="1" t="n">
        <v>45938</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25568-2024</t>
        </is>
      </c>
      <c r="B390" s="1" t="n">
        <v>45463.58699074074</v>
      </c>
      <c r="C390" s="1" t="n">
        <v>45938</v>
      </c>
      <c r="D390" t="inlineStr">
        <is>
          <t>ÖSTERGÖTLANDS LÄN</t>
        </is>
      </c>
      <c r="E390" t="inlineStr">
        <is>
          <t>LINKÖPING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7702-2023</t>
        </is>
      </c>
      <c r="B391" s="1" t="n">
        <v>44967</v>
      </c>
      <c r="C391" s="1" t="n">
        <v>45938</v>
      </c>
      <c r="D391" t="inlineStr">
        <is>
          <t>ÖSTERGÖTLANDS LÄN</t>
        </is>
      </c>
      <c r="E391" t="inlineStr">
        <is>
          <t>LINKÖPING</t>
        </is>
      </c>
      <c r="F391" t="inlineStr">
        <is>
          <t>Övriga statliga verk och myndigheter</t>
        </is>
      </c>
      <c r="G391" t="n">
        <v>8</v>
      </c>
      <c r="H391" t="n">
        <v>0</v>
      </c>
      <c r="I391" t="n">
        <v>0</v>
      </c>
      <c r="J391" t="n">
        <v>0</v>
      </c>
      <c r="K391" t="n">
        <v>0</v>
      </c>
      <c r="L391" t="n">
        <v>0</v>
      </c>
      <c r="M391" t="n">
        <v>0</v>
      </c>
      <c r="N391" t="n">
        <v>0</v>
      </c>
      <c r="O391" t="n">
        <v>0</v>
      </c>
      <c r="P391" t="n">
        <v>0</v>
      </c>
      <c r="Q391" t="n">
        <v>0</v>
      </c>
      <c r="R391" s="2" t="inlineStr"/>
    </row>
    <row r="392" ht="15" customHeight="1">
      <c r="A392" t="inlineStr">
        <is>
          <t>A 10094-2024</t>
        </is>
      </c>
      <c r="B392" s="1" t="n">
        <v>45364</v>
      </c>
      <c r="C392" s="1" t="n">
        <v>45938</v>
      </c>
      <c r="D392" t="inlineStr">
        <is>
          <t>ÖSTERGÖTLANDS LÄN</t>
        </is>
      </c>
      <c r="E392" t="inlineStr">
        <is>
          <t>LINKÖPING</t>
        </is>
      </c>
      <c r="F392" t="inlineStr">
        <is>
          <t>Övriga Aktiebolag</t>
        </is>
      </c>
      <c r="G392" t="n">
        <v>1.9</v>
      </c>
      <c r="H392" t="n">
        <v>0</v>
      </c>
      <c r="I392" t="n">
        <v>0</v>
      </c>
      <c r="J392" t="n">
        <v>0</v>
      </c>
      <c r="K392" t="n">
        <v>0</v>
      </c>
      <c r="L392" t="n">
        <v>0</v>
      </c>
      <c r="M392" t="n">
        <v>0</v>
      </c>
      <c r="N392" t="n">
        <v>0</v>
      </c>
      <c r="O392" t="n">
        <v>0</v>
      </c>
      <c r="P392" t="n">
        <v>0</v>
      </c>
      <c r="Q392" t="n">
        <v>0</v>
      </c>
      <c r="R392" s="2" t="inlineStr"/>
    </row>
    <row r="393" ht="15" customHeight="1">
      <c r="A393" t="inlineStr">
        <is>
          <t>A 42000-2023</t>
        </is>
      </c>
      <c r="B393" s="1" t="n">
        <v>45177</v>
      </c>
      <c r="C393" s="1" t="n">
        <v>45938</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63684-2023</t>
        </is>
      </c>
      <c r="B394" s="1" t="n">
        <v>45275</v>
      </c>
      <c r="C394" s="1" t="n">
        <v>45938</v>
      </c>
      <c r="D394" t="inlineStr">
        <is>
          <t>ÖSTERGÖTLANDS LÄN</t>
        </is>
      </c>
      <c r="E394" t="inlineStr">
        <is>
          <t>LINKÖPING</t>
        </is>
      </c>
      <c r="G394" t="n">
        <v>0.4</v>
      </c>
      <c r="H394" t="n">
        <v>0</v>
      </c>
      <c r="I394" t="n">
        <v>0</v>
      </c>
      <c r="J394" t="n">
        <v>0</v>
      </c>
      <c r="K394" t="n">
        <v>0</v>
      </c>
      <c r="L394" t="n">
        <v>0</v>
      </c>
      <c r="M394" t="n">
        <v>0</v>
      </c>
      <c r="N394" t="n">
        <v>0</v>
      </c>
      <c r="O394" t="n">
        <v>0</v>
      </c>
      <c r="P394" t="n">
        <v>0</v>
      </c>
      <c r="Q394" t="n">
        <v>0</v>
      </c>
      <c r="R394" s="2" t="inlineStr"/>
    </row>
    <row r="395" ht="15" customHeight="1">
      <c r="A395" t="inlineStr">
        <is>
          <t>A 63688-2023</t>
        </is>
      </c>
      <c r="B395" s="1" t="n">
        <v>45275</v>
      </c>
      <c r="C395" s="1" t="n">
        <v>45938</v>
      </c>
      <c r="D395" t="inlineStr">
        <is>
          <t>ÖSTERGÖTLANDS LÄN</t>
        </is>
      </c>
      <c r="E395" t="inlineStr">
        <is>
          <t>LINKÖPING</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63691-2023</t>
        </is>
      </c>
      <c r="B396" s="1" t="n">
        <v>45275</v>
      </c>
      <c r="C396" s="1" t="n">
        <v>45938</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36657-2023</t>
        </is>
      </c>
      <c r="B397" s="1" t="n">
        <v>45153.5702662037</v>
      </c>
      <c r="C397" s="1" t="n">
        <v>45938</v>
      </c>
      <c r="D397" t="inlineStr">
        <is>
          <t>ÖSTERGÖTLANDS LÄN</t>
        </is>
      </c>
      <c r="E397" t="inlineStr">
        <is>
          <t>LINKÖPING</t>
        </is>
      </c>
      <c r="F397" t="inlineStr">
        <is>
          <t>Allmännings- och besparingsskogar</t>
        </is>
      </c>
      <c r="G397" t="n">
        <v>2</v>
      </c>
      <c r="H397" t="n">
        <v>0</v>
      </c>
      <c r="I397" t="n">
        <v>0</v>
      </c>
      <c r="J397" t="n">
        <v>0</v>
      </c>
      <c r="K397" t="n">
        <v>0</v>
      </c>
      <c r="L397" t="n">
        <v>0</v>
      </c>
      <c r="M397" t="n">
        <v>0</v>
      </c>
      <c r="N397" t="n">
        <v>0</v>
      </c>
      <c r="O397" t="n">
        <v>0</v>
      </c>
      <c r="P397" t="n">
        <v>0</v>
      </c>
      <c r="Q397" t="n">
        <v>0</v>
      </c>
      <c r="R397" s="2" t="inlineStr"/>
    </row>
    <row r="398" ht="15" customHeight="1">
      <c r="A398" t="inlineStr">
        <is>
          <t>A 22833-2023</t>
        </is>
      </c>
      <c r="B398" s="1" t="n">
        <v>45071</v>
      </c>
      <c r="C398" s="1" t="n">
        <v>45938</v>
      </c>
      <c r="D398" t="inlineStr">
        <is>
          <t>ÖSTERGÖTLANDS LÄN</t>
        </is>
      </c>
      <c r="E398" t="inlineStr">
        <is>
          <t>LINKÖPING</t>
        </is>
      </c>
      <c r="F398" t="inlineStr">
        <is>
          <t>Kommuner</t>
        </is>
      </c>
      <c r="G398" t="n">
        <v>1</v>
      </c>
      <c r="H398" t="n">
        <v>0</v>
      </c>
      <c r="I398" t="n">
        <v>0</v>
      </c>
      <c r="J398" t="n">
        <v>0</v>
      </c>
      <c r="K398" t="n">
        <v>0</v>
      </c>
      <c r="L398" t="n">
        <v>0</v>
      </c>
      <c r="M398" t="n">
        <v>0</v>
      </c>
      <c r="N398" t="n">
        <v>0</v>
      </c>
      <c r="O398" t="n">
        <v>0</v>
      </c>
      <c r="P398" t="n">
        <v>0</v>
      </c>
      <c r="Q398" t="n">
        <v>0</v>
      </c>
      <c r="R398" s="2" t="inlineStr"/>
    </row>
    <row r="399" ht="15" customHeight="1">
      <c r="A399" t="inlineStr">
        <is>
          <t>A 14667-2024</t>
        </is>
      </c>
      <c r="B399" s="1" t="n">
        <v>45397.42005787037</v>
      </c>
      <c r="C399" s="1" t="n">
        <v>45938</v>
      </c>
      <c r="D399" t="inlineStr">
        <is>
          <t>ÖSTERGÖTLANDS LÄN</t>
        </is>
      </c>
      <c r="E399" t="inlineStr">
        <is>
          <t>LINKÖPING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31534-2023</t>
        </is>
      </c>
      <c r="B400" s="1" t="n">
        <v>45116</v>
      </c>
      <c r="C400" s="1" t="n">
        <v>45938</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35427-2023</t>
        </is>
      </c>
      <c r="B401" s="1" t="n">
        <v>45146</v>
      </c>
      <c r="C401" s="1" t="n">
        <v>45938</v>
      </c>
      <c r="D401" t="inlineStr">
        <is>
          <t>ÖSTERGÖTLANDS LÄN</t>
        </is>
      </c>
      <c r="E401" t="inlineStr">
        <is>
          <t>LINKÖPING</t>
        </is>
      </c>
      <c r="F401" t="inlineStr">
        <is>
          <t>Övriga Aktiebolag</t>
        </is>
      </c>
      <c r="G401" t="n">
        <v>2.5</v>
      </c>
      <c r="H401" t="n">
        <v>0</v>
      </c>
      <c r="I401" t="n">
        <v>0</v>
      </c>
      <c r="J401" t="n">
        <v>0</v>
      </c>
      <c r="K401" t="n">
        <v>0</v>
      </c>
      <c r="L401" t="n">
        <v>0</v>
      </c>
      <c r="M401" t="n">
        <v>0</v>
      </c>
      <c r="N401" t="n">
        <v>0</v>
      </c>
      <c r="O401" t="n">
        <v>0</v>
      </c>
      <c r="P401" t="n">
        <v>0</v>
      </c>
      <c r="Q401" t="n">
        <v>0</v>
      </c>
      <c r="R401" s="2" t="inlineStr"/>
    </row>
    <row r="402" ht="15" customHeight="1">
      <c r="A402" t="inlineStr">
        <is>
          <t>A 40169-2025</t>
        </is>
      </c>
      <c r="B402" s="1" t="n">
        <v>45894.62824074074</v>
      </c>
      <c r="C402" s="1" t="n">
        <v>45938</v>
      </c>
      <c r="D402" t="inlineStr">
        <is>
          <t>ÖSTERGÖTLANDS LÄN</t>
        </is>
      </c>
      <c r="E402" t="inlineStr">
        <is>
          <t>LINKÖPING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2997-2025</t>
        </is>
      </c>
      <c r="B403" s="1" t="n">
        <v>45678.54631944445</v>
      </c>
      <c r="C403" s="1" t="n">
        <v>45938</v>
      </c>
      <c r="D403" t="inlineStr">
        <is>
          <t>ÖSTERGÖTLANDS LÄN</t>
        </is>
      </c>
      <c r="E403" t="inlineStr">
        <is>
          <t>LINKÖPING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36725-2023</t>
        </is>
      </c>
      <c r="B404" s="1" t="n">
        <v>45153.68471064815</v>
      </c>
      <c r="C404" s="1" t="n">
        <v>45938</v>
      </c>
      <c r="D404" t="inlineStr">
        <is>
          <t>ÖSTERGÖTLANDS LÄN</t>
        </is>
      </c>
      <c r="E404" t="inlineStr">
        <is>
          <t>LINKÖPING</t>
        </is>
      </c>
      <c r="F404" t="inlineStr">
        <is>
          <t>Allmännings- och besparingsskogar</t>
        </is>
      </c>
      <c r="G404" t="n">
        <v>2.6</v>
      </c>
      <c r="H404" t="n">
        <v>0</v>
      </c>
      <c r="I404" t="n">
        <v>0</v>
      </c>
      <c r="J404" t="n">
        <v>0</v>
      </c>
      <c r="K404" t="n">
        <v>0</v>
      </c>
      <c r="L404" t="n">
        <v>0</v>
      </c>
      <c r="M404" t="n">
        <v>0</v>
      </c>
      <c r="N404" t="n">
        <v>0</v>
      </c>
      <c r="O404" t="n">
        <v>0</v>
      </c>
      <c r="P404" t="n">
        <v>0</v>
      </c>
      <c r="Q404" t="n">
        <v>0</v>
      </c>
      <c r="R404" s="2" t="inlineStr"/>
    </row>
    <row r="405" ht="15" customHeight="1">
      <c r="A405" t="inlineStr">
        <is>
          <t>A 41345-2021</t>
        </is>
      </c>
      <c r="B405" s="1" t="n">
        <v>44424.61851851852</v>
      </c>
      <c r="C405" s="1" t="n">
        <v>45938</v>
      </c>
      <c r="D405" t="inlineStr">
        <is>
          <t>ÖSTERGÖTLANDS LÄN</t>
        </is>
      </c>
      <c r="E405" t="inlineStr">
        <is>
          <t>LINKÖPING</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13266-2025</t>
        </is>
      </c>
      <c r="B406" s="1" t="n">
        <v>45735.53318287037</v>
      </c>
      <c r="C406" s="1" t="n">
        <v>45938</v>
      </c>
      <c r="D406" t="inlineStr">
        <is>
          <t>ÖSTERGÖTLANDS LÄN</t>
        </is>
      </c>
      <c r="E406" t="inlineStr">
        <is>
          <t>LINKÖPING</t>
        </is>
      </c>
      <c r="G406" t="n">
        <v>3.1</v>
      </c>
      <c r="H406" t="n">
        <v>0</v>
      </c>
      <c r="I406" t="n">
        <v>0</v>
      </c>
      <c r="J406" t="n">
        <v>0</v>
      </c>
      <c r="K406" t="n">
        <v>0</v>
      </c>
      <c r="L406" t="n">
        <v>0</v>
      </c>
      <c r="M406" t="n">
        <v>0</v>
      </c>
      <c r="N406" t="n">
        <v>0</v>
      </c>
      <c r="O406" t="n">
        <v>0</v>
      </c>
      <c r="P406" t="n">
        <v>0</v>
      </c>
      <c r="Q406" t="n">
        <v>0</v>
      </c>
      <c r="R406" s="2" t="inlineStr"/>
    </row>
    <row r="407" ht="15" customHeight="1">
      <c r="A407" t="inlineStr">
        <is>
          <t>A 53639-2023</t>
        </is>
      </c>
      <c r="B407" s="1" t="n">
        <v>45230.59686342593</v>
      </c>
      <c r="C407" s="1" t="n">
        <v>45938</v>
      </c>
      <c r="D407" t="inlineStr">
        <is>
          <t>ÖSTERGÖTLANDS LÄN</t>
        </is>
      </c>
      <c r="E407" t="inlineStr">
        <is>
          <t>LINKÖPING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16213-2025</t>
        </is>
      </c>
      <c r="B408" s="1" t="n">
        <v>45750.62740740741</v>
      </c>
      <c r="C408" s="1" t="n">
        <v>45938</v>
      </c>
      <c r="D408" t="inlineStr">
        <is>
          <t>ÖSTERGÖTLANDS LÄN</t>
        </is>
      </c>
      <c r="E408" t="inlineStr">
        <is>
          <t>LINKÖPING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15714-2024</t>
        </is>
      </c>
      <c r="B409" s="1" t="n">
        <v>45404.48288194444</v>
      </c>
      <c r="C409" s="1" t="n">
        <v>45938</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1657-2024</t>
        </is>
      </c>
      <c r="B410" s="1" t="n">
        <v>45306.82501157407</v>
      </c>
      <c r="C410" s="1" t="n">
        <v>45938</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37715-2022</t>
        </is>
      </c>
      <c r="B411" s="1" t="n">
        <v>44810</v>
      </c>
      <c r="C411" s="1" t="n">
        <v>45938</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50784-2022</t>
        </is>
      </c>
      <c r="B412" s="1" t="n">
        <v>44862</v>
      </c>
      <c r="C412" s="1" t="n">
        <v>45938</v>
      </c>
      <c r="D412" t="inlineStr">
        <is>
          <t>ÖSTERGÖTLANDS LÄN</t>
        </is>
      </c>
      <c r="E412" t="inlineStr">
        <is>
          <t>LINKÖPING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26803-2024</t>
        </is>
      </c>
      <c r="B413" s="1" t="n">
        <v>45470</v>
      </c>
      <c r="C413" s="1" t="n">
        <v>45938</v>
      </c>
      <c r="D413" t="inlineStr">
        <is>
          <t>ÖSTERGÖTLANDS LÄN</t>
        </is>
      </c>
      <c r="E413" t="inlineStr">
        <is>
          <t>LINKÖPING</t>
        </is>
      </c>
      <c r="F413" t="inlineStr">
        <is>
          <t>Allmännings- och besparingsskogar</t>
        </is>
      </c>
      <c r="G413" t="n">
        <v>4.5</v>
      </c>
      <c r="H413" t="n">
        <v>0</v>
      </c>
      <c r="I413" t="n">
        <v>0</v>
      </c>
      <c r="J413" t="n">
        <v>0</v>
      </c>
      <c r="K413" t="n">
        <v>0</v>
      </c>
      <c r="L413" t="n">
        <v>0</v>
      </c>
      <c r="M413" t="n">
        <v>0</v>
      </c>
      <c r="N413" t="n">
        <v>0</v>
      </c>
      <c r="O413" t="n">
        <v>0</v>
      </c>
      <c r="P413" t="n">
        <v>0</v>
      </c>
      <c r="Q413" t="n">
        <v>0</v>
      </c>
      <c r="R413" s="2" t="inlineStr"/>
    </row>
    <row r="414" ht="15" customHeight="1">
      <c r="A414" t="inlineStr">
        <is>
          <t>A 19187-2021</t>
        </is>
      </c>
      <c r="B414" s="1" t="n">
        <v>44308</v>
      </c>
      <c r="C414" s="1" t="n">
        <v>45938</v>
      </c>
      <c r="D414" t="inlineStr">
        <is>
          <t>ÖSTERGÖTLANDS LÄN</t>
        </is>
      </c>
      <c r="E414" t="inlineStr">
        <is>
          <t>LINKÖPING</t>
        </is>
      </c>
      <c r="F414" t="inlineStr">
        <is>
          <t>Allmännings- och besparingsskogar</t>
        </is>
      </c>
      <c r="G414" t="n">
        <v>20</v>
      </c>
      <c r="H414" t="n">
        <v>0</v>
      </c>
      <c r="I414" t="n">
        <v>0</v>
      </c>
      <c r="J414" t="n">
        <v>0</v>
      </c>
      <c r="K414" t="n">
        <v>0</v>
      </c>
      <c r="L414" t="n">
        <v>0</v>
      </c>
      <c r="M414" t="n">
        <v>0</v>
      </c>
      <c r="N414" t="n">
        <v>0</v>
      </c>
      <c r="O414" t="n">
        <v>0</v>
      </c>
      <c r="P414" t="n">
        <v>0</v>
      </c>
      <c r="Q414" t="n">
        <v>0</v>
      </c>
      <c r="R414" s="2" t="inlineStr"/>
    </row>
    <row r="415" ht="15" customHeight="1">
      <c r="A415" t="inlineStr">
        <is>
          <t>A 37683-2024</t>
        </is>
      </c>
      <c r="B415" s="1" t="n">
        <v>45541.59120370371</v>
      </c>
      <c r="C415" s="1" t="n">
        <v>45938</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30429-2024</t>
        </is>
      </c>
      <c r="B416" s="1" t="n">
        <v>45491.68972222223</v>
      </c>
      <c r="C416" s="1" t="n">
        <v>45938</v>
      </c>
      <c r="D416" t="inlineStr">
        <is>
          <t>ÖSTERGÖTLANDS LÄN</t>
        </is>
      </c>
      <c r="E416" t="inlineStr">
        <is>
          <t>LINKÖPING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46225-2021</t>
        </is>
      </c>
      <c r="B417" s="1" t="n">
        <v>44442</v>
      </c>
      <c r="C417" s="1" t="n">
        <v>45938</v>
      </c>
      <c r="D417" t="inlineStr">
        <is>
          <t>ÖSTERGÖTLANDS LÄN</t>
        </is>
      </c>
      <c r="E417" t="inlineStr">
        <is>
          <t>LINKÖPING</t>
        </is>
      </c>
      <c r="G417" t="n">
        <v>2.9</v>
      </c>
      <c r="H417" t="n">
        <v>0</v>
      </c>
      <c r="I417" t="n">
        <v>0</v>
      </c>
      <c r="J417" t="n">
        <v>0</v>
      </c>
      <c r="K417" t="n">
        <v>0</v>
      </c>
      <c r="L417" t="n">
        <v>0</v>
      </c>
      <c r="M417" t="n">
        <v>0</v>
      </c>
      <c r="N417" t="n">
        <v>0</v>
      </c>
      <c r="O417" t="n">
        <v>0</v>
      </c>
      <c r="P417" t="n">
        <v>0</v>
      </c>
      <c r="Q417" t="n">
        <v>0</v>
      </c>
      <c r="R417" s="2" t="inlineStr"/>
    </row>
    <row r="418" ht="15" customHeight="1">
      <c r="A418" t="inlineStr">
        <is>
          <t>A 25776-2021</t>
        </is>
      </c>
      <c r="B418" s="1" t="n">
        <v>44343</v>
      </c>
      <c r="C418" s="1" t="n">
        <v>45938</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60472-2022</t>
        </is>
      </c>
      <c r="B419" s="1" t="n">
        <v>44911.41037037037</v>
      </c>
      <c r="C419" s="1" t="n">
        <v>45938</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30435-2024</t>
        </is>
      </c>
      <c r="B420" s="1" t="n">
        <v>45491.69962962963</v>
      </c>
      <c r="C420" s="1" t="n">
        <v>45938</v>
      </c>
      <c r="D420" t="inlineStr">
        <is>
          <t>ÖSTERGÖTLANDS LÄN</t>
        </is>
      </c>
      <c r="E420" t="inlineStr">
        <is>
          <t>LINKÖPING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51484-2023</t>
        </is>
      </c>
      <c r="B421" s="1" t="n">
        <v>45222</v>
      </c>
      <c r="C421" s="1" t="n">
        <v>45938</v>
      </c>
      <c r="D421" t="inlineStr">
        <is>
          <t>ÖSTERGÖTLANDS LÄN</t>
        </is>
      </c>
      <c r="E421" t="inlineStr">
        <is>
          <t>LINKÖPING</t>
        </is>
      </c>
      <c r="F421" t="inlineStr">
        <is>
          <t>Övriga Aktiebolag</t>
        </is>
      </c>
      <c r="G421" t="n">
        <v>7.7</v>
      </c>
      <c r="H421" t="n">
        <v>0</v>
      </c>
      <c r="I421" t="n">
        <v>0</v>
      </c>
      <c r="J421" t="n">
        <v>0</v>
      </c>
      <c r="K421" t="n">
        <v>0</v>
      </c>
      <c r="L421" t="n">
        <v>0</v>
      </c>
      <c r="M421" t="n">
        <v>0</v>
      </c>
      <c r="N421" t="n">
        <v>0</v>
      </c>
      <c r="O421" t="n">
        <v>0</v>
      </c>
      <c r="P421" t="n">
        <v>0</v>
      </c>
      <c r="Q421" t="n">
        <v>0</v>
      </c>
      <c r="R421" s="2" t="inlineStr"/>
    </row>
    <row r="422" ht="15" customHeight="1">
      <c r="A422" t="inlineStr">
        <is>
          <t>A 4927-2021</t>
        </is>
      </c>
      <c r="B422" s="1" t="n">
        <v>44227.57215277778</v>
      </c>
      <c r="C422" s="1" t="n">
        <v>45938</v>
      </c>
      <c r="D422" t="inlineStr">
        <is>
          <t>ÖSTERGÖTLANDS LÄN</t>
        </is>
      </c>
      <c r="E422" t="inlineStr">
        <is>
          <t>LINKÖPING</t>
        </is>
      </c>
      <c r="G422" t="n">
        <v>0.3</v>
      </c>
      <c r="H422" t="n">
        <v>0</v>
      </c>
      <c r="I422" t="n">
        <v>0</v>
      </c>
      <c r="J422" t="n">
        <v>0</v>
      </c>
      <c r="K422" t="n">
        <v>0</v>
      </c>
      <c r="L422" t="n">
        <v>0</v>
      </c>
      <c r="M422" t="n">
        <v>0</v>
      </c>
      <c r="N422" t="n">
        <v>0</v>
      </c>
      <c r="O422" t="n">
        <v>0</v>
      </c>
      <c r="P422" t="n">
        <v>0</v>
      </c>
      <c r="Q422" t="n">
        <v>0</v>
      </c>
      <c r="R422" s="2" t="inlineStr"/>
    </row>
    <row r="423" ht="15" customHeight="1">
      <c r="A423" t="inlineStr">
        <is>
          <t>A 38231-2022</t>
        </is>
      </c>
      <c r="B423" s="1" t="n">
        <v>44812</v>
      </c>
      <c r="C423" s="1" t="n">
        <v>45938</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17898-2022</t>
        </is>
      </c>
      <c r="B424" s="1" t="n">
        <v>44683</v>
      </c>
      <c r="C424" s="1" t="n">
        <v>45938</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34557-2022</t>
        </is>
      </c>
      <c r="B425" s="1" t="n">
        <v>44794.57074074074</v>
      </c>
      <c r="C425" s="1" t="n">
        <v>45938</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43934-2023</t>
        </is>
      </c>
      <c r="B426" s="1" t="n">
        <v>45187</v>
      </c>
      <c r="C426" s="1" t="n">
        <v>45938</v>
      </c>
      <c r="D426" t="inlineStr">
        <is>
          <t>ÖSTERGÖTLANDS LÄN</t>
        </is>
      </c>
      <c r="E426" t="inlineStr">
        <is>
          <t>LINKÖPING</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13011-2022</t>
        </is>
      </c>
      <c r="B427" s="1" t="n">
        <v>44643</v>
      </c>
      <c r="C427" s="1" t="n">
        <v>45938</v>
      </c>
      <c r="D427" t="inlineStr">
        <is>
          <t>ÖSTERGÖTLANDS LÄN</t>
        </is>
      </c>
      <c r="E427" t="inlineStr">
        <is>
          <t>LINKÖPING</t>
        </is>
      </c>
      <c r="G427" t="n">
        <v>3.7</v>
      </c>
      <c r="H427" t="n">
        <v>0</v>
      </c>
      <c r="I427" t="n">
        <v>0</v>
      </c>
      <c r="J427" t="n">
        <v>0</v>
      </c>
      <c r="K427" t="n">
        <v>0</v>
      </c>
      <c r="L427" t="n">
        <v>0</v>
      </c>
      <c r="M427" t="n">
        <v>0</v>
      </c>
      <c r="N427" t="n">
        <v>0</v>
      </c>
      <c r="O427" t="n">
        <v>0</v>
      </c>
      <c r="P427" t="n">
        <v>0</v>
      </c>
      <c r="Q427" t="n">
        <v>0</v>
      </c>
      <c r="R427" s="2" t="inlineStr"/>
    </row>
    <row r="428" ht="15" customHeight="1">
      <c r="A428" t="inlineStr">
        <is>
          <t>A 22774-2024</t>
        </is>
      </c>
      <c r="B428" s="1" t="n">
        <v>45448.46924768519</v>
      </c>
      <c r="C428" s="1" t="n">
        <v>45938</v>
      </c>
      <c r="D428" t="inlineStr">
        <is>
          <t>ÖSTERGÖTLANDS LÄN</t>
        </is>
      </c>
      <c r="E428" t="inlineStr">
        <is>
          <t>LINKÖPING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22778-2024</t>
        </is>
      </c>
      <c r="B429" s="1" t="n">
        <v>45448.47233796296</v>
      </c>
      <c r="C429" s="1" t="n">
        <v>45938</v>
      </c>
      <c r="D429" t="inlineStr">
        <is>
          <t>ÖSTERGÖTLANDS LÄN</t>
        </is>
      </c>
      <c r="E429" t="inlineStr">
        <is>
          <t>LINKÖPING</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63487-2023</t>
        </is>
      </c>
      <c r="B430" s="1" t="n">
        <v>45274.66712962963</v>
      </c>
      <c r="C430" s="1" t="n">
        <v>45938</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35463-2023</t>
        </is>
      </c>
      <c r="B431" s="1" t="n">
        <v>45146</v>
      </c>
      <c r="C431" s="1" t="n">
        <v>45938</v>
      </c>
      <c r="D431" t="inlineStr">
        <is>
          <t>ÖSTERGÖTLANDS LÄN</t>
        </is>
      </c>
      <c r="E431" t="inlineStr">
        <is>
          <t>LINKÖPING</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617-2024</t>
        </is>
      </c>
      <c r="B432" s="1" t="n">
        <v>45299.66028935185</v>
      </c>
      <c r="C432" s="1" t="n">
        <v>45938</v>
      </c>
      <c r="D432" t="inlineStr">
        <is>
          <t>ÖSTERGÖTLANDS LÄN</t>
        </is>
      </c>
      <c r="E432" t="inlineStr">
        <is>
          <t>LINKÖPING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1209-2023</t>
        </is>
      </c>
      <c r="B433" s="1" t="n">
        <v>44930</v>
      </c>
      <c r="C433" s="1" t="n">
        <v>45938</v>
      </c>
      <c r="D433" t="inlineStr">
        <is>
          <t>ÖSTERGÖTLANDS LÄN</t>
        </is>
      </c>
      <c r="E433" t="inlineStr">
        <is>
          <t>LINKÖPING</t>
        </is>
      </c>
      <c r="F433" t="inlineStr">
        <is>
          <t>Övriga statliga verk och myndigheter</t>
        </is>
      </c>
      <c r="G433" t="n">
        <v>25.8</v>
      </c>
      <c r="H433" t="n">
        <v>0</v>
      </c>
      <c r="I433" t="n">
        <v>0</v>
      </c>
      <c r="J433" t="n">
        <v>0</v>
      </c>
      <c r="K433" t="n">
        <v>0</v>
      </c>
      <c r="L433" t="n">
        <v>0</v>
      </c>
      <c r="M433" t="n">
        <v>0</v>
      </c>
      <c r="N433" t="n">
        <v>0</v>
      </c>
      <c r="O433" t="n">
        <v>0</v>
      </c>
      <c r="P433" t="n">
        <v>0</v>
      </c>
      <c r="Q433" t="n">
        <v>0</v>
      </c>
      <c r="R433" s="2" t="inlineStr"/>
    </row>
    <row r="434" ht="15" customHeight="1">
      <c r="A434" t="inlineStr">
        <is>
          <t>A 19362-2023</t>
        </is>
      </c>
      <c r="B434" s="1" t="n">
        <v>45049</v>
      </c>
      <c r="C434" s="1" t="n">
        <v>45938</v>
      </c>
      <c r="D434" t="inlineStr">
        <is>
          <t>ÖSTERGÖTLANDS LÄN</t>
        </is>
      </c>
      <c r="E434" t="inlineStr">
        <is>
          <t>LINKÖPING</t>
        </is>
      </c>
      <c r="G434" t="n">
        <v>0.1</v>
      </c>
      <c r="H434" t="n">
        <v>0</v>
      </c>
      <c r="I434" t="n">
        <v>0</v>
      </c>
      <c r="J434" t="n">
        <v>0</v>
      </c>
      <c r="K434" t="n">
        <v>0</v>
      </c>
      <c r="L434" t="n">
        <v>0</v>
      </c>
      <c r="M434" t="n">
        <v>0</v>
      </c>
      <c r="N434" t="n">
        <v>0</v>
      </c>
      <c r="O434" t="n">
        <v>0</v>
      </c>
      <c r="P434" t="n">
        <v>0</v>
      </c>
      <c r="Q434" t="n">
        <v>0</v>
      </c>
      <c r="R434" s="2" t="inlineStr"/>
    </row>
    <row r="435" ht="15" customHeight="1">
      <c r="A435" t="inlineStr">
        <is>
          <t>A 10407-2025</t>
        </is>
      </c>
      <c r="B435" s="1" t="n">
        <v>45720.62863425926</v>
      </c>
      <c r="C435" s="1" t="n">
        <v>45938</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11590-2023</t>
        </is>
      </c>
      <c r="B436" s="1" t="n">
        <v>44994.36689814815</v>
      </c>
      <c r="C436" s="1" t="n">
        <v>45938</v>
      </c>
      <c r="D436" t="inlineStr">
        <is>
          <t>ÖSTERGÖTLANDS LÄN</t>
        </is>
      </c>
      <c r="E436" t="inlineStr">
        <is>
          <t>LINKÖPING</t>
        </is>
      </c>
      <c r="G436" t="n">
        <v>3.1</v>
      </c>
      <c r="H436" t="n">
        <v>0</v>
      </c>
      <c r="I436" t="n">
        <v>0</v>
      </c>
      <c r="J436" t="n">
        <v>0</v>
      </c>
      <c r="K436" t="n">
        <v>0</v>
      </c>
      <c r="L436" t="n">
        <v>0</v>
      </c>
      <c r="M436" t="n">
        <v>0</v>
      </c>
      <c r="N436" t="n">
        <v>0</v>
      </c>
      <c r="O436" t="n">
        <v>0</v>
      </c>
      <c r="P436" t="n">
        <v>0</v>
      </c>
      <c r="Q436" t="n">
        <v>0</v>
      </c>
      <c r="R436" s="2" t="inlineStr"/>
    </row>
    <row r="437" ht="15" customHeight="1">
      <c r="A437" t="inlineStr">
        <is>
          <t>A 19169-2023</t>
        </is>
      </c>
      <c r="B437" s="1" t="n">
        <v>45044</v>
      </c>
      <c r="C437" s="1" t="n">
        <v>45938</v>
      </c>
      <c r="D437" t="inlineStr">
        <is>
          <t>ÖSTERGÖTLANDS LÄN</t>
        </is>
      </c>
      <c r="E437" t="inlineStr">
        <is>
          <t>LINKÖPING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19132-2023</t>
        </is>
      </c>
      <c r="B438" s="1" t="n">
        <v>45048.54754629629</v>
      </c>
      <c r="C438" s="1" t="n">
        <v>45938</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672-2024</t>
        </is>
      </c>
      <c r="B439" s="1" t="n">
        <v>45300</v>
      </c>
      <c r="C439" s="1" t="n">
        <v>45938</v>
      </c>
      <c r="D439" t="inlineStr">
        <is>
          <t>ÖSTERGÖTLANDS LÄN</t>
        </is>
      </c>
      <c r="E439" t="inlineStr">
        <is>
          <t>LINKÖPING</t>
        </is>
      </c>
      <c r="F439" t="inlineStr">
        <is>
          <t>Sveaskog</t>
        </is>
      </c>
      <c r="G439" t="n">
        <v>4.5</v>
      </c>
      <c r="H439" t="n">
        <v>0</v>
      </c>
      <c r="I439" t="n">
        <v>0</v>
      </c>
      <c r="J439" t="n">
        <v>0</v>
      </c>
      <c r="K439" t="n">
        <v>0</v>
      </c>
      <c r="L439" t="n">
        <v>0</v>
      </c>
      <c r="M439" t="n">
        <v>0</v>
      </c>
      <c r="N439" t="n">
        <v>0</v>
      </c>
      <c r="O439" t="n">
        <v>0</v>
      </c>
      <c r="P439" t="n">
        <v>0</v>
      </c>
      <c r="Q439" t="n">
        <v>0</v>
      </c>
      <c r="R439" s="2" t="inlineStr"/>
    </row>
    <row r="440" ht="15" customHeight="1">
      <c r="A440" t="inlineStr">
        <is>
          <t>A 55493-2021</t>
        </is>
      </c>
      <c r="B440" s="1" t="n">
        <v>44475.61988425926</v>
      </c>
      <c r="C440" s="1" t="n">
        <v>45938</v>
      </c>
      <c r="D440" t="inlineStr">
        <is>
          <t>ÖSTERGÖTLANDS LÄN</t>
        </is>
      </c>
      <c r="E440" t="inlineStr">
        <is>
          <t>LINKÖPING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55632-2022</t>
        </is>
      </c>
      <c r="B441" s="1" t="n">
        <v>44888</v>
      </c>
      <c r="C441" s="1" t="n">
        <v>45938</v>
      </c>
      <c r="D441" t="inlineStr">
        <is>
          <t>ÖSTERGÖTLANDS LÄN</t>
        </is>
      </c>
      <c r="E441" t="inlineStr">
        <is>
          <t>LINKÖPING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63559-2023</t>
        </is>
      </c>
      <c r="B442" s="1" t="n">
        <v>45275.35924768518</v>
      </c>
      <c r="C442" s="1" t="n">
        <v>45938</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14093-2024</t>
        </is>
      </c>
      <c r="B443" s="1" t="n">
        <v>45392.60278935185</v>
      </c>
      <c r="C443" s="1" t="n">
        <v>45938</v>
      </c>
      <c r="D443" t="inlineStr">
        <is>
          <t>ÖSTERGÖTLANDS LÄN</t>
        </is>
      </c>
      <c r="E443" t="inlineStr">
        <is>
          <t>LINKÖPING</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62019-2024</t>
        </is>
      </c>
      <c r="B444" s="1" t="n">
        <v>45655.82</v>
      </c>
      <c r="C444" s="1" t="n">
        <v>45938</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10253-2022</t>
        </is>
      </c>
      <c r="B445" s="1" t="n">
        <v>44622</v>
      </c>
      <c r="C445" s="1" t="n">
        <v>45938</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25119-2023</t>
        </is>
      </c>
      <c r="B446" s="1" t="n">
        <v>45086.42326388889</v>
      </c>
      <c r="C446" s="1" t="n">
        <v>45938</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58114-2021</t>
        </is>
      </c>
      <c r="B447" s="1" t="n">
        <v>44487</v>
      </c>
      <c r="C447" s="1" t="n">
        <v>45938</v>
      </c>
      <c r="D447" t="inlineStr">
        <is>
          <t>ÖSTERGÖTLANDS LÄN</t>
        </is>
      </c>
      <c r="E447" t="inlineStr">
        <is>
          <t>LINKÖPING</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57396-2021</t>
        </is>
      </c>
      <c r="B448" s="1" t="n">
        <v>44483.56151620371</v>
      </c>
      <c r="C448" s="1" t="n">
        <v>45938</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51571-2024</t>
        </is>
      </c>
      <c r="B449" s="1" t="n">
        <v>45604</v>
      </c>
      <c r="C449" s="1" t="n">
        <v>45938</v>
      </c>
      <c r="D449" t="inlineStr">
        <is>
          <t>ÖSTERGÖTLANDS LÄN</t>
        </is>
      </c>
      <c r="E449" t="inlineStr">
        <is>
          <t>LINKÖPING</t>
        </is>
      </c>
      <c r="F449" t="inlineStr">
        <is>
          <t>Övriga Aktiebolag</t>
        </is>
      </c>
      <c r="G449" t="n">
        <v>1.4</v>
      </c>
      <c r="H449" t="n">
        <v>0</v>
      </c>
      <c r="I449" t="n">
        <v>0</v>
      </c>
      <c r="J449" t="n">
        <v>0</v>
      </c>
      <c r="K449" t="n">
        <v>0</v>
      </c>
      <c r="L449" t="n">
        <v>0</v>
      </c>
      <c r="M449" t="n">
        <v>0</v>
      </c>
      <c r="N449" t="n">
        <v>0</v>
      </c>
      <c r="O449" t="n">
        <v>0</v>
      </c>
      <c r="P449" t="n">
        <v>0</v>
      </c>
      <c r="Q449" t="n">
        <v>0</v>
      </c>
      <c r="R449" s="2" t="inlineStr"/>
    </row>
    <row r="450" ht="15" customHeight="1">
      <c r="A450" t="inlineStr">
        <is>
          <t>A 31635-2023</t>
        </is>
      </c>
      <c r="B450" s="1" t="n">
        <v>45105</v>
      </c>
      <c r="C450" s="1" t="n">
        <v>45938</v>
      </c>
      <c r="D450" t="inlineStr">
        <is>
          <t>ÖSTERGÖTLANDS LÄN</t>
        </is>
      </c>
      <c r="E450" t="inlineStr">
        <is>
          <t>LINKÖPING</t>
        </is>
      </c>
      <c r="F450" t="inlineStr">
        <is>
          <t>Övriga statliga verk och myndigheter</t>
        </is>
      </c>
      <c r="G450" t="n">
        <v>4.6</v>
      </c>
      <c r="H450" t="n">
        <v>0</v>
      </c>
      <c r="I450" t="n">
        <v>0</v>
      </c>
      <c r="J450" t="n">
        <v>0</v>
      </c>
      <c r="K450" t="n">
        <v>0</v>
      </c>
      <c r="L450" t="n">
        <v>0</v>
      </c>
      <c r="M450" t="n">
        <v>0</v>
      </c>
      <c r="N450" t="n">
        <v>0</v>
      </c>
      <c r="O450" t="n">
        <v>0</v>
      </c>
      <c r="P450" t="n">
        <v>0</v>
      </c>
      <c r="Q450" t="n">
        <v>0</v>
      </c>
      <c r="R450" s="2" t="inlineStr"/>
    </row>
    <row r="451" ht="15" customHeight="1">
      <c r="A451" t="inlineStr">
        <is>
          <t>A 20296-2025</t>
        </is>
      </c>
      <c r="B451" s="1" t="n">
        <v>45774.74922453704</v>
      </c>
      <c r="C451" s="1" t="n">
        <v>45938</v>
      </c>
      <c r="D451" t="inlineStr">
        <is>
          <t>ÖSTERGÖTLANDS LÄN</t>
        </is>
      </c>
      <c r="E451" t="inlineStr">
        <is>
          <t>LINKÖPING</t>
        </is>
      </c>
      <c r="G451" t="n">
        <v>2.2</v>
      </c>
      <c r="H451" t="n">
        <v>0</v>
      </c>
      <c r="I451" t="n">
        <v>0</v>
      </c>
      <c r="J451" t="n">
        <v>0</v>
      </c>
      <c r="K451" t="n">
        <v>0</v>
      </c>
      <c r="L451" t="n">
        <v>0</v>
      </c>
      <c r="M451" t="n">
        <v>0</v>
      </c>
      <c r="N451" t="n">
        <v>0</v>
      </c>
      <c r="O451" t="n">
        <v>0</v>
      </c>
      <c r="P451" t="n">
        <v>0</v>
      </c>
      <c r="Q451" t="n">
        <v>0</v>
      </c>
      <c r="R451" s="2" t="inlineStr"/>
    </row>
    <row r="452" ht="15" customHeight="1">
      <c r="A452" t="inlineStr">
        <is>
          <t>A 67129-2020</t>
        </is>
      </c>
      <c r="B452" s="1" t="n">
        <v>44180</v>
      </c>
      <c r="C452" s="1" t="n">
        <v>45938</v>
      </c>
      <c r="D452" t="inlineStr">
        <is>
          <t>ÖSTERGÖTLANDS LÄN</t>
        </is>
      </c>
      <c r="E452" t="inlineStr">
        <is>
          <t>LINKÖPING</t>
        </is>
      </c>
      <c r="F452" t="inlineStr">
        <is>
          <t>Övriga statliga verk och myndigheter</t>
        </is>
      </c>
      <c r="G452" t="n">
        <v>2.7</v>
      </c>
      <c r="H452" t="n">
        <v>0</v>
      </c>
      <c r="I452" t="n">
        <v>0</v>
      </c>
      <c r="J452" t="n">
        <v>0</v>
      </c>
      <c r="K452" t="n">
        <v>0</v>
      </c>
      <c r="L452" t="n">
        <v>0</v>
      </c>
      <c r="M452" t="n">
        <v>0</v>
      </c>
      <c r="N452" t="n">
        <v>0</v>
      </c>
      <c r="O452" t="n">
        <v>0</v>
      </c>
      <c r="P452" t="n">
        <v>0</v>
      </c>
      <c r="Q452" t="n">
        <v>0</v>
      </c>
      <c r="R452" s="2" t="inlineStr"/>
    </row>
    <row r="453" ht="15" customHeight="1">
      <c r="A453" t="inlineStr">
        <is>
          <t>A 17143-2025</t>
        </is>
      </c>
      <c r="B453" s="1" t="n">
        <v>45755.92731481481</v>
      </c>
      <c r="C453" s="1" t="n">
        <v>45938</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22770-2024</t>
        </is>
      </c>
      <c r="B454" s="1" t="n">
        <v>45448.4634375</v>
      </c>
      <c r="C454" s="1" t="n">
        <v>45938</v>
      </c>
      <c r="D454" t="inlineStr">
        <is>
          <t>ÖSTERGÖTLANDS LÄN</t>
        </is>
      </c>
      <c r="E454" t="inlineStr">
        <is>
          <t>LINKÖPING</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55944-2024</t>
        </is>
      </c>
      <c r="B455" s="1" t="n">
        <v>45623.61640046296</v>
      </c>
      <c r="C455" s="1" t="n">
        <v>45938</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55947-2024</t>
        </is>
      </c>
      <c r="B456" s="1" t="n">
        <v>45623</v>
      </c>
      <c r="C456" s="1" t="n">
        <v>45938</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3374-2023</t>
        </is>
      </c>
      <c r="B457" s="1" t="n">
        <v>44949</v>
      </c>
      <c r="C457" s="1" t="n">
        <v>45938</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24151-2024</t>
        </is>
      </c>
      <c r="B458" s="1" t="n">
        <v>45456.67717592593</v>
      </c>
      <c r="C458" s="1" t="n">
        <v>45938</v>
      </c>
      <c r="D458" t="inlineStr">
        <is>
          <t>ÖSTERGÖTLANDS LÄN</t>
        </is>
      </c>
      <c r="E458" t="inlineStr">
        <is>
          <t>LINKÖPING</t>
        </is>
      </c>
      <c r="G458" t="n">
        <v>2.1</v>
      </c>
      <c r="H458" t="n">
        <v>0</v>
      </c>
      <c r="I458" t="n">
        <v>0</v>
      </c>
      <c r="J458" t="n">
        <v>0</v>
      </c>
      <c r="K458" t="n">
        <v>0</v>
      </c>
      <c r="L458" t="n">
        <v>0</v>
      </c>
      <c r="M458" t="n">
        <v>0</v>
      </c>
      <c r="N458" t="n">
        <v>0</v>
      </c>
      <c r="O458" t="n">
        <v>0</v>
      </c>
      <c r="P458" t="n">
        <v>0</v>
      </c>
      <c r="Q458" t="n">
        <v>0</v>
      </c>
      <c r="R458" s="2" t="inlineStr"/>
    </row>
    <row r="459" ht="15" customHeight="1">
      <c r="A459" t="inlineStr">
        <is>
          <t>A 11595-2025</t>
        </is>
      </c>
      <c r="B459" s="1" t="n">
        <v>45727.41893518518</v>
      </c>
      <c r="C459" s="1" t="n">
        <v>45938</v>
      </c>
      <c r="D459" t="inlineStr">
        <is>
          <t>ÖSTERGÖTLANDS LÄN</t>
        </is>
      </c>
      <c r="E459" t="inlineStr">
        <is>
          <t>LINKÖPING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17124-2025</t>
        </is>
      </c>
      <c r="B460" s="1" t="n">
        <v>45755.69678240741</v>
      </c>
      <c r="C460" s="1" t="n">
        <v>45938</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17126-2025</t>
        </is>
      </c>
      <c r="B461" s="1" t="n">
        <v>45755.70814814815</v>
      </c>
      <c r="C461" s="1" t="n">
        <v>45938</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31640-2023</t>
        </is>
      </c>
      <c r="B462" s="1" t="n">
        <v>45117</v>
      </c>
      <c r="C462" s="1" t="n">
        <v>45938</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48839-2022</t>
        </is>
      </c>
      <c r="B463" s="1" t="n">
        <v>44859</v>
      </c>
      <c r="C463" s="1" t="n">
        <v>45938</v>
      </c>
      <c r="D463" t="inlineStr">
        <is>
          <t>ÖSTERGÖTLANDS LÄN</t>
        </is>
      </c>
      <c r="E463" t="inlineStr">
        <is>
          <t>LINKÖPING</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8967-2025</t>
        </is>
      </c>
      <c r="B464" s="1" t="n">
        <v>45712</v>
      </c>
      <c r="C464" s="1" t="n">
        <v>45938</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11790-2024</t>
        </is>
      </c>
      <c r="B465" s="1" t="n">
        <v>45374</v>
      </c>
      <c r="C465" s="1" t="n">
        <v>45938</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67123-2020</t>
        </is>
      </c>
      <c r="B466" s="1" t="n">
        <v>44180</v>
      </c>
      <c r="C466" s="1" t="n">
        <v>45938</v>
      </c>
      <c r="D466" t="inlineStr">
        <is>
          <t>ÖSTERGÖTLANDS LÄN</t>
        </is>
      </c>
      <c r="E466" t="inlineStr">
        <is>
          <t>LINKÖPING</t>
        </is>
      </c>
      <c r="F466" t="inlineStr">
        <is>
          <t>Övriga statliga verk och myndigheter</t>
        </is>
      </c>
      <c r="G466" t="n">
        <v>1.3</v>
      </c>
      <c r="H466" t="n">
        <v>0</v>
      </c>
      <c r="I466" t="n">
        <v>0</v>
      </c>
      <c r="J466" t="n">
        <v>0</v>
      </c>
      <c r="K466" t="n">
        <v>0</v>
      </c>
      <c r="L466" t="n">
        <v>0</v>
      </c>
      <c r="M466" t="n">
        <v>0</v>
      </c>
      <c r="N466" t="n">
        <v>0</v>
      </c>
      <c r="O466" t="n">
        <v>0</v>
      </c>
      <c r="P466" t="n">
        <v>0</v>
      </c>
      <c r="Q466" t="n">
        <v>0</v>
      </c>
      <c r="R466" s="2" t="inlineStr"/>
    </row>
    <row r="467" ht="15" customHeight="1">
      <c r="A467" t="inlineStr">
        <is>
          <t>A 61281-2021</t>
        </is>
      </c>
      <c r="B467" s="1" t="n">
        <v>44498.60736111111</v>
      </c>
      <c r="C467" s="1" t="n">
        <v>45938</v>
      </c>
      <c r="D467" t="inlineStr">
        <is>
          <t>ÖSTERGÖTLANDS LÄN</t>
        </is>
      </c>
      <c r="E467" t="inlineStr">
        <is>
          <t>LINKÖPING</t>
        </is>
      </c>
      <c r="G467" t="n">
        <v>4.5</v>
      </c>
      <c r="H467" t="n">
        <v>0</v>
      </c>
      <c r="I467" t="n">
        <v>0</v>
      </c>
      <c r="J467" t="n">
        <v>0</v>
      </c>
      <c r="K467" t="n">
        <v>0</v>
      </c>
      <c r="L467" t="n">
        <v>0</v>
      </c>
      <c r="M467" t="n">
        <v>0</v>
      </c>
      <c r="N467" t="n">
        <v>0</v>
      </c>
      <c r="O467" t="n">
        <v>0</v>
      </c>
      <c r="P467" t="n">
        <v>0</v>
      </c>
      <c r="Q467" t="n">
        <v>0</v>
      </c>
      <c r="R467" s="2" t="inlineStr"/>
    </row>
    <row r="468" ht="15" customHeight="1">
      <c r="A468" t="inlineStr">
        <is>
          <t>A 63678-2023</t>
        </is>
      </c>
      <c r="B468" s="1" t="n">
        <v>45275.64769675926</v>
      </c>
      <c r="C468" s="1" t="n">
        <v>45938</v>
      </c>
      <c r="D468" t="inlineStr">
        <is>
          <t>ÖSTERGÖTLANDS LÄN</t>
        </is>
      </c>
      <c r="E468" t="inlineStr">
        <is>
          <t>LINKÖPING</t>
        </is>
      </c>
      <c r="F468" t="inlineStr">
        <is>
          <t>Övriga Aktiebolag</t>
        </is>
      </c>
      <c r="G468" t="n">
        <v>0.4</v>
      </c>
      <c r="H468" t="n">
        <v>0</v>
      </c>
      <c r="I468" t="n">
        <v>0</v>
      </c>
      <c r="J468" t="n">
        <v>0</v>
      </c>
      <c r="K468" t="n">
        <v>0</v>
      </c>
      <c r="L468" t="n">
        <v>0</v>
      </c>
      <c r="M468" t="n">
        <v>0</v>
      </c>
      <c r="N468" t="n">
        <v>0</v>
      </c>
      <c r="O468" t="n">
        <v>0</v>
      </c>
      <c r="P468" t="n">
        <v>0</v>
      </c>
      <c r="Q468" t="n">
        <v>0</v>
      </c>
      <c r="R468" s="2" t="inlineStr"/>
    </row>
    <row r="469" ht="15" customHeight="1">
      <c r="A469" t="inlineStr">
        <is>
          <t>A 14576-2023</t>
        </is>
      </c>
      <c r="B469" s="1" t="n">
        <v>45013</v>
      </c>
      <c r="C469" s="1" t="n">
        <v>45938</v>
      </c>
      <c r="D469" t="inlineStr">
        <is>
          <t>ÖSTERGÖTLANDS LÄN</t>
        </is>
      </c>
      <c r="E469" t="inlineStr">
        <is>
          <t>LINKÖPING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6206-2024</t>
        </is>
      </c>
      <c r="B470" s="1" t="n">
        <v>45337.5977662037</v>
      </c>
      <c r="C470" s="1" t="n">
        <v>45938</v>
      </c>
      <c r="D470" t="inlineStr">
        <is>
          <t>ÖSTERGÖTLANDS LÄN</t>
        </is>
      </c>
      <c r="E470" t="inlineStr">
        <is>
          <t>LINKÖPING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168-2024</t>
        </is>
      </c>
      <c r="B471" s="1" t="n">
        <v>45294</v>
      </c>
      <c r="C471" s="1" t="n">
        <v>45938</v>
      </c>
      <c r="D471" t="inlineStr">
        <is>
          <t>ÖSTERGÖTLANDS LÄN</t>
        </is>
      </c>
      <c r="E471" t="inlineStr">
        <is>
          <t>LINKÖPING</t>
        </is>
      </c>
      <c r="F471" t="inlineStr">
        <is>
          <t>Allmännings- och besparingsskogar</t>
        </is>
      </c>
      <c r="G471" t="n">
        <v>8.9</v>
      </c>
      <c r="H471" t="n">
        <v>0</v>
      </c>
      <c r="I471" t="n">
        <v>0</v>
      </c>
      <c r="J471" t="n">
        <v>0</v>
      </c>
      <c r="K471" t="n">
        <v>0</v>
      </c>
      <c r="L471" t="n">
        <v>0</v>
      </c>
      <c r="M471" t="n">
        <v>0</v>
      </c>
      <c r="N471" t="n">
        <v>0</v>
      </c>
      <c r="O471" t="n">
        <v>0</v>
      </c>
      <c r="P471" t="n">
        <v>0</v>
      </c>
      <c r="Q471" t="n">
        <v>0</v>
      </c>
      <c r="R471" s="2" t="inlineStr"/>
    </row>
    <row r="472" ht="15" customHeight="1">
      <c r="A472" t="inlineStr">
        <is>
          <t>A 74160-2021</t>
        </is>
      </c>
      <c r="B472" s="1" t="n">
        <v>44558</v>
      </c>
      <c r="C472" s="1" t="n">
        <v>45938</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51919-2024</t>
        </is>
      </c>
      <c r="B473" s="1" t="n">
        <v>45607.60791666667</v>
      </c>
      <c r="C473" s="1" t="n">
        <v>45938</v>
      </c>
      <c r="D473" t="inlineStr">
        <is>
          <t>ÖSTERGÖTLANDS LÄN</t>
        </is>
      </c>
      <c r="E473" t="inlineStr">
        <is>
          <t>LINKÖPING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1844-2025</t>
        </is>
      </c>
      <c r="B474" s="1" t="n">
        <v>45671.57730324074</v>
      </c>
      <c r="C474" s="1" t="n">
        <v>45938</v>
      </c>
      <c r="D474" t="inlineStr">
        <is>
          <t>ÖSTERGÖTLANDS LÄN</t>
        </is>
      </c>
      <c r="E474" t="inlineStr">
        <is>
          <t>LINKÖPING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56623-2024</t>
        </is>
      </c>
      <c r="B475" s="1" t="n">
        <v>45625</v>
      </c>
      <c r="C475" s="1" t="n">
        <v>45938</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11330-2023</t>
        </is>
      </c>
      <c r="B476" s="1" t="n">
        <v>44993.24648148148</v>
      </c>
      <c r="C476" s="1" t="n">
        <v>45938</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63304-2021</t>
        </is>
      </c>
      <c r="B477" s="1" t="n">
        <v>44508.4396412037</v>
      </c>
      <c r="C477" s="1" t="n">
        <v>45938</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14528-2025</t>
        </is>
      </c>
      <c r="B478" s="1" t="n">
        <v>45741</v>
      </c>
      <c r="C478" s="1" t="n">
        <v>45938</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21165-2025</t>
        </is>
      </c>
      <c r="B479" s="1" t="n">
        <v>45779.39417824074</v>
      </c>
      <c r="C479" s="1" t="n">
        <v>45938</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27766-2022</t>
        </is>
      </c>
      <c r="B480" s="1" t="n">
        <v>44743.53112268518</v>
      </c>
      <c r="C480" s="1" t="n">
        <v>45938</v>
      </c>
      <c r="D480" t="inlineStr">
        <is>
          <t>ÖSTERGÖTLANDS LÄN</t>
        </is>
      </c>
      <c r="E480" t="inlineStr">
        <is>
          <t>LINKÖPING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21155-2025</t>
        </is>
      </c>
      <c r="B481" s="1" t="n">
        <v>45779.37586805555</v>
      </c>
      <c r="C481" s="1" t="n">
        <v>45938</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53641-2023</t>
        </is>
      </c>
      <c r="B482" s="1" t="n">
        <v>45230</v>
      </c>
      <c r="C482" s="1" t="n">
        <v>45938</v>
      </c>
      <c r="D482" t="inlineStr">
        <is>
          <t>ÖSTERGÖTLANDS LÄN</t>
        </is>
      </c>
      <c r="E482" t="inlineStr">
        <is>
          <t>LINKÖPING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3530-2024</t>
        </is>
      </c>
      <c r="B483" s="1" t="n">
        <v>45320.54717592592</v>
      </c>
      <c r="C483" s="1" t="n">
        <v>45938</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62073-2023</t>
        </is>
      </c>
      <c r="B484" s="1" t="n">
        <v>45266.73844907407</v>
      </c>
      <c r="C484" s="1" t="n">
        <v>45938</v>
      </c>
      <c r="D484" t="inlineStr">
        <is>
          <t>ÖSTERGÖTLANDS LÄN</t>
        </is>
      </c>
      <c r="E484" t="inlineStr">
        <is>
          <t>LINKÖPING</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33000-2023</t>
        </is>
      </c>
      <c r="B485" s="1" t="n">
        <v>45125</v>
      </c>
      <c r="C485" s="1" t="n">
        <v>45938</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5872-2025</t>
        </is>
      </c>
      <c r="B486" s="1" t="n">
        <v>45695.36659722222</v>
      </c>
      <c r="C486" s="1" t="n">
        <v>45938</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52892-2024</t>
        </is>
      </c>
      <c r="B487" s="1" t="n">
        <v>45610</v>
      </c>
      <c r="C487" s="1" t="n">
        <v>45938</v>
      </c>
      <c r="D487" t="inlineStr">
        <is>
          <t>ÖSTERGÖTLANDS LÄN</t>
        </is>
      </c>
      <c r="E487" t="inlineStr">
        <is>
          <t>LINKÖPING</t>
        </is>
      </c>
      <c r="G487" t="n">
        <v>4.2</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45938</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3432-2023</t>
        </is>
      </c>
      <c r="B489" s="1" t="n">
        <v>44949</v>
      </c>
      <c r="C489" s="1" t="n">
        <v>45938</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54425-2022</t>
        </is>
      </c>
      <c r="B490" s="1" t="n">
        <v>44882.57453703704</v>
      </c>
      <c r="C490" s="1" t="n">
        <v>45938</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54428-2022</t>
        </is>
      </c>
      <c r="B491" s="1" t="n">
        <v>44882.57643518518</v>
      </c>
      <c r="C491" s="1" t="n">
        <v>45938</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30521-2024</t>
        </is>
      </c>
      <c r="B492" s="1" t="n">
        <v>45492</v>
      </c>
      <c r="C492" s="1" t="n">
        <v>45938</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51191-2022</t>
        </is>
      </c>
      <c r="B493" s="1" t="n">
        <v>44865</v>
      </c>
      <c r="C493" s="1" t="n">
        <v>45938</v>
      </c>
      <c r="D493" t="inlineStr">
        <is>
          <t>ÖSTERGÖTLANDS LÄN</t>
        </is>
      </c>
      <c r="E493" t="inlineStr">
        <is>
          <t>LINKÖPING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12289-2025</t>
        </is>
      </c>
      <c r="B494" s="1" t="n">
        <v>45729</v>
      </c>
      <c r="C494" s="1" t="n">
        <v>45938</v>
      </c>
      <c r="D494" t="inlineStr">
        <is>
          <t>ÖSTERGÖTLANDS LÄN</t>
        </is>
      </c>
      <c r="E494" t="inlineStr">
        <is>
          <t>LINKÖPING</t>
        </is>
      </c>
      <c r="F494" t="inlineStr">
        <is>
          <t>Övriga statliga verk och myndigheter</t>
        </is>
      </c>
      <c r="G494" t="n">
        <v>6.5</v>
      </c>
      <c r="H494" t="n">
        <v>0</v>
      </c>
      <c r="I494" t="n">
        <v>0</v>
      </c>
      <c r="J494" t="n">
        <v>0</v>
      </c>
      <c r="K494" t="n">
        <v>0</v>
      </c>
      <c r="L494" t="n">
        <v>0</v>
      </c>
      <c r="M494" t="n">
        <v>0</v>
      </c>
      <c r="N494" t="n">
        <v>0</v>
      </c>
      <c r="O494" t="n">
        <v>0</v>
      </c>
      <c r="P494" t="n">
        <v>0</v>
      </c>
      <c r="Q494" t="n">
        <v>0</v>
      </c>
      <c r="R494" s="2" t="inlineStr"/>
    </row>
    <row r="495" ht="15" customHeight="1">
      <c r="A495" t="inlineStr">
        <is>
          <t>A 9434-2024</t>
        </is>
      </c>
      <c r="B495" s="1" t="n">
        <v>45359</v>
      </c>
      <c r="C495" s="1" t="n">
        <v>45938</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660-2023</t>
        </is>
      </c>
      <c r="B496" s="1" t="n">
        <v>44930</v>
      </c>
      <c r="C496" s="1" t="n">
        <v>45938</v>
      </c>
      <c r="D496" t="inlineStr">
        <is>
          <t>ÖSTERGÖTLANDS LÄN</t>
        </is>
      </c>
      <c r="E496" t="inlineStr">
        <is>
          <t>LINKÖPING</t>
        </is>
      </c>
      <c r="F496" t="inlineStr">
        <is>
          <t>Kyrkan</t>
        </is>
      </c>
      <c r="G496" t="n">
        <v>1.6</v>
      </c>
      <c r="H496" t="n">
        <v>0</v>
      </c>
      <c r="I496" t="n">
        <v>0</v>
      </c>
      <c r="J496" t="n">
        <v>0</v>
      </c>
      <c r="K496" t="n">
        <v>0</v>
      </c>
      <c r="L496" t="n">
        <v>0</v>
      </c>
      <c r="M496" t="n">
        <v>0</v>
      </c>
      <c r="N496" t="n">
        <v>0</v>
      </c>
      <c r="O496" t="n">
        <v>0</v>
      </c>
      <c r="P496" t="n">
        <v>0</v>
      </c>
      <c r="Q496" t="n">
        <v>0</v>
      </c>
      <c r="R496" s="2" t="inlineStr"/>
    </row>
    <row r="497" ht="15" customHeight="1">
      <c r="A497" t="inlineStr">
        <is>
          <t>A 62501-2023</t>
        </is>
      </c>
      <c r="B497" s="1" t="n">
        <v>45268</v>
      </c>
      <c r="C497" s="1" t="n">
        <v>45938</v>
      </c>
      <c r="D497" t="inlineStr">
        <is>
          <t>ÖSTERGÖTLANDS LÄN</t>
        </is>
      </c>
      <c r="E497" t="inlineStr">
        <is>
          <t>LINKÖPING</t>
        </is>
      </c>
      <c r="G497" t="n">
        <v>7.4</v>
      </c>
      <c r="H497" t="n">
        <v>0</v>
      </c>
      <c r="I497" t="n">
        <v>0</v>
      </c>
      <c r="J497" t="n">
        <v>0</v>
      </c>
      <c r="K497" t="n">
        <v>0</v>
      </c>
      <c r="L497" t="n">
        <v>0</v>
      </c>
      <c r="M497" t="n">
        <v>0</v>
      </c>
      <c r="N497" t="n">
        <v>0</v>
      </c>
      <c r="O497" t="n">
        <v>0</v>
      </c>
      <c r="P497" t="n">
        <v>0</v>
      </c>
      <c r="Q497" t="n">
        <v>0</v>
      </c>
      <c r="R497" s="2" t="inlineStr"/>
    </row>
    <row r="498" ht="15" customHeight="1">
      <c r="A498" t="inlineStr">
        <is>
          <t>A 13413-2023</t>
        </is>
      </c>
      <c r="B498" s="1" t="n">
        <v>45005.58341435185</v>
      </c>
      <c r="C498" s="1" t="n">
        <v>45938</v>
      </c>
      <c r="D498" t="inlineStr">
        <is>
          <t>ÖSTERGÖTLANDS LÄN</t>
        </is>
      </c>
      <c r="E498" t="inlineStr">
        <is>
          <t>LINKÖPING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42054-2022</t>
        </is>
      </c>
      <c r="B499" s="1" t="n">
        <v>44830</v>
      </c>
      <c r="C499" s="1" t="n">
        <v>45938</v>
      </c>
      <c r="D499" t="inlineStr">
        <is>
          <t>ÖSTERGÖTLANDS LÄN</t>
        </is>
      </c>
      <c r="E499" t="inlineStr">
        <is>
          <t>LINKÖPING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22264-2025</t>
        </is>
      </c>
      <c r="B500" s="1" t="n">
        <v>45785</v>
      </c>
      <c r="C500" s="1" t="n">
        <v>45938</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26620-2023</t>
        </is>
      </c>
      <c r="B501" s="1" t="n">
        <v>45092.70390046296</v>
      </c>
      <c r="C501" s="1" t="n">
        <v>45938</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50182-2023</t>
        </is>
      </c>
      <c r="B502" s="1" t="n">
        <v>45208</v>
      </c>
      <c r="C502" s="1" t="n">
        <v>45938</v>
      </c>
      <c r="D502" t="inlineStr">
        <is>
          <t>ÖSTERGÖTLANDS LÄN</t>
        </is>
      </c>
      <c r="E502" t="inlineStr">
        <is>
          <t>LINKÖPING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62374-2020</t>
        </is>
      </c>
      <c r="B503" s="1" t="n">
        <v>44159</v>
      </c>
      <c r="C503" s="1" t="n">
        <v>45938</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35781-2023</t>
        </is>
      </c>
      <c r="B504" s="1" t="n">
        <v>45147</v>
      </c>
      <c r="C504" s="1" t="n">
        <v>45938</v>
      </c>
      <c r="D504" t="inlineStr">
        <is>
          <t>ÖSTERGÖTLANDS LÄN</t>
        </is>
      </c>
      <c r="E504" t="inlineStr">
        <is>
          <t>LINKÖPING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9473-2024</t>
        </is>
      </c>
      <c r="B505" s="1" t="n">
        <v>45359.55474537037</v>
      </c>
      <c r="C505" s="1" t="n">
        <v>45938</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16462-2021</t>
        </is>
      </c>
      <c r="B506" s="1" t="n">
        <v>44293</v>
      </c>
      <c r="C506" s="1" t="n">
        <v>45938</v>
      </c>
      <c r="D506" t="inlineStr">
        <is>
          <t>ÖSTERGÖTLANDS LÄN</t>
        </is>
      </c>
      <c r="E506" t="inlineStr">
        <is>
          <t>LINKÖPING</t>
        </is>
      </c>
      <c r="F506" t="inlineStr">
        <is>
          <t>Allmännings- och besparingsskogar</t>
        </is>
      </c>
      <c r="G506" t="n">
        <v>24.7</v>
      </c>
      <c r="H506" t="n">
        <v>0</v>
      </c>
      <c r="I506" t="n">
        <v>0</v>
      </c>
      <c r="J506" t="n">
        <v>0</v>
      </c>
      <c r="K506" t="n">
        <v>0</v>
      </c>
      <c r="L506" t="n">
        <v>0</v>
      </c>
      <c r="M506" t="n">
        <v>0</v>
      </c>
      <c r="N506" t="n">
        <v>0</v>
      </c>
      <c r="O506" t="n">
        <v>0</v>
      </c>
      <c r="P506" t="n">
        <v>0</v>
      </c>
      <c r="Q506" t="n">
        <v>0</v>
      </c>
      <c r="R506" s="2" t="inlineStr"/>
    </row>
    <row r="507" ht="15" customHeight="1">
      <c r="A507" t="inlineStr">
        <is>
          <t>A 6859-2024</t>
        </is>
      </c>
      <c r="B507" s="1" t="n">
        <v>45342</v>
      </c>
      <c r="C507" s="1" t="n">
        <v>45938</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44287-2024</t>
        </is>
      </c>
      <c r="B508" s="1" t="n">
        <v>45573.50582175926</v>
      </c>
      <c r="C508" s="1" t="n">
        <v>45938</v>
      </c>
      <c r="D508" t="inlineStr">
        <is>
          <t>ÖSTERGÖTLANDS LÄN</t>
        </is>
      </c>
      <c r="E508" t="inlineStr">
        <is>
          <t>LINKÖPING</t>
        </is>
      </c>
      <c r="G508" t="n">
        <v>12.7</v>
      </c>
      <c r="H508" t="n">
        <v>0</v>
      </c>
      <c r="I508" t="n">
        <v>0</v>
      </c>
      <c r="J508" t="n">
        <v>0</v>
      </c>
      <c r="K508" t="n">
        <v>0</v>
      </c>
      <c r="L508" t="n">
        <v>0</v>
      </c>
      <c r="M508" t="n">
        <v>0</v>
      </c>
      <c r="N508" t="n">
        <v>0</v>
      </c>
      <c r="O508" t="n">
        <v>0</v>
      </c>
      <c r="P508" t="n">
        <v>0</v>
      </c>
      <c r="Q508" t="n">
        <v>0</v>
      </c>
      <c r="R508" s="2" t="inlineStr"/>
    </row>
    <row r="509" ht="15" customHeight="1">
      <c r="A509" t="inlineStr">
        <is>
          <t>A 6387-2022</t>
        </is>
      </c>
      <c r="B509" s="1" t="n">
        <v>44600</v>
      </c>
      <c r="C509" s="1" t="n">
        <v>45938</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48707-2023</t>
        </is>
      </c>
      <c r="B510" s="1" t="n">
        <v>45202</v>
      </c>
      <c r="C510" s="1" t="n">
        <v>45938</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22364-2025</t>
        </is>
      </c>
      <c r="B511" s="1" t="n">
        <v>45786.46930555555</v>
      </c>
      <c r="C511" s="1" t="n">
        <v>45938</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572-2025</t>
        </is>
      </c>
      <c r="B512" s="1" t="n">
        <v>45664.56349537037</v>
      </c>
      <c r="C512" s="1" t="n">
        <v>45938</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10797-2024</t>
        </is>
      </c>
      <c r="B513" s="1" t="n">
        <v>45369.6190162037</v>
      </c>
      <c r="C513" s="1" t="n">
        <v>45938</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12089-2025</t>
        </is>
      </c>
      <c r="B514" s="1" t="n">
        <v>45729</v>
      </c>
      <c r="C514" s="1" t="n">
        <v>45938</v>
      </c>
      <c r="D514" t="inlineStr">
        <is>
          <t>ÖSTERGÖTLANDS LÄN</t>
        </is>
      </c>
      <c r="E514" t="inlineStr">
        <is>
          <t>LINKÖPING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63554-2023</t>
        </is>
      </c>
      <c r="B515" s="1" t="n">
        <v>45275</v>
      </c>
      <c r="C515" s="1" t="n">
        <v>45938</v>
      </c>
      <c r="D515" t="inlineStr">
        <is>
          <t>ÖSTERGÖTLANDS LÄN</t>
        </is>
      </c>
      <c r="E515" t="inlineStr">
        <is>
          <t>LINKÖPING</t>
        </is>
      </c>
      <c r="G515" t="n">
        <v>4.3</v>
      </c>
      <c r="H515" t="n">
        <v>0</v>
      </c>
      <c r="I515" t="n">
        <v>0</v>
      </c>
      <c r="J515" t="n">
        <v>0</v>
      </c>
      <c r="K515" t="n">
        <v>0</v>
      </c>
      <c r="L515" t="n">
        <v>0</v>
      </c>
      <c r="M515" t="n">
        <v>0</v>
      </c>
      <c r="N515" t="n">
        <v>0</v>
      </c>
      <c r="O515" t="n">
        <v>0</v>
      </c>
      <c r="P515" t="n">
        <v>0</v>
      </c>
      <c r="Q515" t="n">
        <v>0</v>
      </c>
      <c r="R515" s="2" t="inlineStr"/>
    </row>
    <row r="516" ht="15" customHeight="1">
      <c r="A516" t="inlineStr">
        <is>
          <t>A 38580-2024</t>
        </is>
      </c>
      <c r="B516" s="1" t="n">
        <v>45546.64825231482</v>
      </c>
      <c r="C516" s="1" t="n">
        <v>45938</v>
      </c>
      <c r="D516" t="inlineStr">
        <is>
          <t>ÖSTERGÖTLANDS LÄN</t>
        </is>
      </c>
      <c r="E516" t="inlineStr">
        <is>
          <t>LINKÖPING</t>
        </is>
      </c>
      <c r="G516" t="n">
        <v>4.8</v>
      </c>
      <c r="H516" t="n">
        <v>0</v>
      </c>
      <c r="I516" t="n">
        <v>0</v>
      </c>
      <c r="J516" t="n">
        <v>0</v>
      </c>
      <c r="K516" t="n">
        <v>0</v>
      </c>
      <c r="L516" t="n">
        <v>0</v>
      </c>
      <c r="M516" t="n">
        <v>0</v>
      </c>
      <c r="N516" t="n">
        <v>0</v>
      </c>
      <c r="O516" t="n">
        <v>0</v>
      </c>
      <c r="P516" t="n">
        <v>0</v>
      </c>
      <c r="Q516" t="n">
        <v>0</v>
      </c>
      <c r="R516" s="2" t="inlineStr"/>
    </row>
    <row r="517" ht="15" customHeight="1">
      <c r="A517" t="inlineStr">
        <is>
          <t>A 57752-2023</t>
        </is>
      </c>
      <c r="B517" s="1" t="n">
        <v>45246.78474537037</v>
      </c>
      <c r="C517" s="1" t="n">
        <v>45938</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15658-2023</t>
        </is>
      </c>
      <c r="B518" s="1" t="n">
        <v>45021.41194444444</v>
      </c>
      <c r="C518" s="1" t="n">
        <v>45938</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55305-2020</t>
        </is>
      </c>
      <c r="B519" s="1" t="n">
        <v>44130</v>
      </c>
      <c r="C519" s="1" t="n">
        <v>45938</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63638-2023</t>
        </is>
      </c>
      <c r="B520" s="1" t="n">
        <v>45275</v>
      </c>
      <c r="C520" s="1" t="n">
        <v>45938</v>
      </c>
      <c r="D520" t="inlineStr">
        <is>
          <t>ÖSTERGÖTLANDS LÄN</t>
        </is>
      </c>
      <c r="E520" t="inlineStr">
        <is>
          <t>LINKÖPING</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63658-2023</t>
        </is>
      </c>
      <c r="B521" s="1" t="n">
        <v>45275</v>
      </c>
      <c r="C521" s="1" t="n">
        <v>45938</v>
      </c>
      <c r="D521" t="inlineStr">
        <is>
          <t>ÖSTERGÖTLANDS LÄN</t>
        </is>
      </c>
      <c r="E521" t="inlineStr">
        <is>
          <t>LINKÖPING</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29312-2024</t>
        </is>
      </c>
      <c r="B522" s="1" t="n">
        <v>45483</v>
      </c>
      <c r="C522" s="1" t="n">
        <v>45938</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23120-2025</t>
        </is>
      </c>
      <c r="B523" s="1" t="n">
        <v>45791.37481481482</v>
      </c>
      <c r="C523" s="1" t="n">
        <v>45938</v>
      </c>
      <c r="D523" t="inlineStr">
        <is>
          <t>ÖSTERGÖTLANDS LÄN</t>
        </is>
      </c>
      <c r="E523" t="inlineStr">
        <is>
          <t>LINKÖPING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38886-2024</t>
        </is>
      </c>
      <c r="B524" s="1" t="n">
        <v>45547.66443287037</v>
      </c>
      <c r="C524" s="1" t="n">
        <v>45938</v>
      </c>
      <c r="D524" t="inlineStr">
        <is>
          <t>ÖSTERGÖTLANDS LÄN</t>
        </is>
      </c>
      <c r="E524" t="inlineStr">
        <is>
          <t>LINKÖPING</t>
        </is>
      </c>
      <c r="G524" t="n">
        <v>5.3</v>
      </c>
      <c r="H524" t="n">
        <v>0</v>
      </c>
      <c r="I524" t="n">
        <v>0</v>
      </c>
      <c r="J524" t="n">
        <v>0</v>
      </c>
      <c r="K524" t="n">
        <v>0</v>
      </c>
      <c r="L524" t="n">
        <v>0</v>
      </c>
      <c r="M524" t="n">
        <v>0</v>
      </c>
      <c r="N524" t="n">
        <v>0</v>
      </c>
      <c r="O524" t="n">
        <v>0</v>
      </c>
      <c r="P524" t="n">
        <v>0</v>
      </c>
      <c r="Q524" t="n">
        <v>0</v>
      </c>
      <c r="R524" s="2" t="inlineStr"/>
    </row>
    <row r="525" ht="15" customHeight="1">
      <c r="A525" t="inlineStr">
        <is>
          <t>A 51583-2024</t>
        </is>
      </c>
      <c r="B525" s="1" t="n">
        <v>45604.6397337963</v>
      </c>
      <c r="C525" s="1" t="n">
        <v>45938</v>
      </c>
      <c r="D525" t="inlineStr">
        <is>
          <t>ÖSTERGÖTLANDS LÄN</t>
        </is>
      </c>
      <c r="E525" t="inlineStr">
        <is>
          <t>LINKÖPING</t>
        </is>
      </c>
      <c r="F525" t="inlineStr">
        <is>
          <t>Övriga Aktiebolag</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16820-2024</t>
        </is>
      </c>
      <c r="B526" s="1" t="n">
        <v>45411.46809027778</v>
      </c>
      <c r="C526" s="1" t="n">
        <v>45938</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4456-2024</t>
        </is>
      </c>
      <c r="B527" s="1" t="n">
        <v>45327.52847222222</v>
      </c>
      <c r="C527" s="1" t="n">
        <v>45938</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58714-2020</t>
        </is>
      </c>
      <c r="B528" s="1" t="n">
        <v>44146</v>
      </c>
      <c r="C528" s="1" t="n">
        <v>45938</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64694-2023</t>
        </is>
      </c>
      <c r="B529" s="1" t="n">
        <v>45281</v>
      </c>
      <c r="C529" s="1" t="n">
        <v>45938</v>
      </c>
      <c r="D529" t="inlineStr">
        <is>
          <t>ÖSTERGÖTLANDS LÄN</t>
        </is>
      </c>
      <c r="E529" t="inlineStr">
        <is>
          <t>LINKÖPING</t>
        </is>
      </c>
      <c r="F529" t="inlineStr">
        <is>
          <t>Övriga statliga verk och myndigheter</t>
        </is>
      </c>
      <c r="G529" t="n">
        <v>4.9</v>
      </c>
      <c r="H529" t="n">
        <v>0</v>
      </c>
      <c r="I529" t="n">
        <v>0</v>
      </c>
      <c r="J529" t="n">
        <v>0</v>
      </c>
      <c r="K529" t="n">
        <v>0</v>
      </c>
      <c r="L529" t="n">
        <v>0</v>
      </c>
      <c r="M529" t="n">
        <v>0</v>
      </c>
      <c r="N529" t="n">
        <v>0</v>
      </c>
      <c r="O529" t="n">
        <v>0</v>
      </c>
      <c r="P529" t="n">
        <v>0</v>
      </c>
      <c r="Q529" t="n">
        <v>0</v>
      </c>
      <c r="R529" s="2" t="inlineStr"/>
    </row>
    <row r="530" ht="15" customHeight="1">
      <c r="A530" t="inlineStr">
        <is>
          <t>A 32602-2022</t>
        </is>
      </c>
      <c r="B530" s="1" t="n">
        <v>44783.43192129629</v>
      </c>
      <c r="C530" s="1" t="n">
        <v>45938</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20298-2025</t>
        </is>
      </c>
      <c r="B531" s="1" t="n">
        <v>45774.75024305555</v>
      </c>
      <c r="C531" s="1" t="n">
        <v>45938</v>
      </c>
      <c r="D531" t="inlineStr">
        <is>
          <t>ÖSTERGÖTLANDS LÄN</t>
        </is>
      </c>
      <c r="E531" t="inlineStr">
        <is>
          <t>LINKÖPING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15121-2022</t>
        </is>
      </c>
      <c r="B532" s="1" t="n">
        <v>44658</v>
      </c>
      <c r="C532" s="1" t="n">
        <v>45938</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50743-2023</t>
        </is>
      </c>
      <c r="B533" s="1" t="n">
        <v>45217</v>
      </c>
      <c r="C533" s="1" t="n">
        <v>45938</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1440-2021</t>
        </is>
      </c>
      <c r="B534" s="1" t="n">
        <v>44208</v>
      </c>
      <c r="C534" s="1" t="n">
        <v>45938</v>
      </c>
      <c r="D534" t="inlineStr">
        <is>
          <t>ÖSTERGÖTLANDS LÄN</t>
        </is>
      </c>
      <c r="E534" t="inlineStr">
        <is>
          <t>LINKÖPING</t>
        </is>
      </c>
      <c r="G534" t="n">
        <v>8.4</v>
      </c>
      <c r="H534" t="n">
        <v>0</v>
      </c>
      <c r="I534" t="n">
        <v>0</v>
      </c>
      <c r="J534" t="n">
        <v>0</v>
      </c>
      <c r="K534" t="n">
        <v>0</v>
      </c>
      <c r="L534" t="n">
        <v>0</v>
      </c>
      <c r="M534" t="n">
        <v>0</v>
      </c>
      <c r="N534" t="n">
        <v>0</v>
      </c>
      <c r="O534" t="n">
        <v>0</v>
      </c>
      <c r="P534" t="n">
        <v>0</v>
      </c>
      <c r="Q534" t="n">
        <v>0</v>
      </c>
      <c r="R534" s="2" t="inlineStr"/>
    </row>
    <row r="535" ht="15" customHeight="1">
      <c r="A535" t="inlineStr">
        <is>
          <t>A 13687-2025</t>
        </is>
      </c>
      <c r="B535" s="1" t="n">
        <v>45737.31425925926</v>
      </c>
      <c r="C535" s="1" t="n">
        <v>45938</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13695-2025</t>
        </is>
      </c>
      <c r="B536" s="1" t="n">
        <v>45737.32219907407</v>
      </c>
      <c r="C536" s="1" t="n">
        <v>45938</v>
      </c>
      <c r="D536" t="inlineStr">
        <is>
          <t>ÖSTERGÖTLANDS LÄN</t>
        </is>
      </c>
      <c r="E536" t="inlineStr">
        <is>
          <t>LINKÖPING</t>
        </is>
      </c>
      <c r="G536" t="n">
        <v>5.3</v>
      </c>
      <c r="H536" t="n">
        <v>0</v>
      </c>
      <c r="I536" t="n">
        <v>0</v>
      </c>
      <c r="J536" t="n">
        <v>0</v>
      </c>
      <c r="K536" t="n">
        <v>0</v>
      </c>
      <c r="L536" t="n">
        <v>0</v>
      </c>
      <c r="M536" t="n">
        <v>0</v>
      </c>
      <c r="N536" t="n">
        <v>0</v>
      </c>
      <c r="O536" t="n">
        <v>0</v>
      </c>
      <c r="P536" t="n">
        <v>0</v>
      </c>
      <c r="Q536" t="n">
        <v>0</v>
      </c>
      <c r="R536" s="2" t="inlineStr"/>
    </row>
    <row r="537" ht="15" customHeight="1">
      <c r="A537" t="inlineStr">
        <is>
          <t>A 20294-2025</t>
        </is>
      </c>
      <c r="B537" s="1" t="n">
        <v>45774.74667824074</v>
      </c>
      <c r="C537" s="1" t="n">
        <v>45938</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23768-2025</t>
        </is>
      </c>
      <c r="B538" s="1" t="n">
        <v>45793.47493055555</v>
      </c>
      <c r="C538" s="1" t="n">
        <v>45938</v>
      </c>
      <c r="D538" t="inlineStr">
        <is>
          <t>ÖSTERGÖTLANDS LÄN</t>
        </is>
      </c>
      <c r="E538" t="inlineStr">
        <is>
          <t>LINKÖPING</t>
        </is>
      </c>
      <c r="G538" t="n">
        <v>3.4</v>
      </c>
      <c r="H538" t="n">
        <v>0</v>
      </c>
      <c r="I538" t="n">
        <v>0</v>
      </c>
      <c r="J538" t="n">
        <v>0</v>
      </c>
      <c r="K538" t="n">
        <v>0</v>
      </c>
      <c r="L538" t="n">
        <v>0</v>
      </c>
      <c r="M538" t="n">
        <v>0</v>
      </c>
      <c r="N538" t="n">
        <v>0</v>
      </c>
      <c r="O538" t="n">
        <v>0</v>
      </c>
      <c r="P538" t="n">
        <v>0</v>
      </c>
      <c r="Q538" t="n">
        <v>0</v>
      </c>
      <c r="R538" s="2" t="inlineStr"/>
    </row>
    <row r="539" ht="15" customHeight="1">
      <c r="A539" t="inlineStr">
        <is>
          <t>A 17128-2025</t>
        </is>
      </c>
      <c r="B539" s="1" t="n">
        <v>45755.72622685185</v>
      </c>
      <c r="C539" s="1" t="n">
        <v>45938</v>
      </c>
      <c r="D539" t="inlineStr">
        <is>
          <t>ÖSTERGÖTLANDS LÄN</t>
        </is>
      </c>
      <c r="E539" t="inlineStr">
        <is>
          <t>LINKÖPING</t>
        </is>
      </c>
      <c r="G539" t="n">
        <v>2.9</v>
      </c>
      <c r="H539" t="n">
        <v>0</v>
      </c>
      <c r="I539" t="n">
        <v>0</v>
      </c>
      <c r="J539" t="n">
        <v>0</v>
      </c>
      <c r="K539" t="n">
        <v>0</v>
      </c>
      <c r="L539" t="n">
        <v>0</v>
      </c>
      <c r="M539" t="n">
        <v>0</v>
      </c>
      <c r="N539" t="n">
        <v>0</v>
      </c>
      <c r="O539" t="n">
        <v>0</v>
      </c>
      <c r="P539" t="n">
        <v>0</v>
      </c>
      <c r="Q539" t="n">
        <v>0</v>
      </c>
      <c r="R539" s="2" t="inlineStr"/>
    </row>
    <row r="540" ht="15" customHeight="1">
      <c r="A540" t="inlineStr">
        <is>
          <t>A 52125-2022</t>
        </is>
      </c>
      <c r="B540" s="1" t="n">
        <v>44873</v>
      </c>
      <c r="C540" s="1" t="n">
        <v>45938</v>
      </c>
      <c r="D540" t="inlineStr">
        <is>
          <t>ÖSTERGÖTLANDS LÄN</t>
        </is>
      </c>
      <c r="E540" t="inlineStr">
        <is>
          <t>LINKÖPING</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27343-2023</t>
        </is>
      </c>
      <c r="B541" s="1" t="n">
        <v>45096</v>
      </c>
      <c r="C541" s="1" t="n">
        <v>45938</v>
      </c>
      <c r="D541" t="inlineStr">
        <is>
          <t>ÖSTERGÖTLANDS LÄN</t>
        </is>
      </c>
      <c r="E541" t="inlineStr">
        <is>
          <t>LINKÖPING</t>
        </is>
      </c>
      <c r="F541" t="inlineStr">
        <is>
          <t>Allmännings- och besparingsskogar</t>
        </is>
      </c>
      <c r="G541" t="n">
        <v>6.9</v>
      </c>
      <c r="H541" t="n">
        <v>0</v>
      </c>
      <c r="I541" t="n">
        <v>0</v>
      </c>
      <c r="J541" t="n">
        <v>0</v>
      </c>
      <c r="K541" t="n">
        <v>0</v>
      </c>
      <c r="L541" t="n">
        <v>0</v>
      </c>
      <c r="M541" t="n">
        <v>0</v>
      </c>
      <c r="N541" t="n">
        <v>0</v>
      </c>
      <c r="O541" t="n">
        <v>0</v>
      </c>
      <c r="P541" t="n">
        <v>0</v>
      </c>
      <c r="Q541" t="n">
        <v>0</v>
      </c>
      <c r="R541" s="2" t="inlineStr"/>
    </row>
    <row r="542" ht="15" customHeight="1">
      <c r="A542" t="inlineStr">
        <is>
          <t>A 22842-2023</t>
        </is>
      </c>
      <c r="B542" s="1" t="n">
        <v>45071</v>
      </c>
      <c r="C542" s="1" t="n">
        <v>45938</v>
      </c>
      <c r="D542" t="inlineStr">
        <is>
          <t>ÖSTERGÖTLANDS LÄN</t>
        </is>
      </c>
      <c r="E542" t="inlineStr">
        <is>
          <t>LINKÖPING</t>
        </is>
      </c>
      <c r="F542" t="inlineStr">
        <is>
          <t>Kommuner</t>
        </is>
      </c>
      <c r="G542" t="n">
        <v>1.3</v>
      </c>
      <c r="H542" t="n">
        <v>0</v>
      </c>
      <c r="I542" t="n">
        <v>0</v>
      </c>
      <c r="J542" t="n">
        <v>0</v>
      </c>
      <c r="K542" t="n">
        <v>0</v>
      </c>
      <c r="L542" t="n">
        <v>0</v>
      </c>
      <c r="M542" t="n">
        <v>0</v>
      </c>
      <c r="N542" t="n">
        <v>0</v>
      </c>
      <c r="O542" t="n">
        <v>0</v>
      </c>
      <c r="P542" t="n">
        <v>0</v>
      </c>
      <c r="Q542" t="n">
        <v>0</v>
      </c>
      <c r="R542" s="2" t="inlineStr"/>
    </row>
    <row r="543" ht="15" customHeight="1">
      <c r="A543" t="inlineStr">
        <is>
          <t>A 14520-2025</t>
        </is>
      </c>
      <c r="B543" s="1" t="n">
        <v>45741</v>
      </c>
      <c r="C543" s="1" t="n">
        <v>45938</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31548-2022</t>
        </is>
      </c>
      <c r="B544" s="1" t="n">
        <v>44775.39832175926</v>
      </c>
      <c r="C544" s="1" t="n">
        <v>45938</v>
      </c>
      <c r="D544" t="inlineStr">
        <is>
          <t>ÖSTERGÖTLANDS LÄN</t>
        </is>
      </c>
      <c r="E544" t="inlineStr">
        <is>
          <t>LINKÖPING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62017-2024</t>
        </is>
      </c>
      <c r="B545" s="1" t="n">
        <v>45655.81140046296</v>
      </c>
      <c r="C545" s="1" t="n">
        <v>45938</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17785-2023</t>
        </is>
      </c>
      <c r="B546" s="1" t="n">
        <v>45037.55094907407</v>
      </c>
      <c r="C546" s="1" t="n">
        <v>45938</v>
      </c>
      <c r="D546" t="inlineStr">
        <is>
          <t>ÖSTERGÖTLANDS LÄN</t>
        </is>
      </c>
      <c r="E546" t="inlineStr">
        <is>
          <t>LINKÖPING</t>
        </is>
      </c>
      <c r="F546" t="inlineStr">
        <is>
          <t>Allmännings- och besparingsskogar</t>
        </is>
      </c>
      <c r="G546" t="n">
        <v>3.1</v>
      </c>
      <c r="H546" t="n">
        <v>0</v>
      </c>
      <c r="I546" t="n">
        <v>0</v>
      </c>
      <c r="J546" t="n">
        <v>0</v>
      </c>
      <c r="K546" t="n">
        <v>0</v>
      </c>
      <c r="L546" t="n">
        <v>0</v>
      </c>
      <c r="M546" t="n">
        <v>0</v>
      </c>
      <c r="N546" t="n">
        <v>0</v>
      </c>
      <c r="O546" t="n">
        <v>0</v>
      </c>
      <c r="P546" t="n">
        <v>0</v>
      </c>
      <c r="Q546" t="n">
        <v>0</v>
      </c>
      <c r="R546" s="2" t="inlineStr"/>
    </row>
    <row r="547" ht="15" customHeight="1">
      <c r="A547" t="inlineStr">
        <is>
          <t>A 62686-2023</t>
        </is>
      </c>
      <c r="B547" s="1" t="n">
        <v>45271</v>
      </c>
      <c r="C547" s="1" t="n">
        <v>45938</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42044-2023</t>
        </is>
      </c>
      <c r="B548" s="1" t="n">
        <v>45177</v>
      </c>
      <c r="C548" s="1" t="n">
        <v>45938</v>
      </c>
      <c r="D548" t="inlineStr">
        <is>
          <t>ÖSTERGÖTLANDS LÄN</t>
        </is>
      </c>
      <c r="E548" t="inlineStr">
        <is>
          <t>LINKÖPING</t>
        </is>
      </c>
      <c r="G548" t="n">
        <v>3.9</v>
      </c>
      <c r="H548" t="n">
        <v>0</v>
      </c>
      <c r="I548" t="n">
        <v>0</v>
      </c>
      <c r="J548" t="n">
        <v>0</v>
      </c>
      <c r="K548" t="n">
        <v>0</v>
      </c>
      <c r="L548" t="n">
        <v>0</v>
      </c>
      <c r="M548" t="n">
        <v>0</v>
      </c>
      <c r="N548" t="n">
        <v>0</v>
      </c>
      <c r="O548" t="n">
        <v>0</v>
      </c>
      <c r="P548" t="n">
        <v>0</v>
      </c>
      <c r="Q548" t="n">
        <v>0</v>
      </c>
      <c r="R548" s="2" t="inlineStr"/>
    </row>
    <row r="549" ht="15" customHeight="1">
      <c r="A549" t="inlineStr">
        <is>
          <t>A 48699-2024</t>
        </is>
      </c>
      <c r="B549" s="1" t="n">
        <v>45593.52091435185</v>
      </c>
      <c r="C549" s="1" t="n">
        <v>45938</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5314-2021</t>
        </is>
      </c>
      <c r="B550" s="1" t="n">
        <v>44229</v>
      </c>
      <c r="C550" s="1" t="n">
        <v>45938</v>
      </c>
      <c r="D550" t="inlineStr">
        <is>
          <t>ÖSTERGÖTLANDS LÄN</t>
        </is>
      </c>
      <c r="E550" t="inlineStr">
        <is>
          <t>LINKÖPING</t>
        </is>
      </c>
      <c r="G550" t="n">
        <v>6.2</v>
      </c>
      <c r="H550" t="n">
        <v>0</v>
      </c>
      <c r="I550" t="n">
        <v>0</v>
      </c>
      <c r="J550" t="n">
        <v>0</v>
      </c>
      <c r="K550" t="n">
        <v>0</v>
      </c>
      <c r="L550" t="n">
        <v>0</v>
      </c>
      <c r="M550" t="n">
        <v>0</v>
      </c>
      <c r="N550" t="n">
        <v>0</v>
      </c>
      <c r="O550" t="n">
        <v>0</v>
      </c>
      <c r="P550" t="n">
        <v>0</v>
      </c>
      <c r="Q550" t="n">
        <v>0</v>
      </c>
      <c r="R550" s="2" t="inlineStr"/>
    </row>
    <row r="551" ht="15" customHeight="1">
      <c r="A551" t="inlineStr">
        <is>
          <t>A 53616-2020</t>
        </is>
      </c>
      <c r="B551" s="1" t="n">
        <v>44123</v>
      </c>
      <c r="C551" s="1" t="n">
        <v>45938</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49656-2021</t>
        </is>
      </c>
      <c r="B552" s="1" t="n">
        <v>44454</v>
      </c>
      <c r="C552" s="1" t="n">
        <v>45938</v>
      </c>
      <c r="D552" t="inlineStr">
        <is>
          <t>ÖSTERGÖTLANDS LÄN</t>
        </is>
      </c>
      <c r="E552" t="inlineStr">
        <is>
          <t>LINKÖPING</t>
        </is>
      </c>
      <c r="G552" t="n">
        <v>2.3</v>
      </c>
      <c r="H552" t="n">
        <v>0</v>
      </c>
      <c r="I552" t="n">
        <v>0</v>
      </c>
      <c r="J552" t="n">
        <v>0</v>
      </c>
      <c r="K552" t="n">
        <v>0</v>
      </c>
      <c r="L552" t="n">
        <v>0</v>
      </c>
      <c r="M552" t="n">
        <v>0</v>
      </c>
      <c r="N552" t="n">
        <v>0</v>
      </c>
      <c r="O552" t="n">
        <v>0</v>
      </c>
      <c r="P552" t="n">
        <v>0</v>
      </c>
      <c r="Q552" t="n">
        <v>0</v>
      </c>
      <c r="R552" s="2" t="inlineStr"/>
    </row>
    <row r="553" ht="15" customHeight="1">
      <c r="A553" t="inlineStr">
        <is>
          <t>A 13911-2025</t>
        </is>
      </c>
      <c r="B553" s="1" t="n">
        <v>45737.64784722222</v>
      </c>
      <c r="C553" s="1" t="n">
        <v>45938</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38230-2023</t>
        </is>
      </c>
      <c r="B554" s="1" t="n">
        <v>45161.55373842592</v>
      </c>
      <c r="C554" s="1" t="n">
        <v>45938</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45442-2024</t>
        </is>
      </c>
      <c r="B555" s="1" t="n">
        <v>45576.64189814815</v>
      </c>
      <c r="C555" s="1" t="n">
        <v>45938</v>
      </c>
      <c r="D555" t="inlineStr">
        <is>
          <t>ÖSTERGÖTLANDS LÄN</t>
        </is>
      </c>
      <c r="E555" t="inlineStr">
        <is>
          <t>LINKÖPING</t>
        </is>
      </c>
      <c r="G555" t="n">
        <v>1.8</v>
      </c>
      <c r="H555" t="n">
        <v>0</v>
      </c>
      <c r="I555" t="n">
        <v>0</v>
      </c>
      <c r="J555" t="n">
        <v>0</v>
      </c>
      <c r="K555" t="n">
        <v>0</v>
      </c>
      <c r="L555" t="n">
        <v>0</v>
      </c>
      <c r="M555" t="n">
        <v>0</v>
      </c>
      <c r="N555" t="n">
        <v>0</v>
      </c>
      <c r="O555" t="n">
        <v>0</v>
      </c>
      <c r="P555" t="n">
        <v>0</v>
      </c>
      <c r="Q555" t="n">
        <v>0</v>
      </c>
      <c r="R555" s="2" t="inlineStr"/>
    </row>
    <row r="556" ht="15" customHeight="1">
      <c r="A556" t="inlineStr">
        <is>
          <t>A 4908-2023</t>
        </is>
      </c>
      <c r="B556" s="1" t="n">
        <v>44958</v>
      </c>
      <c r="C556" s="1" t="n">
        <v>45938</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1265-2023</t>
        </is>
      </c>
      <c r="B557" s="1" t="n">
        <v>44936</v>
      </c>
      <c r="C557" s="1" t="n">
        <v>45938</v>
      </c>
      <c r="D557" t="inlineStr">
        <is>
          <t>ÖSTERGÖTLANDS LÄN</t>
        </is>
      </c>
      <c r="E557" t="inlineStr">
        <is>
          <t>LINKÖPING</t>
        </is>
      </c>
      <c r="G557" t="n">
        <v>2.3</v>
      </c>
      <c r="H557" t="n">
        <v>0</v>
      </c>
      <c r="I557" t="n">
        <v>0</v>
      </c>
      <c r="J557" t="n">
        <v>0</v>
      </c>
      <c r="K557" t="n">
        <v>0</v>
      </c>
      <c r="L557" t="n">
        <v>0</v>
      </c>
      <c r="M557" t="n">
        <v>0</v>
      </c>
      <c r="N557" t="n">
        <v>0</v>
      </c>
      <c r="O557" t="n">
        <v>0</v>
      </c>
      <c r="P557" t="n">
        <v>0</v>
      </c>
      <c r="Q557" t="n">
        <v>0</v>
      </c>
      <c r="R557" s="2" t="inlineStr"/>
    </row>
    <row r="558" ht="15" customHeight="1">
      <c r="A558" t="inlineStr">
        <is>
          <t>A 44280-2024</t>
        </is>
      </c>
      <c r="B558" s="1" t="n">
        <v>45573.49461805556</v>
      </c>
      <c r="C558" s="1" t="n">
        <v>45938</v>
      </c>
      <c r="D558" t="inlineStr">
        <is>
          <t>ÖSTERGÖTLANDS LÄN</t>
        </is>
      </c>
      <c r="E558" t="inlineStr">
        <is>
          <t>LINKÖPING</t>
        </is>
      </c>
      <c r="G558" t="n">
        <v>5.3</v>
      </c>
      <c r="H558" t="n">
        <v>0</v>
      </c>
      <c r="I558" t="n">
        <v>0</v>
      </c>
      <c r="J558" t="n">
        <v>0</v>
      </c>
      <c r="K558" t="n">
        <v>0</v>
      </c>
      <c r="L558" t="n">
        <v>0</v>
      </c>
      <c r="M558" t="n">
        <v>0</v>
      </c>
      <c r="N558" t="n">
        <v>0</v>
      </c>
      <c r="O558" t="n">
        <v>0</v>
      </c>
      <c r="P558" t="n">
        <v>0</v>
      </c>
      <c r="Q558" t="n">
        <v>0</v>
      </c>
      <c r="R558" s="2" t="inlineStr"/>
    </row>
    <row r="559" ht="15" customHeight="1">
      <c r="A559" t="inlineStr">
        <is>
          <t>A 12411-2022</t>
        </is>
      </c>
      <c r="B559" s="1" t="n">
        <v>44638.21601851852</v>
      </c>
      <c r="C559" s="1" t="n">
        <v>45938</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23491-2024</t>
        </is>
      </c>
      <c r="B560" s="1" t="n">
        <v>45453</v>
      </c>
      <c r="C560" s="1" t="n">
        <v>45938</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70-2024</t>
        </is>
      </c>
      <c r="B561" s="1" t="n">
        <v>45293</v>
      </c>
      <c r="C561" s="1" t="n">
        <v>45938</v>
      </c>
      <c r="D561" t="inlineStr">
        <is>
          <t>ÖSTERGÖTLANDS LÄN</t>
        </is>
      </c>
      <c r="E561" t="inlineStr">
        <is>
          <t>LINKÖPING</t>
        </is>
      </c>
      <c r="G561" t="n">
        <v>1.3</v>
      </c>
      <c r="H561" t="n">
        <v>0</v>
      </c>
      <c r="I561" t="n">
        <v>0</v>
      </c>
      <c r="J561" t="n">
        <v>0</v>
      </c>
      <c r="K561" t="n">
        <v>0</v>
      </c>
      <c r="L561" t="n">
        <v>0</v>
      </c>
      <c r="M561" t="n">
        <v>0</v>
      </c>
      <c r="N561" t="n">
        <v>0</v>
      </c>
      <c r="O561" t="n">
        <v>0</v>
      </c>
      <c r="P561" t="n">
        <v>0</v>
      </c>
      <c r="Q561" t="n">
        <v>0</v>
      </c>
      <c r="R561" s="2" t="inlineStr"/>
    </row>
    <row r="562" ht="15" customHeight="1">
      <c r="A562" t="inlineStr">
        <is>
          <t>A 6054-2022</t>
        </is>
      </c>
      <c r="B562" s="1" t="n">
        <v>44599.53623842593</v>
      </c>
      <c r="C562" s="1" t="n">
        <v>45938</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31725-2022</t>
        </is>
      </c>
      <c r="B563" s="1" t="n">
        <v>44776.48541666667</v>
      </c>
      <c r="C563" s="1" t="n">
        <v>45938</v>
      </c>
      <c r="D563" t="inlineStr">
        <is>
          <t>ÖSTERGÖTLANDS LÄN</t>
        </is>
      </c>
      <c r="E563" t="inlineStr">
        <is>
          <t>LINKÖPING</t>
        </is>
      </c>
      <c r="G563" t="n">
        <v>2.6</v>
      </c>
      <c r="H563" t="n">
        <v>0</v>
      </c>
      <c r="I563" t="n">
        <v>0</v>
      </c>
      <c r="J563" t="n">
        <v>0</v>
      </c>
      <c r="K563" t="n">
        <v>0</v>
      </c>
      <c r="L563" t="n">
        <v>0</v>
      </c>
      <c r="M563" t="n">
        <v>0</v>
      </c>
      <c r="N563" t="n">
        <v>0</v>
      </c>
      <c r="O563" t="n">
        <v>0</v>
      </c>
      <c r="P563" t="n">
        <v>0</v>
      </c>
      <c r="Q563" t="n">
        <v>0</v>
      </c>
      <c r="R563" s="2" t="inlineStr"/>
    </row>
    <row r="564" ht="15" customHeight="1">
      <c r="A564" t="inlineStr">
        <is>
          <t>A 26002-2025</t>
        </is>
      </c>
      <c r="B564" s="1" t="n">
        <v>45804.66534722222</v>
      </c>
      <c r="C564" s="1" t="n">
        <v>45938</v>
      </c>
      <c r="D564" t="inlineStr">
        <is>
          <t>ÖSTERGÖTLANDS LÄN</t>
        </is>
      </c>
      <c r="E564" t="inlineStr">
        <is>
          <t>LINKÖPING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25996-2025</t>
        </is>
      </c>
      <c r="B565" s="1" t="n">
        <v>45804.65851851852</v>
      </c>
      <c r="C565" s="1" t="n">
        <v>45938</v>
      </c>
      <c r="D565" t="inlineStr">
        <is>
          <t>ÖSTERGÖTLANDS LÄN</t>
        </is>
      </c>
      <c r="E565" t="inlineStr">
        <is>
          <t>LINKÖPING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57391-2023</t>
        </is>
      </c>
      <c r="B566" s="1" t="n">
        <v>45245</v>
      </c>
      <c r="C566" s="1" t="n">
        <v>45938</v>
      </c>
      <c r="D566" t="inlineStr">
        <is>
          <t>ÖSTERGÖTLANDS LÄN</t>
        </is>
      </c>
      <c r="E566" t="inlineStr">
        <is>
          <t>LINKÖPING</t>
        </is>
      </c>
      <c r="F566" t="inlineStr">
        <is>
          <t>Övriga Aktiebolag</t>
        </is>
      </c>
      <c r="G566" t="n">
        <v>1.7</v>
      </c>
      <c r="H566" t="n">
        <v>0</v>
      </c>
      <c r="I566" t="n">
        <v>0</v>
      </c>
      <c r="J566" t="n">
        <v>0</v>
      </c>
      <c r="K566" t="n">
        <v>0</v>
      </c>
      <c r="L566" t="n">
        <v>0</v>
      </c>
      <c r="M566" t="n">
        <v>0</v>
      </c>
      <c r="N566" t="n">
        <v>0</v>
      </c>
      <c r="O566" t="n">
        <v>0</v>
      </c>
      <c r="P566" t="n">
        <v>0</v>
      </c>
      <c r="Q566" t="n">
        <v>0</v>
      </c>
      <c r="R566" s="2" t="inlineStr"/>
    </row>
    <row r="567" ht="15" customHeight="1">
      <c r="A567" t="inlineStr">
        <is>
          <t>A 7992-2023</t>
        </is>
      </c>
      <c r="B567" s="1" t="n">
        <v>44970</v>
      </c>
      <c r="C567" s="1" t="n">
        <v>45938</v>
      </c>
      <c r="D567" t="inlineStr">
        <is>
          <t>ÖSTERGÖTLANDS LÄN</t>
        </is>
      </c>
      <c r="E567" t="inlineStr">
        <is>
          <t>LINKÖPING</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3042-2024</t>
        </is>
      </c>
      <c r="B568" s="1" t="n">
        <v>45316.35028935185</v>
      </c>
      <c r="C568" s="1" t="n">
        <v>45938</v>
      </c>
      <c r="D568" t="inlineStr">
        <is>
          <t>ÖSTERGÖTLANDS LÄN</t>
        </is>
      </c>
      <c r="E568" t="inlineStr">
        <is>
          <t>LINKÖPING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13689-2025</t>
        </is>
      </c>
      <c r="B569" s="1" t="n">
        <v>45737.31590277778</v>
      </c>
      <c r="C569" s="1" t="n">
        <v>45938</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13696-2025</t>
        </is>
      </c>
      <c r="B570" s="1" t="n">
        <v>45737.32273148148</v>
      </c>
      <c r="C570" s="1" t="n">
        <v>45938</v>
      </c>
      <c r="D570" t="inlineStr">
        <is>
          <t>ÖSTERGÖTLANDS LÄN</t>
        </is>
      </c>
      <c r="E570" t="inlineStr">
        <is>
          <t>LINKÖPING</t>
        </is>
      </c>
      <c r="G570" t="n">
        <v>3.5</v>
      </c>
      <c r="H570" t="n">
        <v>0</v>
      </c>
      <c r="I570" t="n">
        <v>0</v>
      </c>
      <c r="J570" t="n">
        <v>0</v>
      </c>
      <c r="K570" t="n">
        <v>0</v>
      </c>
      <c r="L570" t="n">
        <v>0</v>
      </c>
      <c r="M570" t="n">
        <v>0</v>
      </c>
      <c r="N570" t="n">
        <v>0</v>
      </c>
      <c r="O570" t="n">
        <v>0</v>
      </c>
      <c r="P570" t="n">
        <v>0</v>
      </c>
      <c r="Q570" t="n">
        <v>0</v>
      </c>
      <c r="R570" s="2" t="inlineStr"/>
    </row>
    <row r="571" ht="15" customHeight="1">
      <c r="A571" t="inlineStr">
        <is>
          <t>A 61227-2024</t>
        </is>
      </c>
      <c r="B571" s="1" t="n">
        <v>45645.66853009259</v>
      </c>
      <c r="C571" s="1" t="n">
        <v>45938</v>
      </c>
      <c r="D571" t="inlineStr">
        <is>
          <t>ÖSTERGÖTLANDS LÄN</t>
        </is>
      </c>
      <c r="E571" t="inlineStr">
        <is>
          <t>LINKÖPING</t>
        </is>
      </c>
      <c r="G571" t="n">
        <v>6</v>
      </c>
      <c r="H571" t="n">
        <v>0</v>
      </c>
      <c r="I571" t="n">
        <v>0</v>
      </c>
      <c r="J571" t="n">
        <v>0</v>
      </c>
      <c r="K571" t="n">
        <v>0</v>
      </c>
      <c r="L571" t="n">
        <v>0</v>
      </c>
      <c r="M571" t="n">
        <v>0</v>
      </c>
      <c r="N571" t="n">
        <v>0</v>
      </c>
      <c r="O571" t="n">
        <v>0</v>
      </c>
      <c r="P571" t="n">
        <v>0</v>
      </c>
      <c r="Q571" t="n">
        <v>0</v>
      </c>
      <c r="R571" s="2" t="inlineStr"/>
    </row>
    <row r="572" ht="15" customHeight="1">
      <c r="A572" t="inlineStr">
        <is>
          <t>A 1924-2024</t>
        </is>
      </c>
      <c r="B572" s="1" t="n">
        <v>45308</v>
      </c>
      <c r="C572" s="1" t="n">
        <v>45938</v>
      </c>
      <c r="D572" t="inlineStr">
        <is>
          <t>ÖSTERGÖTLANDS LÄN</t>
        </is>
      </c>
      <c r="E572" t="inlineStr">
        <is>
          <t>LINKÖPING</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32346-2023</t>
        </is>
      </c>
      <c r="B573" s="1" t="n">
        <v>45120</v>
      </c>
      <c r="C573" s="1" t="n">
        <v>45938</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50508-2024</t>
        </is>
      </c>
      <c r="B574" s="1" t="n">
        <v>45601.53907407408</v>
      </c>
      <c r="C574" s="1" t="n">
        <v>45938</v>
      </c>
      <c r="D574" t="inlineStr">
        <is>
          <t>ÖSTERGÖTLANDS LÄN</t>
        </is>
      </c>
      <c r="E574" t="inlineStr">
        <is>
          <t>LINKÖPING</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7808-2022</t>
        </is>
      </c>
      <c r="B575" s="1" t="n">
        <v>44608</v>
      </c>
      <c r="C575" s="1" t="n">
        <v>45938</v>
      </c>
      <c r="D575" t="inlineStr">
        <is>
          <t>ÖSTERGÖTLANDS LÄN</t>
        </is>
      </c>
      <c r="E575" t="inlineStr">
        <is>
          <t>LINKÖPING</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27844-2024</t>
        </is>
      </c>
      <c r="B576" s="1" t="n">
        <v>45475.63047453704</v>
      </c>
      <c r="C576" s="1" t="n">
        <v>45938</v>
      </c>
      <c r="D576" t="inlineStr">
        <is>
          <t>ÖSTERGÖTLANDS LÄN</t>
        </is>
      </c>
      <c r="E576" t="inlineStr">
        <is>
          <t>LINKÖPING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40810-2022</t>
        </is>
      </c>
      <c r="B577" s="1" t="n">
        <v>44824</v>
      </c>
      <c r="C577" s="1" t="n">
        <v>45938</v>
      </c>
      <c r="D577" t="inlineStr">
        <is>
          <t>ÖSTERGÖTLANDS LÄN</t>
        </is>
      </c>
      <c r="E577" t="inlineStr">
        <is>
          <t>LINKÖPING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51559-2024</t>
        </is>
      </c>
      <c r="B578" s="1" t="n">
        <v>45604.61431712963</v>
      </c>
      <c r="C578" s="1" t="n">
        <v>45938</v>
      </c>
      <c r="D578" t="inlineStr">
        <is>
          <t>ÖSTERGÖTLANDS LÄN</t>
        </is>
      </c>
      <c r="E578" t="inlineStr">
        <is>
          <t>LINKÖPING</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27950-2025</t>
        </is>
      </c>
      <c r="B579" s="1" t="n">
        <v>45817.52960648148</v>
      </c>
      <c r="C579" s="1" t="n">
        <v>45938</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49979-2022</t>
        </is>
      </c>
      <c r="B580" s="1" t="n">
        <v>44865</v>
      </c>
      <c r="C580" s="1" t="n">
        <v>45938</v>
      </c>
      <c r="D580" t="inlineStr">
        <is>
          <t>ÖSTERGÖTLANDS LÄN</t>
        </is>
      </c>
      <c r="E580" t="inlineStr">
        <is>
          <t>LINKÖPING</t>
        </is>
      </c>
      <c r="F580" t="inlineStr">
        <is>
          <t>Övriga Aktiebolag</t>
        </is>
      </c>
      <c r="G580" t="n">
        <v>11.4</v>
      </c>
      <c r="H580" t="n">
        <v>0</v>
      </c>
      <c r="I580" t="n">
        <v>0</v>
      </c>
      <c r="J580" t="n">
        <v>0</v>
      </c>
      <c r="K580" t="n">
        <v>0</v>
      </c>
      <c r="L580" t="n">
        <v>0</v>
      </c>
      <c r="M580" t="n">
        <v>0</v>
      </c>
      <c r="N580" t="n">
        <v>0</v>
      </c>
      <c r="O580" t="n">
        <v>0</v>
      </c>
      <c r="P580" t="n">
        <v>0</v>
      </c>
      <c r="Q580" t="n">
        <v>0</v>
      </c>
      <c r="R580" s="2" t="inlineStr"/>
    </row>
    <row r="581" ht="15" customHeight="1">
      <c r="A581" t="inlineStr">
        <is>
          <t>A 27797-2025</t>
        </is>
      </c>
      <c r="B581" s="1" t="n">
        <v>45816.80521990741</v>
      </c>
      <c r="C581" s="1" t="n">
        <v>45938</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27798-2025</t>
        </is>
      </c>
      <c r="B582" s="1" t="n">
        <v>45816.81532407407</v>
      </c>
      <c r="C582" s="1" t="n">
        <v>45938</v>
      </c>
      <c r="D582" t="inlineStr">
        <is>
          <t>ÖSTERGÖTLANDS LÄN</t>
        </is>
      </c>
      <c r="E582" t="inlineStr">
        <is>
          <t>LINKÖPING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39219-2021</t>
        </is>
      </c>
      <c r="B583" s="1" t="n">
        <v>44413</v>
      </c>
      <c r="C583" s="1" t="n">
        <v>45938</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39224-2021</t>
        </is>
      </c>
      <c r="B584" s="1" t="n">
        <v>44413</v>
      </c>
      <c r="C584" s="1" t="n">
        <v>45938</v>
      </c>
      <c r="D584" t="inlineStr">
        <is>
          <t>ÖSTERGÖTLANDS LÄN</t>
        </is>
      </c>
      <c r="E584" t="inlineStr">
        <is>
          <t>LINKÖPING</t>
        </is>
      </c>
      <c r="G584" t="n">
        <v>2.1</v>
      </c>
      <c r="H584" t="n">
        <v>0</v>
      </c>
      <c r="I584" t="n">
        <v>0</v>
      </c>
      <c r="J584" t="n">
        <v>0</v>
      </c>
      <c r="K584" t="n">
        <v>0</v>
      </c>
      <c r="L584" t="n">
        <v>0</v>
      </c>
      <c r="M584" t="n">
        <v>0</v>
      </c>
      <c r="N584" t="n">
        <v>0</v>
      </c>
      <c r="O584" t="n">
        <v>0</v>
      </c>
      <c r="P584" t="n">
        <v>0</v>
      </c>
      <c r="Q584" t="n">
        <v>0</v>
      </c>
      <c r="R584" s="2" t="inlineStr"/>
    </row>
    <row r="585" ht="15" customHeight="1">
      <c r="A585" t="inlineStr">
        <is>
          <t>A 62495-2023</t>
        </is>
      </c>
      <c r="B585" s="1" t="n">
        <v>45268.59717592593</v>
      </c>
      <c r="C585" s="1" t="n">
        <v>45938</v>
      </c>
      <c r="D585" t="inlineStr">
        <is>
          <t>ÖSTERGÖTLANDS LÄN</t>
        </is>
      </c>
      <c r="E585" t="inlineStr">
        <is>
          <t>LINKÖPING</t>
        </is>
      </c>
      <c r="G585" t="n">
        <v>4.1</v>
      </c>
      <c r="H585" t="n">
        <v>0</v>
      </c>
      <c r="I585" t="n">
        <v>0</v>
      </c>
      <c r="J585" t="n">
        <v>0</v>
      </c>
      <c r="K585" t="n">
        <v>0</v>
      </c>
      <c r="L585" t="n">
        <v>0</v>
      </c>
      <c r="M585" t="n">
        <v>0</v>
      </c>
      <c r="N585" t="n">
        <v>0</v>
      </c>
      <c r="O585" t="n">
        <v>0</v>
      </c>
      <c r="P585" t="n">
        <v>0</v>
      </c>
      <c r="Q585" t="n">
        <v>0</v>
      </c>
      <c r="R585" s="2" t="inlineStr"/>
    </row>
    <row r="586" ht="15" customHeight="1">
      <c r="A586" t="inlineStr">
        <is>
          <t>A 28200-2025</t>
        </is>
      </c>
      <c r="B586" s="1" t="n">
        <v>45818.4428125</v>
      </c>
      <c r="C586" s="1" t="n">
        <v>45938</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28204-2025</t>
        </is>
      </c>
      <c r="B587" s="1" t="n">
        <v>45818.4477662037</v>
      </c>
      <c r="C587" s="1" t="n">
        <v>45938</v>
      </c>
      <c r="D587" t="inlineStr">
        <is>
          <t>ÖSTERGÖTLANDS LÄN</t>
        </is>
      </c>
      <c r="E587" t="inlineStr">
        <is>
          <t>LINKÖPING</t>
        </is>
      </c>
      <c r="G587" t="n">
        <v>2.9</v>
      </c>
      <c r="H587" t="n">
        <v>0</v>
      </c>
      <c r="I587" t="n">
        <v>0</v>
      </c>
      <c r="J587" t="n">
        <v>0</v>
      </c>
      <c r="K587" t="n">
        <v>0</v>
      </c>
      <c r="L587" t="n">
        <v>0</v>
      </c>
      <c r="M587" t="n">
        <v>0</v>
      </c>
      <c r="N587" t="n">
        <v>0</v>
      </c>
      <c r="O587" t="n">
        <v>0</v>
      </c>
      <c r="P587" t="n">
        <v>0</v>
      </c>
      <c r="Q587" t="n">
        <v>0</v>
      </c>
      <c r="R587" s="2" t="inlineStr"/>
    </row>
    <row r="588" ht="15" customHeight="1">
      <c r="A588" t="inlineStr">
        <is>
          <t>A 28416-2025</t>
        </is>
      </c>
      <c r="B588" s="1" t="n">
        <v>45819.35346064815</v>
      </c>
      <c r="C588" s="1" t="n">
        <v>45938</v>
      </c>
      <c r="D588" t="inlineStr">
        <is>
          <t>ÖSTERGÖTLANDS LÄN</t>
        </is>
      </c>
      <c r="E588" t="inlineStr">
        <is>
          <t>LINKÖPING</t>
        </is>
      </c>
      <c r="F588" t="inlineStr">
        <is>
          <t>Sveaskog</t>
        </is>
      </c>
      <c r="G588" t="n">
        <v>3.7</v>
      </c>
      <c r="H588" t="n">
        <v>0</v>
      </c>
      <c r="I588" t="n">
        <v>0</v>
      </c>
      <c r="J588" t="n">
        <v>0</v>
      </c>
      <c r="K588" t="n">
        <v>0</v>
      </c>
      <c r="L588" t="n">
        <v>0</v>
      </c>
      <c r="M588" t="n">
        <v>0</v>
      </c>
      <c r="N588" t="n">
        <v>0</v>
      </c>
      <c r="O588" t="n">
        <v>0</v>
      </c>
      <c r="P588" t="n">
        <v>0</v>
      </c>
      <c r="Q588" t="n">
        <v>0</v>
      </c>
      <c r="R588" s="2" t="inlineStr"/>
    </row>
    <row r="589" ht="15" customHeight="1">
      <c r="A589" t="inlineStr">
        <is>
          <t>A 29413-2023</t>
        </is>
      </c>
      <c r="B589" s="1" t="n">
        <v>45106.46465277778</v>
      </c>
      <c r="C589" s="1" t="n">
        <v>45938</v>
      </c>
      <c r="D589" t="inlineStr">
        <is>
          <t>ÖSTERGÖTLANDS LÄN</t>
        </is>
      </c>
      <c r="E589" t="inlineStr">
        <is>
          <t>LINKÖPING</t>
        </is>
      </c>
      <c r="G589" t="n">
        <v>8</v>
      </c>
      <c r="H589" t="n">
        <v>0</v>
      </c>
      <c r="I589" t="n">
        <v>0</v>
      </c>
      <c r="J589" t="n">
        <v>0</v>
      </c>
      <c r="K589" t="n">
        <v>0</v>
      </c>
      <c r="L589" t="n">
        <v>0</v>
      </c>
      <c r="M589" t="n">
        <v>0</v>
      </c>
      <c r="N589" t="n">
        <v>0</v>
      </c>
      <c r="O589" t="n">
        <v>0</v>
      </c>
      <c r="P589" t="n">
        <v>0</v>
      </c>
      <c r="Q589" t="n">
        <v>0</v>
      </c>
      <c r="R589" s="2" t="inlineStr"/>
    </row>
    <row r="590" ht="15" customHeight="1">
      <c r="A590" t="inlineStr">
        <is>
          <t>A 25948-2023</t>
        </is>
      </c>
      <c r="B590" s="1" t="n">
        <v>45090</v>
      </c>
      <c r="C590" s="1" t="n">
        <v>45938</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28398-2025</t>
        </is>
      </c>
      <c r="B591" s="1" t="n">
        <v>45819.34208333334</v>
      </c>
      <c r="C591" s="1" t="n">
        <v>45938</v>
      </c>
      <c r="D591" t="inlineStr">
        <is>
          <t>ÖSTERGÖTLANDS LÄN</t>
        </is>
      </c>
      <c r="E591" t="inlineStr">
        <is>
          <t>LINKÖPING</t>
        </is>
      </c>
      <c r="F591" t="inlineStr">
        <is>
          <t>Sveaskog</t>
        </is>
      </c>
      <c r="G591" t="n">
        <v>7.9</v>
      </c>
      <c r="H591" t="n">
        <v>0</v>
      </c>
      <c r="I591" t="n">
        <v>0</v>
      </c>
      <c r="J591" t="n">
        <v>0</v>
      </c>
      <c r="K591" t="n">
        <v>0</v>
      </c>
      <c r="L591" t="n">
        <v>0</v>
      </c>
      <c r="M591" t="n">
        <v>0</v>
      </c>
      <c r="N591" t="n">
        <v>0</v>
      </c>
      <c r="O591" t="n">
        <v>0</v>
      </c>
      <c r="P591" t="n">
        <v>0</v>
      </c>
      <c r="Q591" t="n">
        <v>0</v>
      </c>
      <c r="R591" s="2" t="inlineStr"/>
    </row>
    <row r="592" ht="15" customHeight="1">
      <c r="A592" t="inlineStr">
        <is>
          <t>A 28209-2025</t>
        </is>
      </c>
      <c r="B592" s="1" t="n">
        <v>45818.45112268518</v>
      </c>
      <c r="C592" s="1" t="n">
        <v>45938</v>
      </c>
      <c r="D592" t="inlineStr">
        <is>
          <t>ÖSTERGÖTLANDS LÄN</t>
        </is>
      </c>
      <c r="E592" t="inlineStr">
        <is>
          <t>LINKÖPING</t>
        </is>
      </c>
      <c r="G592" t="n">
        <v>4.2</v>
      </c>
      <c r="H592" t="n">
        <v>0</v>
      </c>
      <c r="I592" t="n">
        <v>0</v>
      </c>
      <c r="J592" t="n">
        <v>0</v>
      </c>
      <c r="K592" t="n">
        <v>0</v>
      </c>
      <c r="L592" t="n">
        <v>0</v>
      </c>
      <c r="M592" t="n">
        <v>0</v>
      </c>
      <c r="N592" t="n">
        <v>0</v>
      </c>
      <c r="O592" t="n">
        <v>0</v>
      </c>
      <c r="P592" t="n">
        <v>0</v>
      </c>
      <c r="Q592" t="n">
        <v>0</v>
      </c>
      <c r="R592" s="2" t="inlineStr"/>
    </row>
    <row r="593" ht="15" customHeight="1">
      <c r="A593" t="inlineStr">
        <is>
          <t>A 1627-2023</t>
        </is>
      </c>
      <c r="B593" s="1" t="n">
        <v>44937</v>
      </c>
      <c r="C593" s="1" t="n">
        <v>45938</v>
      </c>
      <c r="D593" t="inlineStr">
        <is>
          <t>ÖSTERGÖTLANDS LÄN</t>
        </is>
      </c>
      <c r="E593" t="inlineStr">
        <is>
          <t>LINKÖPING</t>
        </is>
      </c>
      <c r="G593" t="n">
        <v>10.8</v>
      </c>
      <c r="H593" t="n">
        <v>0</v>
      </c>
      <c r="I593" t="n">
        <v>0</v>
      </c>
      <c r="J593" t="n">
        <v>0</v>
      </c>
      <c r="K593" t="n">
        <v>0</v>
      </c>
      <c r="L593" t="n">
        <v>0</v>
      </c>
      <c r="M593" t="n">
        <v>0</v>
      </c>
      <c r="N593" t="n">
        <v>0</v>
      </c>
      <c r="O593" t="n">
        <v>0</v>
      </c>
      <c r="P593" t="n">
        <v>0</v>
      </c>
      <c r="Q593" t="n">
        <v>0</v>
      </c>
      <c r="R593" s="2" t="inlineStr"/>
    </row>
    <row r="594" ht="15" customHeight="1">
      <c r="A594" t="inlineStr">
        <is>
          <t>A 30481-2023</t>
        </is>
      </c>
      <c r="B594" s="1" t="n">
        <v>45111</v>
      </c>
      <c r="C594" s="1" t="n">
        <v>45938</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21782-2024</t>
        </is>
      </c>
      <c r="B595" s="1" t="n">
        <v>45442.63368055555</v>
      </c>
      <c r="C595" s="1" t="n">
        <v>45938</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11671-2023</t>
        </is>
      </c>
      <c r="B596" s="1" t="n">
        <v>44994.48125</v>
      </c>
      <c r="C596" s="1" t="n">
        <v>45938</v>
      </c>
      <c r="D596" t="inlineStr">
        <is>
          <t>ÖSTERGÖTLANDS LÄN</t>
        </is>
      </c>
      <c r="E596" t="inlineStr">
        <is>
          <t>LINKÖPING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29027-2025</t>
        </is>
      </c>
      <c r="B597" s="1" t="n">
        <v>45821.4375462963</v>
      </c>
      <c r="C597" s="1" t="n">
        <v>45938</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29411-2025</t>
        </is>
      </c>
      <c r="B598" s="1" t="n">
        <v>45824.6219212963</v>
      </c>
      <c r="C598" s="1" t="n">
        <v>45938</v>
      </c>
      <c r="D598" t="inlineStr">
        <is>
          <t>ÖSTERGÖTLANDS LÄN</t>
        </is>
      </c>
      <c r="E598" t="inlineStr">
        <is>
          <t>LINKÖPING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29393-2025</t>
        </is>
      </c>
      <c r="B599" s="1" t="n">
        <v>45824.6057175926</v>
      </c>
      <c r="C599" s="1" t="n">
        <v>45938</v>
      </c>
      <c r="D599" t="inlineStr">
        <is>
          <t>ÖSTERGÖTLANDS LÄN</t>
        </is>
      </c>
      <c r="E599" t="inlineStr">
        <is>
          <t>LINKÖPING</t>
        </is>
      </c>
      <c r="F599" t="inlineStr">
        <is>
          <t>Sveaskog</t>
        </is>
      </c>
      <c r="G599" t="n">
        <v>24.6</v>
      </c>
      <c r="H599" t="n">
        <v>0</v>
      </c>
      <c r="I599" t="n">
        <v>0</v>
      </c>
      <c r="J599" t="n">
        <v>0</v>
      </c>
      <c r="K599" t="n">
        <v>0</v>
      </c>
      <c r="L599" t="n">
        <v>0</v>
      </c>
      <c r="M599" t="n">
        <v>0</v>
      </c>
      <c r="N599" t="n">
        <v>0</v>
      </c>
      <c r="O599" t="n">
        <v>0</v>
      </c>
      <c r="P599" t="n">
        <v>0</v>
      </c>
      <c r="Q599" t="n">
        <v>0</v>
      </c>
      <c r="R599" s="2" t="inlineStr"/>
    </row>
    <row r="600" ht="15" customHeight="1">
      <c r="A600" t="inlineStr">
        <is>
          <t>A 3013-2023</t>
        </is>
      </c>
      <c r="B600" s="1" t="n">
        <v>44945.8092824074</v>
      </c>
      <c r="C600" s="1" t="n">
        <v>45938</v>
      </c>
      <c r="D600" t="inlineStr">
        <is>
          <t>ÖSTERGÖTLANDS LÄN</t>
        </is>
      </c>
      <c r="E600" t="inlineStr">
        <is>
          <t>LINKÖPING</t>
        </is>
      </c>
      <c r="G600" t="n">
        <v>5.2</v>
      </c>
      <c r="H600" t="n">
        <v>0</v>
      </c>
      <c r="I600" t="n">
        <v>0</v>
      </c>
      <c r="J600" t="n">
        <v>0</v>
      </c>
      <c r="K600" t="n">
        <v>0</v>
      </c>
      <c r="L600" t="n">
        <v>0</v>
      </c>
      <c r="M600" t="n">
        <v>0</v>
      </c>
      <c r="N600" t="n">
        <v>0</v>
      </c>
      <c r="O600" t="n">
        <v>0</v>
      </c>
      <c r="P600" t="n">
        <v>0</v>
      </c>
      <c r="Q600" t="n">
        <v>0</v>
      </c>
      <c r="R600" s="2" t="inlineStr"/>
    </row>
    <row r="601" ht="15" customHeight="1">
      <c r="A601" t="inlineStr">
        <is>
          <t>A 49747-2024</t>
        </is>
      </c>
      <c r="B601" s="1" t="n">
        <v>45596</v>
      </c>
      <c r="C601" s="1" t="n">
        <v>45938</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29599-2025</t>
        </is>
      </c>
      <c r="B602" s="1" t="n">
        <v>45825.41101851852</v>
      </c>
      <c r="C602" s="1" t="n">
        <v>45938</v>
      </c>
      <c r="D602" t="inlineStr">
        <is>
          <t>ÖSTERGÖTLANDS LÄN</t>
        </is>
      </c>
      <c r="E602" t="inlineStr">
        <is>
          <t>LINKÖPING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42997-2021</t>
        </is>
      </c>
      <c r="B603" s="1" t="n">
        <v>44431.45556712963</v>
      </c>
      <c r="C603" s="1" t="n">
        <v>45938</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3011-2023</t>
        </is>
      </c>
      <c r="B604" s="1" t="n">
        <v>44945</v>
      </c>
      <c r="C604" s="1" t="n">
        <v>45938</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23735-2023</t>
        </is>
      </c>
      <c r="B605" s="1" t="n">
        <v>45077</v>
      </c>
      <c r="C605" s="1" t="n">
        <v>45938</v>
      </c>
      <c r="D605" t="inlineStr">
        <is>
          <t>ÖSTERGÖTLANDS LÄN</t>
        </is>
      </c>
      <c r="E605" t="inlineStr">
        <is>
          <t>LINKÖPING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30355-2025</t>
        </is>
      </c>
      <c r="B606" s="1" t="n">
        <v>45827</v>
      </c>
      <c r="C606" s="1" t="n">
        <v>45938</v>
      </c>
      <c r="D606" t="inlineStr">
        <is>
          <t>ÖSTERGÖTLANDS LÄN</t>
        </is>
      </c>
      <c r="E606" t="inlineStr">
        <is>
          <t>LINKÖPING</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30353-2025</t>
        </is>
      </c>
      <c r="B607" s="1" t="n">
        <v>45827</v>
      </c>
      <c r="C607" s="1" t="n">
        <v>45938</v>
      </c>
      <c r="D607" t="inlineStr">
        <is>
          <t>ÖSTERGÖTLANDS LÄN</t>
        </is>
      </c>
      <c r="E607" t="inlineStr">
        <is>
          <t>LINKÖPING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45821-2024</t>
        </is>
      </c>
      <c r="B608" s="1" t="n">
        <v>45579.75803240741</v>
      </c>
      <c r="C608" s="1" t="n">
        <v>45938</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53647-2021</t>
        </is>
      </c>
      <c r="B609" s="1" t="n">
        <v>44469</v>
      </c>
      <c r="C609" s="1" t="n">
        <v>45938</v>
      </c>
      <c r="D609" t="inlineStr">
        <is>
          <t>ÖSTERGÖTLANDS LÄN</t>
        </is>
      </c>
      <c r="E609" t="inlineStr">
        <is>
          <t>LINKÖPING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31581-2025</t>
        </is>
      </c>
      <c r="B610" s="1" t="n">
        <v>45833.6840162037</v>
      </c>
      <c r="C610" s="1" t="n">
        <v>45938</v>
      </c>
      <c r="D610" t="inlineStr">
        <is>
          <t>ÖSTERGÖTLANDS LÄN</t>
        </is>
      </c>
      <c r="E610" t="inlineStr">
        <is>
          <t>LINKÖPING</t>
        </is>
      </c>
      <c r="G610" t="n">
        <v>2.6</v>
      </c>
      <c r="H610" t="n">
        <v>0</v>
      </c>
      <c r="I610" t="n">
        <v>0</v>
      </c>
      <c r="J610" t="n">
        <v>0</v>
      </c>
      <c r="K610" t="n">
        <v>0</v>
      </c>
      <c r="L610" t="n">
        <v>0</v>
      </c>
      <c r="M610" t="n">
        <v>0</v>
      </c>
      <c r="N610" t="n">
        <v>0</v>
      </c>
      <c r="O610" t="n">
        <v>0</v>
      </c>
      <c r="P610" t="n">
        <v>0</v>
      </c>
      <c r="Q610" t="n">
        <v>0</v>
      </c>
      <c r="R610" s="2" t="inlineStr"/>
    </row>
    <row r="611" ht="15" customHeight="1">
      <c r="A611" t="inlineStr">
        <is>
          <t>A 31585-2025</t>
        </is>
      </c>
      <c r="B611" s="1" t="n">
        <v>45833.68815972222</v>
      </c>
      <c r="C611" s="1" t="n">
        <v>45938</v>
      </c>
      <c r="D611" t="inlineStr">
        <is>
          <t>ÖSTERGÖTLANDS LÄN</t>
        </is>
      </c>
      <c r="E611" t="inlineStr">
        <is>
          <t>LINKÖPING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55265-2020</t>
        </is>
      </c>
      <c r="B612" s="1" t="n">
        <v>44130</v>
      </c>
      <c r="C612" s="1" t="n">
        <v>45938</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6599-2023</t>
        </is>
      </c>
      <c r="B613" s="1" t="n">
        <v>44966.52603009259</v>
      </c>
      <c r="C613" s="1" t="n">
        <v>45938</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35735-2023</t>
        </is>
      </c>
      <c r="B614" s="1" t="n">
        <v>45147</v>
      </c>
      <c r="C614" s="1" t="n">
        <v>45938</v>
      </c>
      <c r="D614" t="inlineStr">
        <is>
          <t>ÖSTERGÖTLANDS LÄN</t>
        </is>
      </c>
      <c r="E614" t="inlineStr">
        <is>
          <t>LINKÖPING</t>
        </is>
      </c>
      <c r="G614" t="n">
        <v>2.8</v>
      </c>
      <c r="H614" t="n">
        <v>0</v>
      </c>
      <c r="I614" t="n">
        <v>0</v>
      </c>
      <c r="J614" t="n">
        <v>0</v>
      </c>
      <c r="K614" t="n">
        <v>0</v>
      </c>
      <c r="L614" t="n">
        <v>0</v>
      </c>
      <c r="M614" t="n">
        <v>0</v>
      </c>
      <c r="N614" t="n">
        <v>0</v>
      </c>
      <c r="O614" t="n">
        <v>0</v>
      </c>
      <c r="P614" t="n">
        <v>0</v>
      </c>
      <c r="Q614" t="n">
        <v>0</v>
      </c>
      <c r="R614" s="2" t="inlineStr"/>
    </row>
    <row r="615" ht="15" customHeight="1">
      <c r="A615" t="inlineStr">
        <is>
          <t>A 45831-2024</t>
        </is>
      </c>
      <c r="B615" s="1" t="n">
        <v>45579.90508101852</v>
      </c>
      <c r="C615" s="1" t="n">
        <v>45938</v>
      </c>
      <c r="D615" t="inlineStr">
        <is>
          <t>ÖSTERGÖTLANDS LÄN</t>
        </is>
      </c>
      <c r="E615" t="inlineStr">
        <is>
          <t>LINKÖPING</t>
        </is>
      </c>
      <c r="G615" t="n">
        <v>1.9</v>
      </c>
      <c r="H615" t="n">
        <v>0</v>
      </c>
      <c r="I615" t="n">
        <v>0</v>
      </c>
      <c r="J615" t="n">
        <v>0</v>
      </c>
      <c r="K615" t="n">
        <v>0</v>
      </c>
      <c r="L615" t="n">
        <v>0</v>
      </c>
      <c r="M615" t="n">
        <v>0</v>
      </c>
      <c r="N615" t="n">
        <v>0</v>
      </c>
      <c r="O615" t="n">
        <v>0</v>
      </c>
      <c r="P615" t="n">
        <v>0</v>
      </c>
      <c r="Q615" t="n">
        <v>0</v>
      </c>
      <c r="R615" s="2" t="inlineStr"/>
    </row>
    <row r="616" ht="15" customHeight="1">
      <c r="A616" t="inlineStr">
        <is>
          <t>A 17157-2024</t>
        </is>
      </c>
      <c r="B616" s="1" t="n">
        <v>45412.70567129629</v>
      </c>
      <c r="C616" s="1" t="n">
        <v>45938</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32723-2025</t>
        </is>
      </c>
      <c r="B617" s="1" t="n">
        <v>45838</v>
      </c>
      <c r="C617" s="1" t="n">
        <v>45938</v>
      </c>
      <c r="D617" t="inlineStr">
        <is>
          <t>ÖSTERGÖTLANDS LÄN</t>
        </is>
      </c>
      <c r="E617" t="inlineStr">
        <is>
          <t>LINKÖPING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37154-2023</t>
        </is>
      </c>
      <c r="B618" s="1" t="n">
        <v>45155</v>
      </c>
      <c r="C618" s="1" t="n">
        <v>45938</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53812-2023</t>
        </is>
      </c>
      <c r="B619" s="1" t="n">
        <v>45231.39583333334</v>
      </c>
      <c r="C619" s="1" t="n">
        <v>45938</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53830-2023</t>
        </is>
      </c>
      <c r="B620" s="1" t="n">
        <v>45230</v>
      </c>
      <c r="C620" s="1" t="n">
        <v>45938</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56841-2023</t>
        </is>
      </c>
      <c r="B621" s="1" t="n">
        <v>45244</v>
      </c>
      <c r="C621" s="1" t="n">
        <v>45938</v>
      </c>
      <c r="D621" t="inlineStr">
        <is>
          <t>ÖSTERGÖTLANDS LÄN</t>
        </is>
      </c>
      <c r="E621" t="inlineStr">
        <is>
          <t>LINKÖPING</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56741-2023</t>
        </is>
      </c>
      <c r="B622" s="1" t="n">
        <v>45244</v>
      </c>
      <c r="C622" s="1" t="n">
        <v>45938</v>
      </c>
      <c r="D622" t="inlineStr">
        <is>
          <t>ÖSTERGÖTLANDS LÄN</t>
        </is>
      </c>
      <c r="E622" t="inlineStr">
        <is>
          <t>LINKÖPING</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53816-2023</t>
        </is>
      </c>
      <c r="B623" s="1" t="n">
        <v>45231.40012731482</v>
      </c>
      <c r="C623" s="1" t="n">
        <v>45938</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63935-2021</t>
        </is>
      </c>
      <c r="B624" s="1" t="n">
        <v>44509</v>
      </c>
      <c r="C624" s="1" t="n">
        <v>45938</v>
      </c>
      <c r="D624" t="inlineStr">
        <is>
          <t>ÖSTERGÖTLANDS LÄN</t>
        </is>
      </c>
      <c r="E624" t="inlineStr">
        <is>
          <t>LINKÖPING</t>
        </is>
      </c>
      <c r="F624" t="inlineStr">
        <is>
          <t>Övriga statliga verk och myndigheter</t>
        </is>
      </c>
      <c r="G624" t="n">
        <v>2.8</v>
      </c>
      <c r="H624" t="n">
        <v>0</v>
      </c>
      <c r="I624" t="n">
        <v>0</v>
      </c>
      <c r="J624" t="n">
        <v>0</v>
      </c>
      <c r="K624" t="n">
        <v>0</v>
      </c>
      <c r="L624" t="n">
        <v>0</v>
      </c>
      <c r="M624" t="n">
        <v>0</v>
      </c>
      <c r="N624" t="n">
        <v>0</v>
      </c>
      <c r="O624" t="n">
        <v>0</v>
      </c>
      <c r="P624" t="n">
        <v>0</v>
      </c>
      <c r="Q624" t="n">
        <v>0</v>
      </c>
      <c r="R624" s="2" t="inlineStr"/>
    </row>
    <row r="625" ht="15" customHeight="1">
      <c r="A625" t="inlineStr">
        <is>
          <t>A 6726-2024</t>
        </is>
      </c>
      <c r="B625" s="1" t="n">
        <v>45341</v>
      </c>
      <c r="C625" s="1" t="n">
        <v>45938</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33947-2025</t>
        </is>
      </c>
      <c r="B626" s="1" t="n">
        <v>45842.65444444444</v>
      </c>
      <c r="C626" s="1" t="n">
        <v>45938</v>
      </c>
      <c r="D626" t="inlineStr">
        <is>
          <t>ÖSTERGÖTLANDS LÄN</t>
        </is>
      </c>
      <c r="E626" t="inlineStr">
        <is>
          <t>LINKÖPING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53529-2024</t>
        </is>
      </c>
      <c r="B627" s="1" t="n">
        <v>45614</v>
      </c>
      <c r="C627" s="1" t="n">
        <v>45938</v>
      </c>
      <c r="D627" t="inlineStr">
        <is>
          <t>ÖSTERGÖTLANDS LÄN</t>
        </is>
      </c>
      <c r="E627" t="inlineStr">
        <is>
          <t>LINKÖPING</t>
        </is>
      </c>
      <c r="G627" t="n">
        <v>6.7</v>
      </c>
      <c r="H627" t="n">
        <v>0</v>
      </c>
      <c r="I627" t="n">
        <v>0</v>
      </c>
      <c r="J627" t="n">
        <v>0</v>
      </c>
      <c r="K627" t="n">
        <v>0</v>
      </c>
      <c r="L627" t="n">
        <v>0</v>
      </c>
      <c r="M627" t="n">
        <v>0</v>
      </c>
      <c r="N627" t="n">
        <v>0</v>
      </c>
      <c r="O627" t="n">
        <v>0</v>
      </c>
      <c r="P627" t="n">
        <v>0</v>
      </c>
      <c r="Q627" t="n">
        <v>0</v>
      </c>
      <c r="R627" s="2" t="inlineStr"/>
    </row>
    <row r="628" ht="15" customHeight="1">
      <c r="A628" t="inlineStr">
        <is>
          <t>A 62012-2024</t>
        </is>
      </c>
      <c r="B628" s="1" t="n">
        <v>45655.79679398148</v>
      </c>
      <c r="C628" s="1" t="n">
        <v>45938</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3007-2023</t>
        </is>
      </c>
      <c r="B629" s="1" t="n">
        <v>44945</v>
      </c>
      <c r="C629" s="1" t="n">
        <v>45938</v>
      </c>
      <c r="D629" t="inlineStr">
        <is>
          <t>ÖSTERGÖTLANDS LÄN</t>
        </is>
      </c>
      <c r="E629" t="inlineStr">
        <is>
          <t>LINKÖPING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18145-2021</t>
        </is>
      </c>
      <c r="B630" s="1" t="n">
        <v>44302</v>
      </c>
      <c r="C630" s="1" t="n">
        <v>45938</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29309-2024</t>
        </is>
      </c>
      <c r="B631" s="1" t="n">
        <v>45483</v>
      </c>
      <c r="C631" s="1" t="n">
        <v>45938</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20469-2025</t>
        </is>
      </c>
      <c r="B632" s="1" t="n">
        <v>45775</v>
      </c>
      <c r="C632" s="1" t="n">
        <v>45938</v>
      </c>
      <c r="D632" t="inlineStr">
        <is>
          <t>ÖSTERGÖTLANDS LÄN</t>
        </is>
      </c>
      <c r="E632" t="inlineStr">
        <is>
          <t>LINKÖPING</t>
        </is>
      </c>
      <c r="F632" t="inlineStr">
        <is>
          <t>Kyrkan</t>
        </is>
      </c>
      <c r="G632" t="n">
        <v>6.1</v>
      </c>
      <c r="H632" t="n">
        <v>0</v>
      </c>
      <c r="I632" t="n">
        <v>0</v>
      </c>
      <c r="J632" t="n">
        <v>0</v>
      </c>
      <c r="K632" t="n">
        <v>0</v>
      </c>
      <c r="L632" t="n">
        <v>0</v>
      </c>
      <c r="M632" t="n">
        <v>0</v>
      </c>
      <c r="N632" t="n">
        <v>0</v>
      </c>
      <c r="O632" t="n">
        <v>0</v>
      </c>
      <c r="P632" t="n">
        <v>0</v>
      </c>
      <c r="Q632" t="n">
        <v>0</v>
      </c>
      <c r="R632" s="2" t="inlineStr"/>
    </row>
    <row r="633" ht="15" customHeight="1">
      <c r="A633" t="inlineStr">
        <is>
          <t>A 33800-2023</t>
        </is>
      </c>
      <c r="B633" s="1" t="n">
        <v>45121</v>
      </c>
      <c r="C633" s="1" t="n">
        <v>45938</v>
      </c>
      <c r="D633" t="inlineStr">
        <is>
          <t>ÖSTERGÖTLANDS LÄN</t>
        </is>
      </c>
      <c r="E633" t="inlineStr">
        <is>
          <t>LINKÖPING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26007-2025</t>
        </is>
      </c>
      <c r="B634" s="1" t="n">
        <v>45804.67081018518</v>
      </c>
      <c r="C634" s="1" t="n">
        <v>45938</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35174-2025</t>
        </is>
      </c>
      <c r="B635" s="1" t="n">
        <v>45852.90648148148</v>
      </c>
      <c r="C635" s="1" t="n">
        <v>45938</v>
      </c>
      <c r="D635" t="inlineStr">
        <is>
          <t>ÖSTERGÖTLANDS LÄN</t>
        </is>
      </c>
      <c r="E635" t="inlineStr">
        <is>
          <t>LINKÖPING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47991-2023</t>
        </is>
      </c>
      <c r="B636" s="1" t="n">
        <v>45204.62655092592</v>
      </c>
      <c r="C636" s="1" t="n">
        <v>45938</v>
      </c>
      <c r="D636" t="inlineStr">
        <is>
          <t>ÖSTERGÖTLANDS LÄN</t>
        </is>
      </c>
      <c r="E636" t="inlineStr">
        <is>
          <t>LINKÖPING</t>
        </is>
      </c>
      <c r="F636" t="inlineStr">
        <is>
          <t>Allmännings- och besparingsskogar</t>
        </is>
      </c>
      <c r="G636" t="n">
        <v>7.3</v>
      </c>
      <c r="H636" t="n">
        <v>0</v>
      </c>
      <c r="I636" t="n">
        <v>0</v>
      </c>
      <c r="J636" t="n">
        <v>0</v>
      </c>
      <c r="K636" t="n">
        <v>0</v>
      </c>
      <c r="L636" t="n">
        <v>0</v>
      </c>
      <c r="M636" t="n">
        <v>0</v>
      </c>
      <c r="N636" t="n">
        <v>0</v>
      </c>
      <c r="O636" t="n">
        <v>0</v>
      </c>
      <c r="P636" t="n">
        <v>0</v>
      </c>
      <c r="Q636" t="n">
        <v>0</v>
      </c>
      <c r="R636" s="2" t="inlineStr"/>
    </row>
    <row r="637" ht="15" customHeight="1">
      <c r="A637" t="inlineStr">
        <is>
          <t>A 35179-2025</t>
        </is>
      </c>
      <c r="B637" s="1" t="n">
        <v>45852.93737268518</v>
      </c>
      <c r="C637" s="1" t="n">
        <v>45938</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35180-2025</t>
        </is>
      </c>
      <c r="B638" s="1" t="n">
        <v>45852.9413425926</v>
      </c>
      <c r="C638" s="1" t="n">
        <v>45938</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35178-2025</t>
        </is>
      </c>
      <c r="B639" s="1" t="n">
        <v>45852.91939814815</v>
      </c>
      <c r="C639" s="1" t="n">
        <v>45938</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53411-2023</t>
        </is>
      </c>
      <c r="B640" s="1" t="n">
        <v>45229.81049768518</v>
      </c>
      <c r="C640" s="1" t="n">
        <v>45938</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26788-2022</t>
        </is>
      </c>
      <c r="B641" s="1" t="n">
        <v>44740</v>
      </c>
      <c r="C641" s="1" t="n">
        <v>45938</v>
      </c>
      <c r="D641" t="inlineStr">
        <is>
          <t>ÖSTERGÖTLANDS LÄN</t>
        </is>
      </c>
      <c r="E641" t="inlineStr">
        <is>
          <t>LINKÖPING</t>
        </is>
      </c>
      <c r="G641" t="n">
        <v>3.2</v>
      </c>
      <c r="H641" t="n">
        <v>0</v>
      </c>
      <c r="I641" t="n">
        <v>0</v>
      </c>
      <c r="J641" t="n">
        <v>0</v>
      </c>
      <c r="K641" t="n">
        <v>0</v>
      </c>
      <c r="L641" t="n">
        <v>0</v>
      </c>
      <c r="M641" t="n">
        <v>0</v>
      </c>
      <c r="N641" t="n">
        <v>0</v>
      </c>
      <c r="O641" t="n">
        <v>0</v>
      </c>
      <c r="P641" t="n">
        <v>0</v>
      </c>
      <c r="Q641" t="n">
        <v>0</v>
      </c>
      <c r="R641" s="2" t="inlineStr"/>
    </row>
    <row r="642" ht="15" customHeight="1">
      <c r="A642" t="inlineStr">
        <is>
          <t>A 24462-2023</t>
        </is>
      </c>
      <c r="B642" s="1" t="n">
        <v>45082</v>
      </c>
      <c r="C642" s="1" t="n">
        <v>45938</v>
      </c>
      <c r="D642" t="inlineStr">
        <is>
          <t>ÖSTERGÖTLANDS LÄN</t>
        </is>
      </c>
      <c r="E642" t="inlineStr">
        <is>
          <t>LINKÖPING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41511-2025</t>
        </is>
      </c>
      <c r="B643" s="1" t="n">
        <v>45901.53839120371</v>
      </c>
      <c r="C643" s="1" t="n">
        <v>45938</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62015-2024</t>
        </is>
      </c>
      <c r="B644" s="1" t="n">
        <v>45655.80457175926</v>
      </c>
      <c r="C644" s="1" t="n">
        <v>45938</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10741-2023</t>
        </is>
      </c>
      <c r="B645" s="1" t="n">
        <v>44988.70084490741</v>
      </c>
      <c r="C645" s="1" t="n">
        <v>45938</v>
      </c>
      <c r="D645" t="inlineStr">
        <is>
          <t>ÖSTERGÖTLANDS LÄN</t>
        </is>
      </c>
      <c r="E645" t="inlineStr">
        <is>
          <t>LINKÖPING</t>
        </is>
      </c>
      <c r="F645" t="inlineStr">
        <is>
          <t>Allmännings- och besparingsskogar</t>
        </is>
      </c>
      <c r="G645" t="n">
        <v>11.2</v>
      </c>
      <c r="H645" t="n">
        <v>0</v>
      </c>
      <c r="I645" t="n">
        <v>0</v>
      </c>
      <c r="J645" t="n">
        <v>0</v>
      </c>
      <c r="K645" t="n">
        <v>0</v>
      </c>
      <c r="L645" t="n">
        <v>0</v>
      </c>
      <c r="M645" t="n">
        <v>0</v>
      </c>
      <c r="N645" t="n">
        <v>0</v>
      </c>
      <c r="O645" t="n">
        <v>0</v>
      </c>
      <c r="P645" t="n">
        <v>0</v>
      </c>
      <c r="Q645" t="n">
        <v>0</v>
      </c>
      <c r="R645" s="2" t="inlineStr"/>
    </row>
    <row r="646" ht="15" customHeight="1">
      <c r="A646" t="inlineStr">
        <is>
          <t>A 43473-2024</t>
        </is>
      </c>
      <c r="B646" s="1" t="n">
        <v>45568</v>
      </c>
      <c r="C646" s="1" t="n">
        <v>45938</v>
      </c>
      <c r="D646" t="inlineStr">
        <is>
          <t>ÖSTERGÖTLANDS LÄN</t>
        </is>
      </c>
      <c r="E646" t="inlineStr">
        <is>
          <t>LINKÖPING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43475-2024</t>
        </is>
      </c>
      <c r="B647" s="1" t="n">
        <v>45568</v>
      </c>
      <c r="C647" s="1" t="n">
        <v>45938</v>
      </c>
      <c r="D647" t="inlineStr">
        <is>
          <t>ÖSTERGÖTLANDS LÄN</t>
        </is>
      </c>
      <c r="E647" t="inlineStr">
        <is>
          <t>LINKÖPING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1207-2023</t>
        </is>
      </c>
      <c r="B648" s="1" t="n">
        <v>44930</v>
      </c>
      <c r="C648" s="1" t="n">
        <v>45938</v>
      </c>
      <c r="D648" t="inlineStr">
        <is>
          <t>ÖSTERGÖTLANDS LÄN</t>
        </is>
      </c>
      <c r="E648" t="inlineStr">
        <is>
          <t>LINKÖPING</t>
        </is>
      </c>
      <c r="F648" t="inlineStr">
        <is>
          <t>Övriga statliga verk och myndigheter</t>
        </is>
      </c>
      <c r="G648" t="n">
        <v>32.8</v>
      </c>
      <c r="H648" t="n">
        <v>0</v>
      </c>
      <c r="I648" t="n">
        <v>0</v>
      </c>
      <c r="J648" t="n">
        <v>0</v>
      </c>
      <c r="K648" t="n">
        <v>0</v>
      </c>
      <c r="L648" t="n">
        <v>0</v>
      </c>
      <c r="M648" t="n">
        <v>0</v>
      </c>
      <c r="N648" t="n">
        <v>0</v>
      </c>
      <c r="O648" t="n">
        <v>0</v>
      </c>
      <c r="P648" t="n">
        <v>0</v>
      </c>
      <c r="Q648" t="n">
        <v>0</v>
      </c>
      <c r="R648" s="2" t="inlineStr"/>
    </row>
    <row r="649" ht="15" customHeight="1">
      <c r="A649" t="inlineStr">
        <is>
          <t>A 29859-2024</t>
        </is>
      </c>
      <c r="B649" s="1" t="n">
        <v>45485.6846412037</v>
      </c>
      <c r="C649" s="1" t="n">
        <v>45938</v>
      </c>
      <c r="D649" t="inlineStr">
        <is>
          <t>ÖSTERGÖTLANDS LÄN</t>
        </is>
      </c>
      <c r="E649" t="inlineStr">
        <is>
          <t>LINKÖPING</t>
        </is>
      </c>
      <c r="G649" t="n">
        <v>0.4</v>
      </c>
      <c r="H649" t="n">
        <v>0</v>
      </c>
      <c r="I649" t="n">
        <v>0</v>
      </c>
      <c r="J649" t="n">
        <v>0</v>
      </c>
      <c r="K649" t="n">
        <v>0</v>
      </c>
      <c r="L649" t="n">
        <v>0</v>
      </c>
      <c r="M649" t="n">
        <v>0</v>
      </c>
      <c r="N649" t="n">
        <v>0</v>
      </c>
      <c r="O649" t="n">
        <v>0</v>
      </c>
      <c r="P649" t="n">
        <v>0</v>
      </c>
      <c r="Q649" t="n">
        <v>0</v>
      </c>
      <c r="R649" s="2" t="inlineStr"/>
    </row>
    <row r="650" ht="15" customHeight="1">
      <c r="A650" t="inlineStr">
        <is>
          <t>A 35757-2025</t>
        </is>
      </c>
      <c r="B650" s="1" t="n">
        <v>45860.59876157407</v>
      </c>
      <c r="C650" s="1" t="n">
        <v>45938</v>
      </c>
      <c r="D650" t="inlineStr">
        <is>
          <t>ÖSTERGÖTLANDS LÄN</t>
        </is>
      </c>
      <c r="E650" t="inlineStr">
        <is>
          <t>LINKÖPING</t>
        </is>
      </c>
      <c r="G650" t="n">
        <v>5.7</v>
      </c>
      <c r="H650" t="n">
        <v>0</v>
      </c>
      <c r="I650" t="n">
        <v>0</v>
      </c>
      <c r="J650" t="n">
        <v>0</v>
      </c>
      <c r="K650" t="n">
        <v>0</v>
      </c>
      <c r="L650" t="n">
        <v>0</v>
      </c>
      <c r="M650" t="n">
        <v>0</v>
      </c>
      <c r="N650" t="n">
        <v>0</v>
      </c>
      <c r="O650" t="n">
        <v>0</v>
      </c>
      <c r="P650" t="n">
        <v>0</v>
      </c>
      <c r="Q650" t="n">
        <v>0</v>
      </c>
      <c r="R650" s="2" t="inlineStr"/>
    </row>
    <row r="651" ht="15" customHeight="1">
      <c r="A651" t="inlineStr">
        <is>
          <t>A 45819-2024</t>
        </is>
      </c>
      <c r="B651" s="1" t="n">
        <v>45579.7454050926</v>
      </c>
      <c r="C651" s="1" t="n">
        <v>45938</v>
      </c>
      <c r="D651" t="inlineStr">
        <is>
          <t>ÖSTERGÖTLANDS LÄN</t>
        </is>
      </c>
      <c r="E651" t="inlineStr">
        <is>
          <t>LINKÖPING</t>
        </is>
      </c>
      <c r="G651" t="n">
        <v>5</v>
      </c>
      <c r="H651" t="n">
        <v>0</v>
      </c>
      <c r="I651" t="n">
        <v>0</v>
      </c>
      <c r="J651" t="n">
        <v>0</v>
      </c>
      <c r="K651" t="n">
        <v>0</v>
      </c>
      <c r="L651" t="n">
        <v>0</v>
      </c>
      <c r="M651" t="n">
        <v>0</v>
      </c>
      <c r="N651" t="n">
        <v>0</v>
      </c>
      <c r="O651" t="n">
        <v>0</v>
      </c>
      <c r="P651" t="n">
        <v>0</v>
      </c>
      <c r="Q651" t="n">
        <v>0</v>
      </c>
      <c r="R651" s="2" t="inlineStr"/>
    </row>
    <row r="652" ht="15" customHeight="1">
      <c r="A652" t="inlineStr">
        <is>
          <t>A 15748-2025</t>
        </is>
      </c>
      <c r="B652" s="1" t="n">
        <v>45748.55282407408</v>
      </c>
      <c r="C652" s="1" t="n">
        <v>45938</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35745-2025</t>
        </is>
      </c>
      <c r="B653" s="1" t="n">
        <v>45860.54739583333</v>
      </c>
      <c r="C653" s="1" t="n">
        <v>45938</v>
      </c>
      <c r="D653" t="inlineStr">
        <is>
          <t>ÖSTERGÖTLANDS LÄN</t>
        </is>
      </c>
      <c r="E653" t="inlineStr">
        <is>
          <t>LINKÖPING</t>
        </is>
      </c>
      <c r="G653" t="n">
        <v>4.4</v>
      </c>
      <c r="H653" t="n">
        <v>0</v>
      </c>
      <c r="I653" t="n">
        <v>0</v>
      </c>
      <c r="J653" t="n">
        <v>0</v>
      </c>
      <c r="K653" t="n">
        <v>0</v>
      </c>
      <c r="L653" t="n">
        <v>0</v>
      </c>
      <c r="M653" t="n">
        <v>0</v>
      </c>
      <c r="N653" t="n">
        <v>0</v>
      </c>
      <c r="O653" t="n">
        <v>0</v>
      </c>
      <c r="P653" t="n">
        <v>0</v>
      </c>
      <c r="Q653" t="n">
        <v>0</v>
      </c>
      <c r="R653" s="2" t="inlineStr"/>
    </row>
    <row r="654" ht="15" customHeight="1">
      <c r="A654" t="inlineStr">
        <is>
          <t>A 35747-2025</t>
        </is>
      </c>
      <c r="B654" s="1" t="n">
        <v>45860.56385416666</v>
      </c>
      <c r="C654" s="1" t="n">
        <v>45938</v>
      </c>
      <c r="D654" t="inlineStr">
        <is>
          <t>ÖSTERGÖTLANDS LÄN</t>
        </is>
      </c>
      <c r="E654" t="inlineStr">
        <is>
          <t>LINKÖPING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15754-2025</t>
        </is>
      </c>
      <c r="B655" s="1" t="n">
        <v>45748.56105324074</v>
      </c>
      <c r="C655" s="1" t="n">
        <v>45938</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30518-2024</t>
        </is>
      </c>
      <c r="B656" s="1" t="n">
        <v>45492</v>
      </c>
      <c r="C656" s="1" t="n">
        <v>45938</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53797-2023</t>
        </is>
      </c>
      <c r="B657" s="1" t="n">
        <v>45230</v>
      </c>
      <c r="C657" s="1" t="n">
        <v>45938</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35759-2025</t>
        </is>
      </c>
      <c r="B658" s="1" t="n">
        <v>45860</v>
      </c>
      <c r="C658" s="1" t="n">
        <v>45938</v>
      </c>
      <c r="D658" t="inlineStr">
        <is>
          <t>ÖSTERGÖTLANDS LÄN</t>
        </is>
      </c>
      <c r="E658" t="inlineStr">
        <is>
          <t>LINKÖPING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55345-2021</t>
        </is>
      </c>
      <c r="B659" s="1" t="n">
        <v>44475</v>
      </c>
      <c r="C659" s="1" t="n">
        <v>45938</v>
      </c>
      <c r="D659" t="inlineStr">
        <is>
          <t>ÖSTERGÖTLANDS LÄN</t>
        </is>
      </c>
      <c r="E659" t="inlineStr">
        <is>
          <t>LINKÖPING</t>
        </is>
      </c>
      <c r="G659" t="n">
        <v>5.7</v>
      </c>
      <c r="H659" t="n">
        <v>0</v>
      </c>
      <c r="I659" t="n">
        <v>0</v>
      </c>
      <c r="J659" t="n">
        <v>0</v>
      </c>
      <c r="K659" t="n">
        <v>0</v>
      </c>
      <c r="L659" t="n">
        <v>0</v>
      </c>
      <c r="M659" t="n">
        <v>0</v>
      </c>
      <c r="N659" t="n">
        <v>0</v>
      </c>
      <c r="O659" t="n">
        <v>0</v>
      </c>
      <c r="P659" t="n">
        <v>0</v>
      </c>
      <c r="Q659" t="n">
        <v>0</v>
      </c>
      <c r="R659" s="2" t="inlineStr"/>
    </row>
    <row r="660" ht="15" customHeight="1">
      <c r="A660" t="inlineStr">
        <is>
          <t>A 59954-2020</t>
        </is>
      </c>
      <c r="B660" s="1" t="n">
        <v>44151</v>
      </c>
      <c r="C660" s="1" t="n">
        <v>45938</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59969-2020</t>
        </is>
      </c>
      <c r="B661" s="1" t="n">
        <v>44151</v>
      </c>
      <c r="C661" s="1" t="n">
        <v>45938</v>
      </c>
      <c r="D661" t="inlineStr">
        <is>
          <t>ÖSTERGÖTLANDS LÄN</t>
        </is>
      </c>
      <c r="E661" t="inlineStr">
        <is>
          <t>LINKÖPING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41706-2025</t>
        </is>
      </c>
      <c r="B662" s="1" t="n">
        <v>45902.42209490741</v>
      </c>
      <c r="C662" s="1" t="n">
        <v>45938</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10198-2023</t>
        </is>
      </c>
      <c r="B663" s="1" t="n">
        <v>44986.54665509259</v>
      </c>
      <c r="C663" s="1" t="n">
        <v>45938</v>
      </c>
      <c r="D663" t="inlineStr">
        <is>
          <t>ÖSTERGÖTLANDS LÄN</t>
        </is>
      </c>
      <c r="E663" t="inlineStr">
        <is>
          <t>LINKÖPING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4298-2023</t>
        </is>
      </c>
      <c r="B664" s="1" t="n">
        <v>44953</v>
      </c>
      <c r="C664" s="1" t="n">
        <v>45938</v>
      </c>
      <c r="D664" t="inlineStr">
        <is>
          <t>ÖSTERGÖTLANDS LÄN</t>
        </is>
      </c>
      <c r="E664" t="inlineStr">
        <is>
          <t>LINKÖPING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12428-2024</t>
        </is>
      </c>
      <c r="B665" s="1" t="n">
        <v>45379</v>
      </c>
      <c r="C665" s="1" t="n">
        <v>45938</v>
      </c>
      <c r="D665" t="inlineStr">
        <is>
          <t>ÖSTERGÖTLANDS LÄN</t>
        </is>
      </c>
      <c r="E665" t="inlineStr">
        <is>
          <t>LINKÖPING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26618-2023</t>
        </is>
      </c>
      <c r="B666" s="1" t="n">
        <v>45092.70306712963</v>
      </c>
      <c r="C666" s="1" t="n">
        <v>45938</v>
      </c>
      <c r="D666" t="inlineStr">
        <is>
          <t>ÖSTERGÖTLANDS LÄN</t>
        </is>
      </c>
      <c r="E666" t="inlineStr">
        <is>
          <t>LINKÖPING</t>
        </is>
      </c>
      <c r="G666" t="n">
        <v>6.9</v>
      </c>
      <c r="H666" t="n">
        <v>0</v>
      </c>
      <c r="I666" t="n">
        <v>0</v>
      </c>
      <c r="J666" t="n">
        <v>0</v>
      </c>
      <c r="K666" t="n">
        <v>0</v>
      </c>
      <c r="L666" t="n">
        <v>0</v>
      </c>
      <c r="M666" t="n">
        <v>0</v>
      </c>
      <c r="N666" t="n">
        <v>0</v>
      </c>
      <c r="O666" t="n">
        <v>0</v>
      </c>
      <c r="P666" t="n">
        <v>0</v>
      </c>
      <c r="Q666" t="n">
        <v>0</v>
      </c>
      <c r="R666" s="2" t="inlineStr"/>
    </row>
    <row r="667" ht="15" customHeight="1">
      <c r="A667" t="inlineStr">
        <is>
          <t>A 34930-2023</t>
        </is>
      </c>
      <c r="B667" s="1" t="n">
        <v>45142</v>
      </c>
      <c r="C667" s="1" t="n">
        <v>45938</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670-2024</t>
        </is>
      </c>
      <c r="B668" s="1" t="n">
        <v>45300.3408912037</v>
      </c>
      <c r="C668" s="1" t="n">
        <v>45938</v>
      </c>
      <c r="D668" t="inlineStr">
        <is>
          <t>ÖSTERGÖTLANDS LÄN</t>
        </is>
      </c>
      <c r="E668" t="inlineStr">
        <is>
          <t>LINKÖPING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63845-2021</t>
        </is>
      </c>
      <c r="B669" s="1" t="n">
        <v>44509</v>
      </c>
      <c r="C669" s="1" t="n">
        <v>45938</v>
      </c>
      <c r="D669" t="inlineStr">
        <is>
          <t>ÖSTERGÖTLANDS LÄN</t>
        </is>
      </c>
      <c r="E669" t="inlineStr">
        <is>
          <t>LINKÖPING</t>
        </is>
      </c>
      <c r="G669" t="n">
        <v>5</v>
      </c>
      <c r="H669" t="n">
        <v>0</v>
      </c>
      <c r="I669" t="n">
        <v>0</v>
      </c>
      <c r="J669" t="n">
        <v>0</v>
      </c>
      <c r="K669" t="n">
        <v>0</v>
      </c>
      <c r="L669" t="n">
        <v>0</v>
      </c>
      <c r="M669" t="n">
        <v>0</v>
      </c>
      <c r="N669" t="n">
        <v>0</v>
      </c>
      <c r="O669" t="n">
        <v>0</v>
      </c>
      <c r="P669" t="n">
        <v>0</v>
      </c>
      <c r="Q669" t="n">
        <v>0</v>
      </c>
      <c r="R669" s="2" t="inlineStr"/>
    </row>
    <row r="670" ht="15" customHeight="1">
      <c r="A670" t="inlineStr">
        <is>
          <t>A 54034-2022</t>
        </is>
      </c>
      <c r="B670" s="1" t="n">
        <v>44881</v>
      </c>
      <c r="C670" s="1" t="n">
        <v>45938</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36336-2023</t>
        </is>
      </c>
      <c r="B671" s="1" t="n">
        <v>45152.45078703704</v>
      </c>
      <c r="C671" s="1" t="n">
        <v>45938</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42624-2025</t>
        </is>
      </c>
      <c r="B672" s="1" t="n">
        <v>45905</v>
      </c>
      <c r="C672" s="1" t="n">
        <v>45938</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48829-2023</t>
        </is>
      </c>
      <c r="B673" s="1" t="n">
        <v>45209.38177083333</v>
      </c>
      <c r="C673" s="1" t="n">
        <v>45938</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42623-2025</t>
        </is>
      </c>
      <c r="B674" s="1" t="n">
        <v>45905</v>
      </c>
      <c r="C674" s="1" t="n">
        <v>45938</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42626-2025</t>
        </is>
      </c>
      <c r="B675" s="1" t="n">
        <v>45905</v>
      </c>
      <c r="C675" s="1" t="n">
        <v>45938</v>
      </c>
      <c r="D675" t="inlineStr">
        <is>
          <t>ÖSTERGÖTLANDS LÄN</t>
        </is>
      </c>
      <c r="E675" t="inlineStr">
        <is>
          <t>LINKÖPING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48186-2022</t>
        </is>
      </c>
      <c r="B676" s="1" t="n">
        <v>44858</v>
      </c>
      <c r="C676" s="1" t="n">
        <v>45938</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44170-2025</t>
        </is>
      </c>
      <c r="B677" s="1" t="n">
        <v>45915.59864583334</v>
      </c>
      <c r="C677" s="1" t="n">
        <v>45938</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43753-2025</t>
        </is>
      </c>
      <c r="B678" s="1" t="n">
        <v>45912.4715625</v>
      </c>
      <c r="C678" s="1" t="n">
        <v>45938</v>
      </c>
      <c r="D678" t="inlineStr">
        <is>
          <t>ÖSTERGÖTLANDS LÄN</t>
        </is>
      </c>
      <c r="E678" t="inlineStr">
        <is>
          <t>LINKÖPING</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43755-2025</t>
        </is>
      </c>
      <c r="B679" s="1" t="n">
        <v>45912.47329861111</v>
      </c>
      <c r="C679" s="1" t="n">
        <v>45938</v>
      </c>
      <c r="D679" t="inlineStr">
        <is>
          <t>ÖSTERGÖTLANDS LÄN</t>
        </is>
      </c>
      <c r="E679" t="inlineStr">
        <is>
          <t>LINKÖPING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43758-2025</t>
        </is>
      </c>
      <c r="B680" s="1" t="n">
        <v>45912.47711805555</v>
      </c>
      <c r="C680" s="1" t="n">
        <v>45938</v>
      </c>
      <c r="D680" t="inlineStr">
        <is>
          <t>ÖSTERGÖTLANDS LÄN</t>
        </is>
      </c>
      <c r="E680" t="inlineStr">
        <is>
          <t>LINKÖPING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37057-2025</t>
        </is>
      </c>
      <c r="B681" s="1" t="n">
        <v>45875.37489583333</v>
      </c>
      <c r="C681" s="1" t="n">
        <v>45938</v>
      </c>
      <c r="D681" t="inlineStr">
        <is>
          <t>ÖSTERGÖTLANDS LÄN</t>
        </is>
      </c>
      <c r="E681" t="inlineStr">
        <is>
          <t>LINKÖPING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44759-2025</t>
        </is>
      </c>
      <c r="B682" s="1" t="n">
        <v>45917.7152662037</v>
      </c>
      <c r="C682" s="1" t="n">
        <v>45938</v>
      </c>
      <c r="D682" t="inlineStr">
        <is>
          <t>ÖSTERGÖTLANDS LÄN</t>
        </is>
      </c>
      <c r="E682" t="inlineStr">
        <is>
          <t>LINKÖPING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44764-2025</t>
        </is>
      </c>
      <c r="B683" s="1" t="n">
        <v>45917.72821759259</v>
      </c>
      <c r="C683" s="1" t="n">
        <v>45938</v>
      </c>
      <c r="D683" t="inlineStr">
        <is>
          <t>ÖSTERGÖTLANDS LÄN</t>
        </is>
      </c>
      <c r="E683" t="inlineStr">
        <is>
          <t>LINKÖPING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45792-2025</t>
        </is>
      </c>
      <c r="B684" s="1" t="n">
        <v>45923.56998842592</v>
      </c>
      <c r="C684" s="1" t="n">
        <v>45938</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45804-2025</t>
        </is>
      </c>
      <c r="B685" s="1" t="n">
        <v>45923.5819675926</v>
      </c>
      <c r="C685" s="1" t="n">
        <v>45938</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45634-2025</t>
        </is>
      </c>
      <c r="B686" s="1" t="n">
        <v>45922.85089120371</v>
      </c>
      <c r="C686" s="1" t="n">
        <v>45938</v>
      </c>
      <c r="D686" t="inlineStr">
        <is>
          <t>ÖSTERGÖTLANDS LÄN</t>
        </is>
      </c>
      <c r="E686" t="inlineStr">
        <is>
          <t>LINKÖPING</t>
        </is>
      </c>
      <c r="F686" t="inlineStr">
        <is>
          <t>Övriga Aktiebolag</t>
        </is>
      </c>
      <c r="G686" t="n">
        <v>0.3</v>
      </c>
      <c r="H686" t="n">
        <v>0</v>
      </c>
      <c r="I686" t="n">
        <v>0</v>
      </c>
      <c r="J686" t="n">
        <v>0</v>
      </c>
      <c r="K686" t="n">
        <v>0</v>
      </c>
      <c r="L686" t="n">
        <v>0</v>
      </c>
      <c r="M686" t="n">
        <v>0</v>
      </c>
      <c r="N686" t="n">
        <v>0</v>
      </c>
      <c r="O686" t="n">
        <v>0</v>
      </c>
      <c r="P686" t="n">
        <v>0</v>
      </c>
      <c r="Q686" t="n">
        <v>0</v>
      </c>
      <c r="R686" s="2" t="inlineStr"/>
    </row>
    <row r="687" ht="15" customHeight="1">
      <c r="A687" t="inlineStr">
        <is>
          <t>A 25829-2025</t>
        </is>
      </c>
      <c r="B687" s="1" t="n">
        <v>45804.44505787037</v>
      </c>
      <c r="C687" s="1" t="n">
        <v>45938</v>
      </c>
      <c r="D687" t="inlineStr">
        <is>
          <t>ÖSTERGÖTLANDS LÄN</t>
        </is>
      </c>
      <c r="E687" t="inlineStr">
        <is>
          <t>LINKÖPING</t>
        </is>
      </c>
      <c r="G687" t="n">
        <v>1</v>
      </c>
      <c r="H687" t="n">
        <v>0</v>
      </c>
      <c r="I687" t="n">
        <v>0</v>
      </c>
      <c r="J687" t="n">
        <v>0</v>
      </c>
      <c r="K687" t="n">
        <v>0</v>
      </c>
      <c r="L687" t="n">
        <v>0</v>
      </c>
      <c r="M687" t="n">
        <v>0</v>
      </c>
      <c r="N687" t="n">
        <v>0</v>
      </c>
      <c r="O687" t="n">
        <v>0</v>
      </c>
      <c r="P687" t="n">
        <v>0</v>
      </c>
      <c r="Q687" t="n">
        <v>0</v>
      </c>
      <c r="R687" s="2" t="inlineStr"/>
    </row>
    <row r="688" ht="15" customHeight="1">
      <c r="A688" t="inlineStr">
        <is>
          <t>A 38046-2025</t>
        </is>
      </c>
      <c r="B688" s="1" t="n">
        <v>45882.39939814815</v>
      </c>
      <c r="C688" s="1" t="n">
        <v>45938</v>
      </c>
      <c r="D688" t="inlineStr">
        <is>
          <t>ÖSTERGÖTLANDS LÄN</t>
        </is>
      </c>
      <c r="E688" t="inlineStr">
        <is>
          <t>LINKÖPING</t>
        </is>
      </c>
      <c r="G688" t="n">
        <v>1.3</v>
      </c>
      <c r="H688" t="n">
        <v>0</v>
      </c>
      <c r="I688" t="n">
        <v>0</v>
      </c>
      <c r="J688" t="n">
        <v>0</v>
      </c>
      <c r="K688" t="n">
        <v>0</v>
      </c>
      <c r="L688" t="n">
        <v>0</v>
      </c>
      <c r="M688" t="n">
        <v>0</v>
      </c>
      <c r="N688" t="n">
        <v>0</v>
      </c>
      <c r="O688" t="n">
        <v>0</v>
      </c>
      <c r="P688" t="n">
        <v>0</v>
      </c>
      <c r="Q688" t="n">
        <v>0</v>
      </c>
      <c r="R688" s="2" t="inlineStr"/>
    </row>
    <row r="689" ht="15" customHeight="1">
      <c r="A689" t="inlineStr">
        <is>
          <t>A 46426-2025</t>
        </is>
      </c>
      <c r="B689" s="1" t="n">
        <v>45925.6012962963</v>
      </c>
      <c r="C689" s="1" t="n">
        <v>45938</v>
      </c>
      <c r="D689" t="inlineStr">
        <is>
          <t>ÖSTERGÖTLANDS LÄN</t>
        </is>
      </c>
      <c r="E689" t="inlineStr">
        <is>
          <t>LINKÖPING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46377-2025</t>
        </is>
      </c>
      <c r="B690" s="1" t="n">
        <v>45925.51773148148</v>
      </c>
      <c r="C690" s="1" t="n">
        <v>45938</v>
      </c>
      <c r="D690" t="inlineStr">
        <is>
          <t>ÖSTERGÖTLANDS LÄN</t>
        </is>
      </c>
      <c r="E690" t="inlineStr">
        <is>
          <t>LINKÖPING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46428-2025</t>
        </is>
      </c>
      <c r="B691" s="1" t="n">
        <v>45925.60758101852</v>
      </c>
      <c r="C691" s="1" t="n">
        <v>45938</v>
      </c>
      <c r="D691" t="inlineStr">
        <is>
          <t>ÖSTERGÖTLANDS LÄN</t>
        </is>
      </c>
      <c r="E691" t="inlineStr">
        <is>
          <t>LINKÖPING</t>
        </is>
      </c>
      <c r="G691" t="n">
        <v>3</v>
      </c>
      <c r="H691" t="n">
        <v>0</v>
      </c>
      <c r="I691" t="n">
        <v>0</v>
      </c>
      <c r="J691" t="n">
        <v>0</v>
      </c>
      <c r="K691" t="n">
        <v>0</v>
      </c>
      <c r="L691" t="n">
        <v>0</v>
      </c>
      <c r="M691" t="n">
        <v>0</v>
      </c>
      <c r="N691" t="n">
        <v>0</v>
      </c>
      <c r="O691" t="n">
        <v>0</v>
      </c>
      <c r="P691" t="n">
        <v>0</v>
      </c>
      <c r="Q691" t="n">
        <v>0</v>
      </c>
      <c r="R691" s="2" t="inlineStr"/>
    </row>
    <row r="692">
      <c r="A692" t="inlineStr">
        <is>
          <t>A 46194-2025</t>
        </is>
      </c>
      <c r="B692" s="1" t="n">
        <v>45924.68075231482</v>
      </c>
      <c r="C692" s="1" t="n">
        <v>45938</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2025-10-08T12:37:03Z</dcterms:created>
  <dcterms:modified xmlns:dcterms="http://purl.org/dc/terms/" xmlns:xsi="http://www.w3.org/2001/XMLSchema-instance" xsi:type="dcterms:W3CDTF">2025-10-08T12:37:03Z</dcterms:modified>
</cp:coreProperties>
</file>