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46053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46053</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46053</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46053</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46053</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46053</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46053</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46053</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46053</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17502-2022</t>
        </is>
      </c>
      <c r="B12" s="1" t="n">
        <v>44679</v>
      </c>
      <c r="C12" s="1" t="n">
        <v>46053</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46053</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46053</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9192-2025</t>
        </is>
      </c>
      <c r="B15" s="1" t="n">
        <v>45714.45943287037</v>
      </c>
      <c r="C15" s="1" t="n">
        <v>46053</v>
      </c>
      <c r="D15" t="inlineStr">
        <is>
          <t>ÖSTERGÖTLANDS LÄN</t>
        </is>
      </c>
      <c r="E15" t="inlineStr">
        <is>
          <t>LINKÖPING</t>
        </is>
      </c>
      <c r="F15" t="inlineStr">
        <is>
          <t>Allmännings- och besparingsskogar</t>
        </is>
      </c>
      <c r="G15" t="n">
        <v>17.4</v>
      </c>
      <c r="H15" t="n">
        <v>2</v>
      </c>
      <c r="I15" t="n">
        <v>3</v>
      </c>
      <c r="J15" t="n">
        <v>0</v>
      </c>
      <c r="K15" t="n">
        <v>0</v>
      </c>
      <c r="L15" t="n">
        <v>0</v>
      </c>
      <c r="M15" t="n">
        <v>0</v>
      </c>
      <c r="N15" t="n">
        <v>0</v>
      </c>
      <c r="O15" t="n">
        <v>0</v>
      </c>
      <c r="P15" t="n">
        <v>0</v>
      </c>
      <c r="Q15" t="n">
        <v>4</v>
      </c>
      <c r="R15" s="2" t="inlineStr">
        <is>
          <t>Grönpyrola
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40469-2024</t>
        </is>
      </c>
      <c r="B16" s="1" t="n">
        <v>45555.53145833333</v>
      </c>
      <c r="C16" s="1" t="n">
        <v>46053</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577-2025</t>
        </is>
      </c>
      <c r="B17" s="1" t="n">
        <v>45664.56525462963</v>
      </c>
      <c r="C17" s="1" t="n">
        <v>46053</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46053</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46053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38913-2023</t>
        </is>
      </c>
      <c r="B20" s="1" t="n">
        <v>45163</v>
      </c>
      <c r="C20" s="1" t="n">
        <v>46053</v>
      </c>
      <c r="D20" t="inlineStr">
        <is>
          <t>ÖSTERGÖTLANDS LÄN</t>
        </is>
      </c>
      <c r="E20" t="inlineStr">
        <is>
          <t>LINKÖPING</t>
        </is>
      </c>
      <c r="G20" t="n">
        <v>2.7</v>
      </c>
      <c r="H20" t="n">
        <v>2</v>
      </c>
      <c r="I20" t="n">
        <v>1</v>
      </c>
      <c r="J20" t="n">
        <v>0</v>
      </c>
      <c r="K20" t="n">
        <v>0</v>
      </c>
      <c r="L20" t="n">
        <v>0</v>
      </c>
      <c r="M20" t="n">
        <v>0</v>
      </c>
      <c r="N20" t="n">
        <v>0</v>
      </c>
      <c r="O20" t="n">
        <v>0</v>
      </c>
      <c r="P20" t="n">
        <v>0</v>
      </c>
      <c r="Q20" t="n">
        <v>3</v>
      </c>
      <c r="R20" s="2" t="inlineStr">
        <is>
          <t>Skogsbräsma
Dubbelnycklar
Revlummer</t>
        </is>
      </c>
      <c r="S20">
        <f>HYPERLINK("https://klasma.github.io/Logging_0580/artfynd/A 38913-2023 artfynd.xlsx", "A 38913-2023")</f>
        <v/>
      </c>
      <c r="T20">
        <f>HYPERLINK("https://klasma.github.io/Logging_0580/kartor/A 38913-2023 karta.png", "A 38913-2023")</f>
        <v/>
      </c>
      <c r="V20">
        <f>HYPERLINK("https://klasma.github.io/Logging_0580/klagomål/A 38913-2023 FSC-klagomål.docx", "A 38913-2023")</f>
        <v/>
      </c>
      <c r="W20">
        <f>HYPERLINK("https://klasma.github.io/Logging_0580/klagomålsmail/A 38913-2023 FSC-klagomål mail.docx", "A 38913-2023")</f>
        <v/>
      </c>
      <c r="X20">
        <f>HYPERLINK("https://klasma.github.io/Logging_0580/tillsyn/A 38913-2023 tillsynsbegäran.docx", "A 38913-2023")</f>
        <v/>
      </c>
      <c r="Y20">
        <f>HYPERLINK("https://klasma.github.io/Logging_0580/tillsynsmail/A 38913-2023 tillsynsbegäran mail.docx", "A 38913-2023")</f>
        <v/>
      </c>
    </row>
    <row r="21" ht="15" customHeight="1">
      <c r="A21" t="inlineStr">
        <is>
          <t>A 55341-2024</t>
        </is>
      </c>
      <c r="B21" s="1" t="n">
        <v>45621.71255787037</v>
      </c>
      <c r="C21" s="1" t="n">
        <v>46053</v>
      </c>
      <c r="D21" t="inlineStr">
        <is>
          <t>ÖSTERGÖTLANDS LÄN</t>
        </is>
      </c>
      <c r="E21" t="inlineStr">
        <is>
          <t>LINKÖPING</t>
        </is>
      </c>
      <c r="G21" t="n">
        <v>4.3</v>
      </c>
      <c r="H21" t="n">
        <v>0</v>
      </c>
      <c r="I21" t="n">
        <v>2</v>
      </c>
      <c r="J21" t="n">
        <v>0</v>
      </c>
      <c r="K21" t="n">
        <v>1</v>
      </c>
      <c r="L21" t="n">
        <v>0</v>
      </c>
      <c r="M21" t="n">
        <v>0</v>
      </c>
      <c r="N21" t="n">
        <v>0</v>
      </c>
      <c r="O21" t="n">
        <v>1</v>
      </c>
      <c r="P21" t="n">
        <v>1</v>
      </c>
      <c r="Q21" t="n">
        <v>3</v>
      </c>
      <c r="R21" s="2" t="inlineStr">
        <is>
          <t>Rynkskinn
Barkticka
Smal svampklubba</t>
        </is>
      </c>
      <c r="S21">
        <f>HYPERLINK("https://klasma.github.io/Logging_0580/artfynd/A 55341-2024 artfynd.xlsx", "A 55341-2024")</f>
        <v/>
      </c>
      <c r="T21">
        <f>HYPERLINK("https://klasma.github.io/Logging_0580/kartor/A 55341-2024 karta.png", "A 55341-2024")</f>
        <v/>
      </c>
      <c r="V21">
        <f>HYPERLINK("https://klasma.github.io/Logging_0580/klagomål/A 55341-2024 FSC-klagomål.docx", "A 55341-2024")</f>
        <v/>
      </c>
      <c r="W21">
        <f>HYPERLINK("https://klasma.github.io/Logging_0580/klagomålsmail/A 55341-2024 FSC-klagomål mail.docx", "A 55341-2024")</f>
        <v/>
      </c>
      <c r="X21">
        <f>HYPERLINK("https://klasma.github.io/Logging_0580/tillsyn/A 55341-2024 tillsynsbegäran.docx", "A 55341-2024")</f>
        <v/>
      </c>
      <c r="Y21">
        <f>HYPERLINK("https://klasma.github.io/Logging_0580/tillsynsmail/A 55341-2024 tillsynsbegäran mail.docx", "A 55341-2024")</f>
        <v/>
      </c>
    </row>
    <row r="22" ht="15" customHeight="1">
      <c r="A22" t="inlineStr">
        <is>
          <t>A 38137-2021</t>
        </is>
      </c>
      <c r="B22" s="1" t="n">
        <v>44405.38357638889</v>
      </c>
      <c r="C22" s="1" t="n">
        <v>46053</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46053</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20297-2025</t>
        </is>
      </c>
      <c r="B24" s="1" t="n">
        <v>45774.74971064815</v>
      </c>
      <c r="C24" s="1" t="n">
        <v>46053</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58068-2021</t>
        </is>
      </c>
      <c r="B25" s="1" t="n">
        <v>44487</v>
      </c>
      <c r="C25" s="1" t="n">
        <v>46053</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50404-2023</t>
        </is>
      </c>
      <c r="B26" s="1" t="n">
        <v>45216</v>
      </c>
      <c r="C26" s="1" t="n">
        <v>46053</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49188-2024</t>
        </is>
      </c>
      <c r="B27" s="1" t="n">
        <v>45595</v>
      </c>
      <c r="C27" s="1" t="n">
        <v>46053</v>
      </c>
      <c r="D27" t="inlineStr">
        <is>
          <t>ÖSTERGÖTLANDS LÄN</t>
        </is>
      </c>
      <c r="E27" t="inlineStr">
        <is>
          <t>LINKÖPING</t>
        </is>
      </c>
      <c r="G27" t="n">
        <v>3.1</v>
      </c>
      <c r="H27" t="n">
        <v>0</v>
      </c>
      <c r="I27" t="n">
        <v>0</v>
      </c>
      <c r="J27" t="n">
        <v>0</v>
      </c>
      <c r="K27" t="n">
        <v>0</v>
      </c>
      <c r="L27" t="n">
        <v>1</v>
      </c>
      <c r="M27" t="n">
        <v>1</v>
      </c>
      <c r="N27" t="n">
        <v>0</v>
      </c>
      <c r="O27" t="n">
        <v>2</v>
      </c>
      <c r="P27" t="n">
        <v>2</v>
      </c>
      <c r="Q27" t="n">
        <v>2</v>
      </c>
      <c r="R27" s="2" t="inlineStr">
        <is>
          <t>Skogsalm
Ask</t>
        </is>
      </c>
      <c r="S27">
        <f>HYPERLINK("https://klasma.github.io/Logging_0580/artfynd/A 49188-2024 artfynd.xlsx", "A 49188-2024")</f>
        <v/>
      </c>
      <c r="T27">
        <f>HYPERLINK("https://klasma.github.io/Logging_0580/kartor/A 49188-2024 karta.png", "A 49188-2024")</f>
        <v/>
      </c>
      <c r="V27">
        <f>HYPERLINK("https://klasma.github.io/Logging_0580/klagomål/A 49188-2024 FSC-klagomål.docx", "A 49188-2024")</f>
        <v/>
      </c>
      <c r="W27">
        <f>HYPERLINK("https://klasma.github.io/Logging_0580/klagomålsmail/A 49188-2024 FSC-klagomål mail.docx", "A 49188-2024")</f>
        <v/>
      </c>
      <c r="X27">
        <f>HYPERLINK("https://klasma.github.io/Logging_0580/tillsyn/A 49188-2024 tillsynsbegäran.docx", "A 49188-2024")</f>
        <v/>
      </c>
      <c r="Y27">
        <f>HYPERLINK("https://klasma.github.io/Logging_0580/tillsynsmail/A 49188-2024 tillsynsbegäran mail.docx", "A 49188-2024")</f>
        <v/>
      </c>
    </row>
    <row r="28" ht="15" customHeight="1">
      <c r="A28" t="inlineStr">
        <is>
          <t>A 21326-2025</t>
        </is>
      </c>
      <c r="B28" s="1" t="n">
        <v>45782.35407407407</v>
      </c>
      <c r="C28" s="1" t="n">
        <v>46053</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58068-2021</t>
        </is>
      </c>
      <c r="B29" s="1" t="n">
        <v>44487</v>
      </c>
      <c r="C29" s="1" t="n">
        <v>46053</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50048-2025</t>
        </is>
      </c>
      <c r="B30" s="1" t="n">
        <v>45941</v>
      </c>
      <c r="C30" s="1" t="n">
        <v>46053</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27795-2025</t>
        </is>
      </c>
      <c r="B31" s="1" t="n">
        <v>45816.7908912037</v>
      </c>
      <c r="C31" s="1" t="n">
        <v>46053</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27981-2022</t>
        </is>
      </c>
      <c r="B32" s="1" t="n">
        <v>44745</v>
      </c>
      <c r="C32" s="1" t="n">
        <v>46053</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25985-2025</t>
        </is>
      </c>
      <c r="B33" s="1" t="n">
        <v>45804.64479166667</v>
      </c>
      <c r="C33" s="1" t="n">
        <v>46053</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3912-2026</t>
        </is>
      </c>
      <c r="B34" s="1" t="n">
        <v>46043.71958333333</v>
      </c>
      <c r="C34" s="1" t="n">
        <v>46053</v>
      </c>
      <c r="D34" t="inlineStr">
        <is>
          <t>ÖSTERGÖTLANDS LÄN</t>
        </is>
      </c>
      <c r="E34" t="inlineStr">
        <is>
          <t>LINKÖPING</t>
        </is>
      </c>
      <c r="F34" t="inlineStr">
        <is>
          <t>Kyrkan</t>
        </is>
      </c>
      <c r="G34" t="n">
        <v>6.8</v>
      </c>
      <c r="H34" t="n">
        <v>1</v>
      </c>
      <c r="I34" t="n">
        <v>1</v>
      </c>
      <c r="J34" t="n">
        <v>0</v>
      </c>
      <c r="K34" t="n">
        <v>1</v>
      </c>
      <c r="L34" t="n">
        <v>0</v>
      </c>
      <c r="M34" t="n">
        <v>0</v>
      </c>
      <c r="N34" t="n">
        <v>0</v>
      </c>
      <c r="O34" t="n">
        <v>1</v>
      </c>
      <c r="P34" t="n">
        <v>1</v>
      </c>
      <c r="Q34" t="n">
        <v>2</v>
      </c>
      <c r="R34" s="2" t="inlineStr">
        <is>
          <t>Knärot
Grönpyrola</t>
        </is>
      </c>
      <c r="S34">
        <f>HYPERLINK("https://klasma.github.io/Logging_0580/artfynd/A 3912-2026 artfynd.xlsx", "A 3912-2026")</f>
        <v/>
      </c>
      <c r="T34">
        <f>HYPERLINK("https://klasma.github.io/Logging_0580/kartor/A 3912-2026 karta.png", "A 3912-2026")</f>
        <v/>
      </c>
      <c r="U34">
        <f>HYPERLINK("https://klasma.github.io/Logging_0580/knärot/A 3912-2026 karta knärot.png", "A 3912-2026")</f>
        <v/>
      </c>
      <c r="V34">
        <f>HYPERLINK("https://klasma.github.io/Logging_0580/klagomål/A 3912-2026 FSC-klagomål.docx", "A 3912-2026")</f>
        <v/>
      </c>
      <c r="W34">
        <f>HYPERLINK("https://klasma.github.io/Logging_0580/klagomålsmail/A 3912-2026 FSC-klagomål mail.docx", "A 3912-2026")</f>
        <v/>
      </c>
      <c r="X34">
        <f>HYPERLINK("https://klasma.github.io/Logging_0580/tillsyn/A 3912-2026 tillsynsbegäran.docx", "A 3912-2026")</f>
        <v/>
      </c>
      <c r="Y34">
        <f>HYPERLINK("https://klasma.github.io/Logging_0580/tillsynsmail/A 3912-2026 tillsynsbegäran mail.docx", "A 3912-2026")</f>
        <v/>
      </c>
    </row>
    <row r="35" ht="15" customHeight="1">
      <c r="A35" t="inlineStr">
        <is>
          <t>A 42858-2023</t>
        </is>
      </c>
      <c r="B35" s="1" t="n">
        <v>45177</v>
      </c>
      <c r="C35" s="1" t="n">
        <v>46053</v>
      </c>
      <c r="D35" t="inlineStr">
        <is>
          <t>ÖSTERGÖTLANDS LÄN</t>
        </is>
      </c>
      <c r="E35" t="inlineStr">
        <is>
          <t>LINKÖPING</t>
        </is>
      </c>
      <c r="G35" t="n">
        <v>5.3</v>
      </c>
      <c r="H35" t="n">
        <v>1</v>
      </c>
      <c r="I35" t="n">
        <v>0</v>
      </c>
      <c r="J35" t="n">
        <v>1</v>
      </c>
      <c r="K35" t="n">
        <v>0</v>
      </c>
      <c r="L35" t="n">
        <v>0</v>
      </c>
      <c r="M35" t="n">
        <v>0</v>
      </c>
      <c r="N35" t="n">
        <v>0</v>
      </c>
      <c r="O35" t="n">
        <v>1</v>
      </c>
      <c r="P35" t="n">
        <v>0</v>
      </c>
      <c r="Q35" t="n">
        <v>2</v>
      </c>
      <c r="R35" s="2" t="inlineStr">
        <is>
          <t>Svinrot
Skogsödla</t>
        </is>
      </c>
      <c r="S35">
        <f>HYPERLINK("https://klasma.github.io/Logging_0580/artfynd/A 42858-2023 artfynd.xlsx", "A 42858-2023")</f>
        <v/>
      </c>
      <c r="T35">
        <f>HYPERLINK("https://klasma.github.io/Logging_0580/kartor/A 42858-2023 karta.png", "A 42858-2023")</f>
        <v/>
      </c>
      <c r="V35">
        <f>HYPERLINK("https://klasma.github.io/Logging_0580/klagomål/A 42858-2023 FSC-klagomål.docx", "A 42858-2023")</f>
        <v/>
      </c>
      <c r="W35">
        <f>HYPERLINK("https://klasma.github.io/Logging_0580/klagomålsmail/A 42858-2023 FSC-klagomål mail.docx", "A 42858-2023")</f>
        <v/>
      </c>
      <c r="X35">
        <f>HYPERLINK("https://klasma.github.io/Logging_0580/tillsyn/A 42858-2023 tillsynsbegäran.docx", "A 42858-2023")</f>
        <v/>
      </c>
      <c r="Y35">
        <f>HYPERLINK("https://klasma.github.io/Logging_0580/tillsynsmail/A 42858-2023 tillsynsbegäran mail.docx", "A 42858-2023")</f>
        <v/>
      </c>
    </row>
    <row r="36" ht="15" customHeight="1">
      <c r="A36" t="inlineStr">
        <is>
          <t>A 11613-2025</t>
        </is>
      </c>
      <c r="B36" s="1" t="n">
        <v>45727.44623842592</v>
      </c>
      <c r="C36" s="1" t="n">
        <v>46053</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41751-2023</t>
        </is>
      </c>
      <c r="B37" s="1" t="n">
        <v>45176</v>
      </c>
      <c r="C37" s="1" t="n">
        <v>46053</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8818-2025</t>
        </is>
      </c>
      <c r="B38" s="1" t="n">
        <v>45712</v>
      </c>
      <c r="C38" s="1" t="n">
        <v>46053</v>
      </c>
      <c r="D38" t="inlineStr">
        <is>
          <t>ÖSTERGÖTLANDS LÄN</t>
        </is>
      </c>
      <c r="E38" t="inlineStr">
        <is>
          <t>LINKÖPING</t>
        </is>
      </c>
      <c r="F38" t="inlineStr">
        <is>
          <t>Kommuner</t>
        </is>
      </c>
      <c r="G38" t="n">
        <v>0.6</v>
      </c>
      <c r="H38" t="n">
        <v>0</v>
      </c>
      <c r="I38" t="n">
        <v>0</v>
      </c>
      <c r="J38" t="n">
        <v>1</v>
      </c>
      <c r="K38" t="n">
        <v>1</v>
      </c>
      <c r="L38" t="n">
        <v>0</v>
      </c>
      <c r="M38" t="n">
        <v>0</v>
      </c>
      <c r="N38" t="n">
        <v>0</v>
      </c>
      <c r="O38" t="n">
        <v>2</v>
      </c>
      <c r="P38" t="n">
        <v>1</v>
      </c>
      <c r="Q38" t="n">
        <v>2</v>
      </c>
      <c r="R38" s="2" t="inlineStr">
        <is>
          <t>Luddvicker
Klubbsprötad bastardsvärmare</t>
        </is>
      </c>
      <c r="S38">
        <f>HYPERLINK("https://klasma.github.io/Logging_0580/artfynd/A 8818-2025 artfynd.xlsx", "A 8818-2025")</f>
        <v/>
      </c>
      <c r="T38">
        <f>HYPERLINK("https://klasma.github.io/Logging_0580/kartor/A 8818-2025 karta.png", "A 8818-2025")</f>
        <v/>
      </c>
      <c r="V38">
        <f>HYPERLINK("https://klasma.github.io/Logging_0580/klagomål/A 8818-2025 FSC-klagomål.docx", "A 8818-2025")</f>
        <v/>
      </c>
      <c r="W38">
        <f>HYPERLINK("https://klasma.github.io/Logging_0580/klagomålsmail/A 8818-2025 FSC-klagomål mail.docx", "A 8818-2025")</f>
        <v/>
      </c>
      <c r="X38">
        <f>HYPERLINK("https://klasma.github.io/Logging_0580/tillsyn/A 8818-2025 tillsynsbegäran.docx", "A 8818-2025")</f>
        <v/>
      </c>
      <c r="Y38">
        <f>HYPERLINK("https://klasma.github.io/Logging_0580/tillsynsmail/A 8818-2025 tillsynsbegäran mail.docx", "A 8818-2025")</f>
        <v/>
      </c>
    </row>
    <row r="39" ht="15" customHeight="1">
      <c r="A39" t="inlineStr">
        <is>
          <t>A 14879-2024</t>
        </is>
      </c>
      <c r="B39" s="1" t="n">
        <v>45398</v>
      </c>
      <c r="C39" s="1" t="n">
        <v>46053</v>
      </c>
      <c r="D39" t="inlineStr">
        <is>
          <t>ÖSTERGÖTLANDS LÄN</t>
        </is>
      </c>
      <c r="E39" t="inlineStr">
        <is>
          <t>LINKÖPING</t>
        </is>
      </c>
      <c r="F39" t="inlineStr">
        <is>
          <t>Övriga Aktiebolag</t>
        </is>
      </c>
      <c r="G39" t="n">
        <v>1.7</v>
      </c>
      <c r="H39" t="n">
        <v>1</v>
      </c>
      <c r="I39" t="n">
        <v>1</v>
      </c>
      <c r="J39" t="n">
        <v>0</v>
      </c>
      <c r="K39" t="n">
        <v>0</v>
      </c>
      <c r="L39" t="n">
        <v>0</v>
      </c>
      <c r="M39" t="n">
        <v>0</v>
      </c>
      <c r="N39" t="n">
        <v>0</v>
      </c>
      <c r="O39" t="n">
        <v>0</v>
      </c>
      <c r="P39" t="n">
        <v>0</v>
      </c>
      <c r="Q39" t="n">
        <v>2</v>
      </c>
      <c r="R39" s="2" t="inlineStr">
        <is>
          <t>Svart trolldruva
Grönvit nattviol</t>
        </is>
      </c>
      <c r="S39">
        <f>HYPERLINK("https://klasma.github.io/Logging_0580/artfynd/A 14879-2024 artfynd.xlsx", "A 14879-2024")</f>
        <v/>
      </c>
      <c r="T39">
        <f>HYPERLINK("https://klasma.github.io/Logging_0580/kartor/A 14879-2024 karta.png", "A 14879-2024")</f>
        <v/>
      </c>
      <c r="V39">
        <f>HYPERLINK("https://klasma.github.io/Logging_0580/klagomål/A 14879-2024 FSC-klagomål.docx", "A 14879-2024")</f>
        <v/>
      </c>
      <c r="W39">
        <f>HYPERLINK("https://klasma.github.io/Logging_0580/klagomålsmail/A 14879-2024 FSC-klagomål mail.docx", "A 14879-2024")</f>
        <v/>
      </c>
      <c r="X39">
        <f>HYPERLINK("https://klasma.github.io/Logging_0580/tillsyn/A 14879-2024 tillsynsbegäran.docx", "A 14879-2024")</f>
        <v/>
      </c>
      <c r="Y39">
        <f>HYPERLINK("https://klasma.github.io/Logging_0580/tillsynsmail/A 14879-2024 tillsynsbegäran mail.docx", "A 14879-2024")</f>
        <v/>
      </c>
    </row>
    <row r="40" ht="15" customHeight="1">
      <c r="A40" t="inlineStr">
        <is>
          <t>A 55344-2024</t>
        </is>
      </c>
      <c r="B40" s="1" t="n">
        <v>45621.7202662037</v>
      </c>
      <c r="C40" s="1" t="n">
        <v>46053</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20292-2025</t>
        </is>
      </c>
      <c r="B41" s="1" t="n">
        <v>45774.7449537037</v>
      </c>
      <c r="C41" s="1" t="n">
        <v>46053</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22040-2023</t>
        </is>
      </c>
      <c r="B42" s="1" t="n">
        <v>45068</v>
      </c>
      <c r="C42" s="1" t="n">
        <v>46053</v>
      </c>
      <c r="D42" t="inlineStr">
        <is>
          <t>ÖSTERGÖTLANDS LÄN</t>
        </is>
      </c>
      <c r="E42" t="inlineStr">
        <is>
          <t>LINKÖPING</t>
        </is>
      </c>
      <c r="F42" t="inlineStr">
        <is>
          <t>Kommuner</t>
        </is>
      </c>
      <c r="G42" t="n">
        <v>1</v>
      </c>
      <c r="H42" t="n">
        <v>1</v>
      </c>
      <c r="I42" t="n">
        <v>1</v>
      </c>
      <c r="J42" t="n">
        <v>0</v>
      </c>
      <c r="K42" t="n">
        <v>1</v>
      </c>
      <c r="L42" t="n">
        <v>0</v>
      </c>
      <c r="M42" t="n">
        <v>0</v>
      </c>
      <c r="N42" t="n">
        <v>0</v>
      </c>
      <c r="O42" t="n">
        <v>1</v>
      </c>
      <c r="P42" t="n">
        <v>1</v>
      </c>
      <c r="Q42" t="n">
        <v>2</v>
      </c>
      <c r="R42" s="2" t="inlineStr">
        <is>
          <t>Bombmurkla
Skarp dropptaggsvamp</t>
        </is>
      </c>
      <c r="S42">
        <f>HYPERLINK("https://klasma.github.io/Logging_0580/artfynd/A 22040-2023 artfynd.xlsx", "A 22040-2023")</f>
        <v/>
      </c>
      <c r="T42">
        <f>HYPERLINK("https://klasma.github.io/Logging_0580/kartor/A 22040-2023 karta.png", "A 22040-2023")</f>
        <v/>
      </c>
      <c r="V42">
        <f>HYPERLINK("https://klasma.github.io/Logging_0580/klagomål/A 22040-2023 FSC-klagomål.docx", "A 22040-2023")</f>
        <v/>
      </c>
      <c r="W42">
        <f>HYPERLINK("https://klasma.github.io/Logging_0580/klagomålsmail/A 22040-2023 FSC-klagomål mail.docx", "A 22040-2023")</f>
        <v/>
      </c>
      <c r="X42">
        <f>HYPERLINK("https://klasma.github.io/Logging_0580/tillsyn/A 22040-2023 tillsynsbegäran.docx", "A 22040-2023")</f>
        <v/>
      </c>
      <c r="Y42">
        <f>HYPERLINK("https://klasma.github.io/Logging_0580/tillsynsmail/A 22040-2023 tillsynsbegäran mail.docx", "A 22040-2023")</f>
        <v/>
      </c>
    </row>
    <row r="43" ht="15" customHeight="1">
      <c r="A43" t="inlineStr">
        <is>
          <t>A 38129-2021</t>
        </is>
      </c>
      <c r="B43" s="1" t="n">
        <v>44405.37199074074</v>
      </c>
      <c r="C43" s="1" t="n">
        <v>46053</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46053</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46053</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43017-2021</t>
        </is>
      </c>
      <c r="B46" s="1" t="n">
        <v>44431</v>
      </c>
      <c r="C46" s="1" t="n">
        <v>46053</v>
      </c>
      <c r="D46" t="inlineStr">
        <is>
          <t>ÖSTERGÖTLANDS LÄN</t>
        </is>
      </c>
      <c r="E46" t="inlineStr">
        <is>
          <t>LINKÖPING</t>
        </is>
      </c>
      <c r="G46" t="n">
        <v>0.9</v>
      </c>
      <c r="H46" t="n">
        <v>0</v>
      </c>
      <c r="I46" t="n">
        <v>0</v>
      </c>
      <c r="J46" t="n">
        <v>1</v>
      </c>
      <c r="K46" t="n">
        <v>0</v>
      </c>
      <c r="L46" t="n">
        <v>0</v>
      </c>
      <c r="M46" t="n">
        <v>0</v>
      </c>
      <c r="N46" t="n">
        <v>0</v>
      </c>
      <c r="O46" t="n">
        <v>1</v>
      </c>
      <c r="P46" t="n">
        <v>0</v>
      </c>
      <c r="Q46" t="n">
        <v>1</v>
      </c>
      <c r="R46" s="2" t="inlineStr">
        <is>
          <t>Hapalopilus aurantiacus</t>
        </is>
      </c>
      <c r="S46">
        <f>HYPERLINK("https://klasma.github.io/Logging_0580/artfynd/A 43017-2021 artfynd.xlsx", "A 43017-2021")</f>
        <v/>
      </c>
      <c r="T46">
        <f>HYPERLINK("https://klasma.github.io/Logging_0580/kartor/A 43017-2021 karta.png", "A 43017-2021")</f>
        <v/>
      </c>
      <c r="V46">
        <f>HYPERLINK("https://klasma.github.io/Logging_0580/klagomål/A 43017-2021 FSC-klagomål.docx", "A 43017-2021")</f>
        <v/>
      </c>
      <c r="W46">
        <f>HYPERLINK("https://klasma.github.io/Logging_0580/klagomålsmail/A 43017-2021 FSC-klagomål mail.docx", "A 43017-2021")</f>
        <v/>
      </c>
      <c r="X46">
        <f>HYPERLINK("https://klasma.github.io/Logging_0580/tillsyn/A 43017-2021 tillsynsbegäran.docx", "A 43017-2021")</f>
        <v/>
      </c>
      <c r="Y46">
        <f>HYPERLINK("https://klasma.github.io/Logging_0580/tillsynsmail/A 43017-2021 tillsynsbegäran mail.docx", "A 43017-2021")</f>
        <v/>
      </c>
    </row>
    <row r="47" ht="15" customHeight="1">
      <c r="A47" t="inlineStr">
        <is>
          <t>A 46496-2022</t>
        </is>
      </c>
      <c r="B47" s="1" t="n">
        <v>44848</v>
      </c>
      <c r="C47" s="1" t="n">
        <v>46053</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46053</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46053</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48273-2025</t>
        </is>
      </c>
      <c r="B50" s="1" t="n">
        <v>45932</v>
      </c>
      <c r="C50" s="1" t="n">
        <v>46053</v>
      </c>
      <c r="D50" t="inlineStr">
        <is>
          <t>ÖSTERGÖTLANDS LÄN</t>
        </is>
      </c>
      <c r="E50" t="inlineStr">
        <is>
          <t>LINKÖPING</t>
        </is>
      </c>
      <c r="F50" t="inlineStr">
        <is>
          <t>Övriga Aktiebolag</t>
        </is>
      </c>
      <c r="G50" t="n">
        <v>4.6</v>
      </c>
      <c r="H50" t="n">
        <v>0</v>
      </c>
      <c r="I50" t="n">
        <v>0</v>
      </c>
      <c r="J50" t="n">
        <v>1</v>
      </c>
      <c r="K50" t="n">
        <v>0</v>
      </c>
      <c r="L50" t="n">
        <v>0</v>
      </c>
      <c r="M50" t="n">
        <v>0</v>
      </c>
      <c r="N50" t="n">
        <v>0</v>
      </c>
      <c r="O50" t="n">
        <v>1</v>
      </c>
      <c r="P50" t="n">
        <v>0</v>
      </c>
      <c r="Q50" t="n">
        <v>1</v>
      </c>
      <c r="R50" s="2" t="inlineStr">
        <is>
          <t>Barrviolspindling</t>
        </is>
      </c>
      <c r="S50">
        <f>HYPERLINK("https://klasma.github.io/Logging_0580/artfynd/A 48273-2025 artfynd.xlsx", "A 48273-2025")</f>
        <v/>
      </c>
      <c r="T50">
        <f>HYPERLINK("https://klasma.github.io/Logging_0580/kartor/A 48273-2025 karta.png", "A 48273-2025")</f>
        <v/>
      </c>
      <c r="V50">
        <f>HYPERLINK("https://klasma.github.io/Logging_0580/klagomål/A 48273-2025 FSC-klagomål.docx", "A 48273-2025")</f>
        <v/>
      </c>
      <c r="W50">
        <f>HYPERLINK("https://klasma.github.io/Logging_0580/klagomålsmail/A 48273-2025 FSC-klagomål mail.docx", "A 48273-2025")</f>
        <v/>
      </c>
      <c r="X50">
        <f>HYPERLINK("https://klasma.github.io/Logging_0580/tillsyn/A 48273-2025 tillsynsbegäran.docx", "A 48273-2025")</f>
        <v/>
      </c>
      <c r="Y50">
        <f>HYPERLINK("https://klasma.github.io/Logging_0580/tillsynsmail/A 48273-2025 tillsynsbegäran mail.docx", "A 48273-2025")</f>
        <v/>
      </c>
    </row>
    <row r="51" ht="15" customHeight="1">
      <c r="A51" t="inlineStr">
        <is>
          <t>A 48298-2025</t>
        </is>
      </c>
      <c r="B51" s="1" t="n">
        <v>45932</v>
      </c>
      <c r="C51" s="1" t="n">
        <v>46053</v>
      </c>
      <c r="D51" t="inlineStr">
        <is>
          <t>ÖSTERGÖTLANDS LÄN</t>
        </is>
      </c>
      <c r="E51" t="inlineStr">
        <is>
          <t>LINKÖPING</t>
        </is>
      </c>
      <c r="F51" t="inlineStr">
        <is>
          <t>Övriga Aktiebolag</t>
        </is>
      </c>
      <c r="G51" t="n">
        <v>1.7</v>
      </c>
      <c r="H51" t="n">
        <v>0</v>
      </c>
      <c r="I51" t="n">
        <v>1</v>
      </c>
      <c r="J51" t="n">
        <v>0</v>
      </c>
      <c r="K51" t="n">
        <v>0</v>
      </c>
      <c r="L51" t="n">
        <v>0</v>
      </c>
      <c r="M51" t="n">
        <v>0</v>
      </c>
      <c r="N51" t="n">
        <v>0</v>
      </c>
      <c r="O51" t="n">
        <v>0</v>
      </c>
      <c r="P51" t="n">
        <v>0</v>
      </c>
      <c r="Q51" t="n">
        <v>1</v>
      </c>
      <c r="R51" s="2" t="inlineStr">
        <is>
          <t>Västlig hakmossa</t>
        </is>
      </c>
      <c r="S51">
        <f>HYPERLINK("https://klasma.github.io/Logging_0580/artfynd/A 48298-2025 artfynd.xlsx", "A 48298-2025")</f>
        <v/>
      </c>
      <c r="T51">
        <f>HYPERLINK("https://klasma.github.io/Logging_0580/kartor/A 48298-2025 karta.png", "A 48298-2025")</f>
        <v/>
      </c>
      <c r="V51">
        <f>HYPERLINK("https://klasma.github.io/Logging_0580/klagomål/A 48298-2025 FSC-klagomål.docx", "A 48298-2025")</f>
        <v/>
      </c>
      <c r="W51">
        <f>HYPERLINK("https://klasma.github.io/Logging_0580/klagomålsmail/A 48298-2025 FSC-klagomål mail.docx", "A 48298-2025")</f>
        <v/>
      </c>
      <c r="X51">
        <f>HYPERLINK("https://klasma.github.io/Logging_0580/tillsyn/A 48298-2025 tillsynsbegäran.docx", "A 48298-2025")</f>
        <v/>
      </c>
      <c r="Y51">
        <f>HYPERLINK("https://klasma.github.io/Logging_0580/tillsynsmail/A 48298-2025 tillsynsbegäran mail.docx", "A 48298-2025")</f>
        <v/>
      </c>
    </row>
    <row r="52" ht="15" customHeight="1">
      <c r="A52" t="inlineStr">
        <is>
          <t>A 48353-2025</t>
        </is>
      </c>
      <c r="B52" s="1" t="n">
        <v>45932</v>
      </c>
      <c r="C52" s="1" t="n">
        <v>46053</v>
      </c>
      <c r="D52" t="inlineStr">
        <is>
          <t>ÖSTERGÖTLANDS LÄN</t>
        </is>
      </c>
      <c r="E52" t="inlineStr">
        <is>
          <t>LINKÖPING</t>
        </is>
      </c>
      <c r="F52" t="inlineStr">
        <is>
          <t>Övriga Aktiebolag</t>
        </is>
      </c>
      <c r="G52" t="n">
        <v>4.5</v>
      </c>
      <c r="H52" t="n">
        <v>1</v>
      </c>
      <c r="I52" t="n">
        <v>0</v>
      </c>
      <c r="J52" t="n">
        <v>1</v>
      </c>
      <c r="K52" t="n">
        <v>0</v>
      </c>
      <c r="L52" t="n">
        <v>0</v>
      </c>
      <c r="M52" t="n">
        <v>0</v>
      </c>
      <c r="N52" t="n">
        <v>0</v>
      </c>
      <c r="O52" t="n">
        <v>1</v>
      </c>
      <c r="P52" t="n">
        <v>0</v>
      </c>
      <c r="Q52" t="n">
        <v>1</v>
      </c>
      <c r="R52" s="2" t="inlineStr">
        <is>
          <t>Entita</t>
        </is>
      </c>
      <c r="S52">
        <f>HYPERLINK("https://klasma.github.io/Logging_0580/artfynd/A 48353-2025 artfynd.xlsx", "A 48353-2025")</f>
        <v/>
      </c>
      <c r="T52">
        <f>HYPERLINK("https://klasma.github.io/Logging_0580/kartor/A 48353-2025 karta.png", "A 48353-2025")</f>
        <v/>
      </c>
      <c r="V52">
        <f>HYPERLINK("https://klasma.github.io/Logging_0580/klagomål/A 48353-2025 FSC-klagomål.docx", "A 48353-2025")</f>
        <v/>
      </c>
      <c r="W52">
        <f>HYPERLINK("https://klasma.github.io/Logging_0580/klagomålsmail/A 48353-2025 FSC-klagomål mail.docx", "A 48353-2025")</f>
        <v/>
      </c>
      <c r="X52">
        <f>HYPERLINK("https://klasma.github.io/Logging_0580/tillsyn/A 48353-2025 tillsynsbegäran.docx", "A 48353-2025")</f>
        <v/>
      </c>
      <c r="Y52">
        <f>HYPERLINK("https://klasma.github.io/Logging_0580/tillsynsmail/A 48353-2025 tillsynsbegäran mail.docx", "A 48353-2025")</f>
        <v/>
      </c>
      <c r="Z52">
        <f>HYPERLINK("https://klasma.github.io/Logging_0580/fåglar/A 48353-2025 prioriterade fågelarter.docx", "A 48353-2025")</f>
        <v/>
      </c>
    </row>
    <row r="53" ht="15" customHeight="1">
      <c r="A53" t="inlineStr">
        <is>
          <t>A 17389-2021</t>
        </is>
      </c>
      <c r="B53" s="1" t="n">
        <v>44298.96792824074</v>
      </c>
      <c r="C53" s="1" t="n">
        <v>46053</v>
      </c>
      <c r="D53" t="inlineStr">
        <is>
          <t>ÖSTERGÖTLANDS LÄN</t>
        </is>
      </c>
      <c r="E53" t="inlineStr">
        <is>
          <t>LINKÖPING</t>
        </is>
      </c>
      <c r="G53" t="n">
        <v>5.1</v>
      </c>
      <c r="H53" t="n">
        <v>0</v>
      </c>
      <c r="I53" t="n">
        <v>1</v>
      </c>
      <c r="J53" t="n">
        <v>0</v>
      </c>
      <c r="K53" t="n">
        <v>0</v>
      </c>
      <c r="L53" t="n">
        <v>0</v>
      </c>
      <c r="M53" t="n">
        <v>0</v>
      </c>
      <c r="N53" t="n">
        <v>0</v>
      </c>
      <c r="O53" t="n">
        <v>0</v>
      </c>
      <c r="P53" t="n">
        <v>0</v>
      </c>
      <c r="Q53" t="n">
        <v>1</v>
      </c>
      <c r="R53" s="2" t="inlineStr">
        <is>
          <t>Blomkålssvamp</t>
        </is>
      </c>
      <c r="S53">
        <f>HYPERLINK("https://klasma.github.io/Logging_0580/artfynd/A 17389-2021 artfynd.xlsx", "A 17389-2021")</f>
        <v/>
      </c>
      <c r="T53">
        <f>HYPERLINK("https://klasma.github.io/Logging_0580/kartor/A 17389-2021 karta.png", "A 17389-2021")</f>
        <v/>
      </c>
      <c r="V53">
        <f>HYPERLINK("https://klasma.github.io/Logging_0580/klagomål/A 17389-2021 FSC-klagomål.docx", "A 17389-2021")</f>
        <v/>
      </c>
      <c r="W53">
        <f>HYPERLINK("https://klasma.github.io/Logging_0580/klagomålsmail/A 17389-2021 FSC-klagomål mail.docx", "A 17389-2021")</f>
        <v/>
      </c>
      <c r="X53">
        <f>HYPERLINK("https://klasma.github.io/Logging_0580/tillsyn/A 17389-2021 tillsynsbegäran.docx", "A 17389-2021")</f>
        <v/>
      </c>
      <c r="Y53">
        <f>HYPERLINK("https://klasma.github.io/Logging_0580/tillsynsmail/A 17389-2021 tillsynsbegäran mail.docx", "A 17389-2021")</f>
        <v/>
      </c>
    </row>
    <row r="54" ht="15" customHeight="1">
      <c r="A54" t="inlineStr">
        <is>
          <t>A 48347-2025</t>
        </is>
      </c>
      <c r="B54" s="1" t="n">
        <v>45932</v>
      </c>
      <c r="C54" s="1" t="n">
        <v>46053</v>
      </c>
      <c r="D54" t="inlineStr">
        <is>
          <t>ÖSTERGÖTLANDS LÄN</t>
        </is>
      </c>
      <c r="E54" t="inlineStr">
        <is>
          <t>LINKÖPING</t>
        </is>
      </c>
      <c r="F54" t="inlineStr">
        <is>
          <t>Övriga Aktiebolag</t>
        </is>
      </c>
      <c r="G54" t="n">
        <v>0.9</v>
      </c>
      <c r="H54" t="n">
        <v>0</v>
      </c>
      <c r="I54" t="n">
        <v>0</v>
      </c>
      <c r="J54" t="n">
        <v>1</v>
      </c>
      <c r="K54" t="n">
        <v>0</v>
      </c>
      <c r="L54" t="n">
        <v>0</v>
      </c>
      <c r="M54" t="n">
        <v>0</v>
      </c>
      <c r="N54" t="n">
        <v>0</v>
      </c>
      <c r="O54" t="n">
        <v>1</v>
      </c>
      <c r="P54" t="n">
        <v>0</v>
      </c>
      <c r="Q54" t="n">
        <v>1</v>
      </c>
      <c r="R54" s="2" t="inlineStr">
        <is>
          <t>Igelkott</t>
        </is>
      </c>
      <c r="S54">
        <f>HYPERLINK("https://klasma.github.io/Logging_0580/artfynd/A 48347-2025 artfynd.xlsx", "A 48347-2025")</f>
        <v/>
      </c>
      <c r="T54">
        <f>HYPERLINK("https://klasma.github.io/Logging_0580/kartor/A 48347-2025 karta.png", "A 48347-2025")</f>
        <v/>
      </c>
      <c r="V54">
        <f>HYPERLINK("https://klasma.github.io/Logging_0580/klagomål/A 48347-2025 FSC-klagomål.docx", "A 48347-2025")</f>
        <v/>
      </c>
      <c r="W54">
        <f>HYPERLINK("https://klasma.github.io/Logging_0580/klagomålsmail/A 48347-2025 FSC-klagomål mail.docx", "A 48347-2025")</f>
        <v/>
      </c>
      <c r="X54">
        <f>HYPERLINK("https://klasma.github.io/Logging_0580/tillsyn/A 48347-2025 tillsynsbegäran.docx", "A 48347-2025")</f>
        <v/>
      </c>
      <c r="Y54">
        <f>HYPERLINK("https://klasma.github.io/Logging_0580/tillsynsmail/A 48347-2025 tillsynsbegäran mail.docx", "A 48347-2025")</f>
        <v/>
      </c>
    </row>
    <row r="55" ht="15" customHeight="1">
      <c r="A55" t="inlineStr">
        <is>
          <t>A 40315-2024</t>
        </is>
      </c>
      <c r="B55" s="1" t="n">
        <v>45554.7571875</v>
      </c>
      <c r="C55" s="1" t="n">
        <v>46053</v>
      </c>
      <c r="D55" t="inlineStr">
        <is>
          <t>ÖSTERGÖTLANDS LÄN</t>
        </is>
      </c>
      <c r="E55" t="inlineStr">
        <is>
          <t>LINKÖPING</t>
        </is>
      </c>
      <c r="F55" t="inlineStr">
        <is>
          <t>Allmännings- och besparingsskogar</t>
        </is>
      </c>
      <c r="G55" t="n">
        <v>15.8</v>
      </c>
      <c r="H55" t="n">
        <v>0</v>
      </c>
      <c r="I55" t="n">
        <v>0</v>
      </c>
      <c r="J55" t="n">
        <v>0</v>
      </c>
      <c r="K55" t="n">
        <v>0</v>
      </c>
      <c r="L55" t="n">
        <v>0</v>
      </c>
      <c r="M55" t="n">
        <v>1</v>
      </c>
      <c r="N55" t="n">
        <v>0</v>
      </c>
      <c r="O55" t="n">
        <v>1</v>
      </c>
      <c r="P55" t="n">
        <v>1</v>
      </c>
      <c r="Q55" t="n">
        <v>1</v>
      </c>
      <c r="R55" s="2" t="inlineStr">
        <is>
          <t>Skogsalm</t>
        </is>
      </c>
      <c r="S55">
        <f>HYPERLINK("https://klasma.github.io/Logging_0580/artfynd/A 40315-2024 artfynd.xlsx", "A 40315-2024")</f>
        <v/>
      </c>
      <c r="T55">
        <f>HYPERLINK("https://klasma.github.io/Logging_0580/kartor/A 40315-2024 karta.png", "A 40315-2024")</f>
        <v/>
      </c>
      <c r="V55">
        <f>HYPERLINK("https://klasma.github.io/Logging_0580/klagomål/A 40315-2024 FSC-klagomål.docx", "A 40315-2024")</f>
        <v/>
      </c>
      <c r="W55">
        <f>HYPERLINK("https://klasma.github.io/Logging_0580/klagomålsmail/A 40315-2024 FSC-klagomål mail.docx", "A 40315-2024")</f>
        <v/>
      </c>
      <c r="X55">
        <f>HYPERLINK("https://klasma.github.io/Logging_0580/tillsyn/A 40315-2024 tillsynsbegäran.docx", "A 40315-2024")</f>
        <v/>
      </c>
      <c r="Y55">
        <f>HYPERLINK("https://klasma.github.io/Logging_0580/tillsynsmail/A 40315-2024 tillsynsbegäran mail.docx", "A 40315-2024")</f>
        <v/>
      </c>
    </row>
    <row r="56" ht="15" customHeight="1">
      <c r="A56" t="inlineStr">
        <is>
          <t>A 22526-2025</t>
        </is>
      </c>
      <c r="B56" s="1" t="n">
        <v>45786.78096064815</v>
      </c>
      <c r="C56" s="1" t="n">
        <v>46053</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41749-2023</t>
        </is>
      </c>
      <c r="B57" s="1" t="n">
        <v>45176</v>
      </c>
      <c r="C57" s="1" t="n">
        <v>46053</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43989-2025</t>
        </is>
      </c>
      <c r="B58" s="1" t="n">
        <v>45915.44128472222</v>
      </c>
      <c r="C58" s="1" t="n">
        <v>46053</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44760-2025</t>
        </is>
      </c>
      <c r="B59" s="1" t="n">
        <v>45917.71873842592</v>
      </c>
      <c r="C59" s="1" t="n">
        <v>46053</v>
      </c>
      <c r="D59" t="inlineStr">
        <is>
          <t>ÖSTERGÖTLANDS LÄN</t>
        </is>
      </c>
      <c r="E59" t="inlineStr">
        <is>
          <t>LINKÖPING</t>
        </is>
      </c>
      <c r="G59" t="n">
        <v>0.9</v>
      </c>
      <c r="H59" t="n">
        <v>0</v>
      </c>
      <c r="I59" t="n">
        <v>0</v>
      </c>
      <c r="J59" t="n">
        <v>1</v>
      </c>
      <c r="K59" t="n">
        <v>0</v>
      </c>
      <c r="L59" t="n">
        <v>0</v>
      </c>
      <c r="M59" t="n">
        <v>0</v>
      </c>
      <c r="N59" t="n">
        <v>0</v>
      </c>
      <c r="O59" t="n">
        <v>1</v>
      </c>
      <c r="P59" t="n">
        <v>0</v>
      </c>
      <c r="Q59" t="n">
        <v>1</v>
      </c>
      <c r="R59" s="2" t="inlineStr">
        <is>
          <t>Tallticka</t>
        </is>
      </c>
      <c r="S59">
        <f>HYPERLINK("https://klasma.github.io/Logging_0580/artfynd/A 44760-2025 artfynd.xlsx", "A 44760-2025")</f>
        <v/>
      </c>
      <c r="T59">
        <f>HYPERLINK("https://klasma.github.io/Logging_0580/kartor/A 44760-2025 karta.png", "A 44760-2025")</f>
        <v/>
      </c>
      <c r="V59">
        <f>HYPERLINK("https://klasma.github.io/Logging_0580/klagomål/A 44760-2025 FSC-klagomål.docx", "A 44760-2025")</f>
        <v/>
      </c>
      <c r="W59">
        <f>HYPERLINK("https://klasma.github.io/Logging_0580/klagomålsmail/A 44760-2025 FSC-klagomål mail.docx", "A 44760-2025")</f>
        <v/>
      </c>
      <c r="X59">
        <f>HYPERLINK("https://klasma.github.io/Logging_0580/tillsyn/A 44760-2025 tillsynsbegäran.docx", "A 44760-2025")</f>
        <v/>
      </c>
      <c r="Y59">
        <f>HYPERLINK("https://klasma.github.io/Logging_0580/tillsynsmail/A 44760-2025 tillsynsbegäran mail.docx", "A 44760-2025")</f>
        <v/>
      </c>
    </row>
    <row r="60" ht="15" customHeight="1">
      <c r="A60" t="inlineStr">
        <is>
          <t>A 1213-2023</t>
        </is>
      </c>
      <c r="B60" s="1" t="n">
        <v>44930</v>
      </c>
      <c r="C60" s="1" t="n">
        <v>46053</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27403-2025</t>
        </is>
      </c>
      <c r="B61" s="1" t="n">
        <v>45812.72518518518</v>
      </c>
      <c r="C61" s="1" t="n">
        <v>46053</v>
      </c>
      <c r="D61" t="inlineStr">
        <is>
          <t>ÖSTERGÖTLANDS LÄN</t>
        </is>
      </c>
      <c r="E61" t="inlineStr">
        <is>
          <t>LINKÖPING</t>
        </is>
      </c>
      <c r="G61" t="n">
        <v>1.4</v>
      </c>
      <c r="H61" t="n">
        <v>0</v>
      </c>
      <c r="I61" t="n">
        <v>0</v>
      </c>
      <c r="J61" t="n">
        <v>1</v>
      </c>
      <c r="K61" t="n">
        <v>0</v>
      </c>
      <c r="L61" t="n">
        <v>0</v>
      </c>
      <c r="M61" t="n">
        <v>0</v>
      </c>
      <c r="N61" t="n">
        <v>0</v>
      </c>
      <c r="O61" t="n">
        <v>1</v>
      </c>
      <c r="P61" t="n">
        <v>0</v>
      </c>
      <c r="Q61" t="n">
        <v>1</v>
      </c>
      <c r="R61" s="2" t="inlineStr">
        <is>
          <t>Tallticka</t>
        </is>
      </c>
      <c r="S61">
        <f>HYPERLINK("https://klasma.github.io/Logging_0580/artfynd/A 27403-2025 artfynd.xlsx", "A 27403-2025")</f>
        <v/>
      </c>
      <c r="T61">
        <f>HYPERLINK("https://klasma.github.io/Logging_0580/kartor/A 27403-2025 karta.png", "A 27403-2025")</f>
        <v/>
      </c>
      <c r="V61">
        <f>HYPERLINK("https://klasma.github.io/Logging_0580/klagomål/A 27403-2025 FSC-klagomål.docx", "A 27403-2025")</f>
        <v/>
      </c>
      <c r="W61">
        <f>HYPERLINK("https://klasma.github.io/Logging_0580/klagomålsmail/A 27403-2025 FSC-klagomål mail.docx", "A 27403-2025")</f>
        <v/>
      </c>
      <c r="X61">
        <f>HYPERLINK("https://klasma.github.io/Logging_0580/tillsyn/A 27403-2025 tillsynsbegäran.docx", "A 27403-2025")</f>
        <v/>
      </c>
      <c r="Y61">
        <f>HYPERLINK("https://klasma.github.io/Logging_0580/tillsynsmail/A 27403-2025 tillsynsbegäran mail.docx", "A 27403-2025")</f>
        <v/>
      </c>
    </row>
    <row r="62" ht="15" customHeight="1">
      <c r="A62" t="inlineStr">
        <is>
          <t>A 50034-2025</t>
        </is>
      </c>
      <c r="B62" s="1" t="n">
        <v>45941</v>
      </c>
      <c r="C62" s="1" t="n">
        <v>46053</v>
      </c>
      <c r="D62" t="inlineStr">
        <is>
          <t>ÖSTERGÖTLANDS LÄN</t>
        </is>
      </c>
      <c r="E62" t="inlineStr">
        <is>
          <t>LINKÖPING</t>
        </is>
      </c>
      <c r="G62" t="n">
        <v>6.2</v>
      </c>
      <c r="H62" t="n">
        <v>0</v>
      </c>
      <c r="I62" t="n">
        <v>0</v>
      </c>
      <c r="J62" t="n">
        <v>0</v>
      </c>
      <c r="K62" t="n">
        <v>0</v>
      </c>
      <c r="L62" t="n">
        <v>0</v>
      </c>
      <c r="M62" t="n">
        <v>1</v>
      </c>
      <c r="N62" t="n">
        <v>0</v>
      </c>
      <c r="O62" t="n">
        <v>1</v>
      </c>
      <c r="P62" t="n">
        <v>1</v>
      </c>
      <c r="Q62" t="n">
        <v>1</v>
      </c>
      <c r="R62" s="2" t="inlineStr">
        <is>
          <t>Skogsalm</t>
        </is>
      </c>
      <c r="S62">
        <f>HYPERLINK("https://klasma.github.io/Logging_0580/artfynd/A 50034-2025 artfynd.xlsx", "A 50034-2025")</f>
        <v/>
      </c>
      <c r="T62">
        <f>HYPERLINK("https://klasma.github.io/Logging_0580/kartor/A 50034-2025 karta.png", "A 50034-2025")</f>
        <v/>
      </c>
      <c r="V62">
        <f>HYPERLINK("https://klasma.github.io/Logging_0580/klagomål/A 50034-2025 FSC-klagomål.docx", "A 50034-2025")</f>
        <v/>
      </c>
      <c r="W62">
        <f>HYPERLINK("https://klasma.github.io/Logging_0580/klagomålsmail/A 50034-2025 FSC-klagomål mail.docx", "A 50034-2025")</f>
        <v/>
      </c>
      <c r="X62">
        <f>HYPERLINK("https://klasma.github.io/Logging_0580/tillsyn/A 50034-2025 tillsynsbegäran.docx", "A 50034-2025")</f>
        <v/>
      </c>
      <c r="Y62">
        <f>HYPERLINK("https://klasma.github.io/Logging_0580/tillsynsmail/A 50034-2025 tillsynsbegäran mail.docx", "A 50034-2025")</f>
        <v/>
      </c>
    </row>
    <row r="63" ht="15" customHeight="1">
      <c r="A63" t="inlineStr">
        <is>
          <t>A 50471-2024</t>
        </is>
      </c>
      <c r="B63" s="1" t="n">
        <v>45601.47166666666</v>
      </c>
      <c r="C63" s="1" t="n">
        <v>46053</v>
      </c>
      <c r="D63" t="inlineStr">
        <is>
          <t>ÖSTERGÖTLANDS LÄN</t>
        </is>
      </c>
      <c r="E63" t="inlineStr">
        <is>
          <t>LINKÖPING</t>
        </is>
      </c>
      <c r="F63" t="inlineStr">
        <is>
          <t>Övriga Aktiebolag</t>
        </is>
      </c>
      <c r="G63" t="n">
        <v>2</v>
      </c>
      <c r="H63" t="n">
        <v>0</v>
      </c>
      <c r="I63" t="n">
        <v>1</v>
      </c>
      <c r="J63" t="n">
        <v>0</v>
      </c>
      <c r="K63" t="n">
        <v>0</v>
      </c>
      <c r="L63" t="n">
        <v>0</v>
      </c>
      <c r="M63" t="n">
        <v>0</v>
      </c>
      <c r="N63" t="n">
        <v>0</v>
      </c>
      <c r="O63" t="n">
        <v>0</v>
      </c>
      <c r="P63" t="n">
        <v>0</v>
      </c>
      <c r="Q63" t="n">
        <v>1</v>
      </c>
      <c r="R63" s="2" t="inlineStr">
        <is>
          <t>Västlig hakmossa</t>
        </is>
      </c>
      <c r="S63">
        <f>HYPERLINK("https://klasma.github.io/Logging_0580/artfynd/A 50471-2024 artfynd.xlsx", "A 50471-2024")</f>
        <v/>
      </c>
      <c r="T63">
        <f>HYPERLINK("https://klasma.github.io/Logging_0580/kartor/A 50471-2024 karta.png", "A 50471-2024")</f>
        <v/>
      </c>
      <c r="V63">
        <f>HYPERLINK("https://klasma.github.io/Logging_0580/klagomål/A 50471-2024 FSC-klagomål.docx", "A 50471-2024")</f>
        <v/>
      </c>
      <c r="W63">
        <f>HYPERLINK("https://klasma.github.io/Logging_0580/klagomålsmail/A 50471-2024 FSC-klagomål mail.docx", "A 50471-2024")</f>
        <v/>
      </c>
      <c r="X63">
        <f>HYPERLINK("https://klasma.github.io/Logging_0580/tillsyn/A 50471-2024 tillsynsbegäran.docx", "A 50471-2024")</f>
        <v/>
      </c>
      <c r="Y63">
        <f>HYPERLINK("https://klasma.github.io/Logging_0580/tillsynsmail/A 50471-2024 tillsynsbegäran mail.docx", "A 50471-2024")</f>
        <v/>
      </c>
    </row>
    <row r="64" ht="15" customHeight="1">
      <c r="A64" t="inlineStr">
        <is>
          <t>A 50806-2023</t>
        </is>
      </c>
      <c r="B64" s="1" t="n">
        <v>45217</v>
      </c>
      <c r="C64" s="1" t="n">
        <v>46053</v>
      </c>
      <c r="D64" t="inlineStr">
        <is>
          <t>ÖSTERGÖTLANDS LÄN</t>
        </is>
      </c>
      <c r="E64" t="inlineStr">
        <is>
          <t>LINKÖPING</t>
        </is>
      </c>
      <c r="F64" t="inlineStr">
        <is>
          <t>Övriga Aktiebolag</t>
        </is>
      </c>
      <c r="G64" t="n">
        <v>0.7</v>
      </c>
      <c r="H64" t="n">
        <v>1</v>
      </c>
      <c r="I64" t="n">
        <v>0</v>
      </c>
      <c r="J64" t="n">
        <v>0</v>
      </c>
      <c r="K64" t="n">
        <v>0</v>
      </c>
      <c r="L64" t="n">
        <v>0</v>
      </c>
      <c r="M64" t="n">
        <v>0</v>
      </c>
      <c r="N64" t="n">
        <v>0</v>
      </c>
      <c r="O64" t="n">
        <v>0</v>
      </c>
      <c r="P64" t="n">
        <v>0</v>
      </c>
      <c r="Q64" t="n">
        <v>1</v>
      </c>
      <c r="R64" s="2" t="inlineStr">
        <is>
          <t>Gullviva</t>
        </is>
      </c>
      <c r="S64">
        <f>HYPERLINK("https://klasma.github.io/Logging_0580/artfynd/A 50806-2023 artfynd.xlsx", "A 50806-2023")</f>
        <v/>
      </c>
      <c r="T64">
        <f>HYPERLINK("https://klasma.github.io/Logging_0580/kartor/A 50806-2023 karta.png", "A 50806-2023")</f>
        <v/>
      </c>
      <c r="V64">
        <f>HYPERLINK("https://klasma.github.io/Logging_0580/klagomål/A 50806-2023 FSC-klagomål.docx", "A 50806-2023")</f>
        <v/>
      </c>
      <c r="W64">
        <f>HYPERLINK("https://klasma.github.io/Logging_0580/klagomålsmail/A 50806-2023 FSC-klagomål mail.docx", "A 50806-2023")</f>
        <v/>
      </c>
      <c r="X64">
        <f>HYPERLINK("https://klasma.github.io/Logging_0580/tillsyn/A 50806-2023 tillsynsbegäran.docx", "A 50806-2023")</f>
        <v/>
      </c>
      <c r="Y64">
        <f>HYPERLINK("https://klasma.github.io/Logging_0580/tillsynsmail/A 50806-2023 tillsynsbegäran mail.docx", "A 50806-2023")</f>
        <v/>
      </c>
    </row>
    <row r="65" ht="15" customHeight="1">
      <c r="A65" t="inlineStr">
        <is>
          <t>A 36723-2023</t>
        </is>
      </c>
      <c r="B65" s="1" t="n">
        <v>45153</v>
      </c>
      <c r="C65" s="1" t="n">
        <v>46053</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60573-2021</t>
        </is>
      </c>
      <c r="B66" s="1" t="n">
        <v>44496</v>
      </c>
      <c r="C66" s="1" t="n">
        <v>46053</v>
      </c>
      <c r="D66" t="inlineStr">
        <is>
          <t>ÖSTERGÖTLANDS LÄN</t>
        </is>
      </c>
      <c r="E66" t="inlineStr">
        <is>
          <t>LINKÖPING</t>
        </is>
      </c>
      <c r="F66" t="inlineStr">
        <is>
          <t>Övriga Aktiebolag</t>
        </is>
      </c>
      <c r="G66" t="n">
        <v>5.6</v>
      </c>
      <c r="H66" t="n">
        <v>0</v>
      </c>
      <c r="I66" t="n">
        <v>0</v>
      </c>
      <c r="J66" t="n">
        <v>1</v>
      </c>
      <c r="K66" t="n">
        <v>0</v>
      </c>
      <c r="L66" t="n">
        <v>0</v>
      </c>
      <c r="M66" t="n">
        <v>0</v>
      </c>
      <c r="N66" t="n">
        <v>0</v>
      </c>
      <c r="O66" t="n">
        <v>1</v>
      </c>
      <c r="P66" t="n">
        <v>0</v>
      </c>
      <c r="Q66" t="n">
        <v>1</v>
      </c>
      <c r="R66" s="2" t="inlineStr">
        <is>
          <t>Sommarfibbla</t>
        </is>
      </c>
      <c r="S66">
        <f>HYPERLINK("https://klasma.github.io/Logging_0580/artfynd/A 60573-2021 artfynd.xlsx", "A 60573-2021")</f>
        <v/>
      </c>
      <c r="T66">
        <f>HYPERLINK("https://klasma.github.io/Logging_0580/kartor/A 60573-2021 karta.png", "A 60573-2021")</f>
        <v/>
      </c>
      <c r="V66">
        <f>HYPERLINK("https://klasma.github.io/Logging_0580/klagomål/A 60573-2021 FSC-klagomål.docx", "A 60573-2021")</f>
        <v/>
      </c>
      <c r="W66">
        <f>HYPERLINK("https://klasma.github.io/Logging_0580/klagomålsmail/A 60573-2021 FSC-klagomål mail.docx", "A 60573-2021")</f>
        <v/>
      </c>
      <c r="X66">
        <f>HYPERLINK("https://klasma.github.io/Logging_0580/tillsyn/A 60573-2021 tillsynsbegäran.docx", "A 60573-2021")</f>
        <v/>
      </c>
      <c r="Y66">
        <f>HYPERLINK("https://klasma.github.io/Logging_0580/tillsynsmail/A 60573-2021 tillsynsbegäran mail.docx", "A 60573-2021")</f>
        <v/>
      </c>
    </row>
    <row r="67" ht="15" customHeight="1">
      <c r="A67" t="inlineStr">
        <is>
          <t>A 56112-2025</t>
        </is>
      </c>
      <c r="B67" s="1" t="n">
        <v>45973.73625</v>
      </c>
      <c r="C67" s="1" t="n">
        <v>46053</v>
      </c>
      <c r="D67" t="inlineStr">
        <is>
          <t>ÖSTERGÖTLANDS LÄN</t>
        </is>
      </c>
      <c r="E67" t="inlineStr">
        <is>
          <t>LINKÖPING</t>
        </is>
      </c>
      <c r="G67" t="n">
        <v>0.6</v>
      </c>
      <c r="H67" t="n">
        <v>0</v>
      </c>
      <c r="I67" t="n">
        <v>0</v>
      </c>
      <c r="J67" t="n">
        <v>1</v>
      </c>
      <c r="K67" t="n">
        <v>0</v>
      </c>
      <c r="L67" t="n">
        <v>0</v>
      </c>
      <c r="M67" t="n">
        <v>0</v>
      </c>
      <c r="N67" t="n">
        <v>0</v>
      </c>
      <c r="O67" t="n">
        <v>1</v>
      </c>
      <c r="P67" t="n">
        <v>0</v>
      </c>
      <c r="Q67" t="n">
        <v>1</v>
      </c>
      <c r="R67" s="2" t="inlineStr">
        <is>
          <t>Solvända</t>
        </is>
      </c>
      <c r="S67">
        <f>HYPERLINK("https://klasma.github.io/Logging_0580/artfynd/A 56112-2025 artfynd.xlsx", "A 56112-2025")</f>
        <v/>
      </c>
      <c r="T67">
        <f>HYPERLINK("https://klasma.github.io/Logging_0580/kartor/A 56112-2025 karta.png", "A 56112-2025")</f>
        <v/>
      </c>
      <c r="V67">
        <f>HYPERLINK("https://klasma.github.io/Logging_0580/klagomål/A 56112-2025 FSC-klagomål.docx", "A 56112-2025")</f>
        <v/>
      </c>
      <c r="W67">
        <f>HYPERLINK("https://klasma.github.io/Logging_0580/klagomålsmail/A 56112-2025 FSC-klagomål mail.docx", "A 56112-2025")</f>
        <v/>
      </c>
      <c r="X67">
        <f>HYPERLINK("https://klasma.github.io/Logging_0580/tillsyn/A 56112-2025 tillsynsbegäran.docx", "A 56112-2025")</f>
        <v/>
      </c>
      <c r="Y67">
        <f>HYPERLINK("https://klasma.github.io/Logging_0580/tillsynsmail/A 56112-2025 tillsynsbegäran mail.docx", "A 56112-2025")</f>
        <v/>
      </c>
    </row>
    <row r="68" ht="15" customHeight="1">
      <c r="A68" t="inlineStr">
        <is>
          <t>A 5911-2022</t>
        </is>
      </c>
      <c r="B68" s="1" t="n">
        <v>44597</v>
      </c>
      <c r="C68" s="1" t="n">
        <v>46053</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56128-2022</t>
        </is>
      </c>
      <c r="B69" s="1" t="n">
        <v>44889</v>
      </c>
      <c r="C69" s="1" t="n">
        <v>46053</v>
      </c>
      <c r="D69" t="inlineStr">
        <is>
          <t>ÖSTERGÖTLANDS LÄN</t>
        </is>
      </c>
      <c r="E69" t="inlineStr">
        <is>
          <t>LINKÖPING</t>
        </is>
      </c>
      <c r="G69" t="n">
        <v>2</v>
      </c>
      <c r="H69" t="n">
        <v>0</v>
      </c>
      <c r="I69" t="n">
        <v>1</v>
      </c>
      <c r="J69" t="n">
        <v>0</v>
      </c>
      <c r="K69" t="n">
        <v>0</v>
      </c>
      <c r="L69" t="n">
        <v>0</v>
      </c>
      <c r="M69" t="n">
        <v>0</v>
      </c>
      <c r="N69" t="n">
        <v>0</v>
      </c>
      <c r="O69" t="n">
        <v>0</v>
      </c>
      <c r="P69" t="n">
        <v>0</v>
      </c>
      <c r="Q69" t="n">
        <v>1</v>
      </c>
      <c r="R69" s="2" t="inlineStr">
        <is>
          <t>Tibast</t>
        </is>
      </c>
      <c r="S69">
        <f>HYPERLINK("https://klasma.github.io/Logging_0580/artfynd/A 56128-2022 artfynd.xlsx", "A 56128-2022")</f>
        <v/>
      </c>
      <c r="T69">
        <f>HYPERLINK("https://klasma.github.io/Logging_0580/kartor/A 56128-2022 karta.png", "A 56128-2022")</f>
        <v/>
      </c>
      <c r="V69">
        <f>HYPERLINK("https://klasma.github.io/Logging_0580/klagomål/A 56128-2022 FSC-klagomål.docx", "A 56128-2022")</f>
        <v/>
      </c>
      <c r="W69">
        <f>HYPERLINK("https://klasma.github.io/Logging_0580/klagomålsmail/A 56128-2022 FSC-klagomål mail.docx", "A 56128-2022")</f>
        <v/>
      </c>
      <c r="X69">
        <f>HYPERLINK("https://klasma.github.io/Logging_0580/tillsyn/A 56128-2022 tillsynsbegäran.docx", "A 56128-2022")</f>
        <v/>
      </c>
      <c r="Y69">
        <f>HYPERLINK("https://klasma.github.io/Logging_0580/tillsynsmail/A 56128-2022 tillsynsbegäran mail.docx", "A 56128-2022")</f>
        <v/>
      </c>
    </row>
    <row r="70" ht="15" customHeight="1">
      <c r="A70" t="inlineStr">
        <is>
          <t>A 59474-2025</t>
        </is>
      </c>
      <c r="B70" s="1" t="n">
        <v>45989.58512731481</v>
      </c>
      <c r="C70" s="1" t="n">
        <v>46053</v>
      </c>
      <c r="D70" t="inlineStr">
        <is>
          <t>ÖSTERGÖTLANDS LÄN</t>
        </is>
      </c>
      <c r="E70" t="inlineStr">
        <is>
          <t>LINKÖPING</t>
        </is>
      </c>
      <c r="G70" t="n">
        <v>8</v>
      </c>
      <c r="H70" t="n">
        <v>0</v>
      </c>
      <c r="I70" t="n">
        <v>1</v>
      </c>
      <c r="J70" t="n">
        <v>0</v>
      </c>
      <c r="K70" t="n">
        <v>0</v>
      </c>
      <c r="L70" t="n">
        <v>0</v>
      </c>
      <c r="M70" t="n">
        <v>0</v>
      </c>
      <c r="N70" t="n">
        <v>0</v>
      </c>
      <c r="O70" t="n">
        <v>0</v>
      </c>
      <c r="P70" t="n">
        <v>0</v>
      </c>
      <c r="Q70" t="n">
        <v>1</v>
      </c>
      <c r="R70" s="2" t="inlineStr">
        <is>
          <t>Fällmossa</t>
        </is>
      </c>
      <c r="S70">
        <f>HYPERLINK("https://klasma.github.io/Logging_0580/artfynd/A 59474-2025 artfynd.xlsx", "A 59474-2025")</f>
        <v/>
      </c>
      <c r="T70">
        <f>HYPERLINK("https://klasma.github.io/Logging_0580/kartor/A 59474-2025 karta.png", "A 59474-2025")</f>
        <v/>
      </c>
      <c r="V70">
        <f>HYPERLINK("https://klasma.github.io/Logging_0580/klagomål/A 59474-2025 FSC-klagomål.docx", "A 59474-2025")</f>
        <v/>
      </c>
      <c r="W70">
        <f>HYPERLINK("https://klasma.github.io/Logging_0580/klagomålsmail/A 59474-2025 FSC-klagomål mail.docx", "A 59474-2025")</f>
        <v/>
      </c>
      <c r="X70">
        <f>HYPERLINK("https://klasma.github.io/Logging_0580/tillsyn/A 59474-2025 tillsynsbegäran.docx", "A 59474-2025")</f>
        <v/>
      </c>
      <c r="Y70">
        <f>HYPERLINK("https://klasma.github.io/Logging_0580/tillsynsmail/A 59474-2025 tillsynsbegäran mail.docx", "A 59474-2025")</f>
        <v/>
      </c>
    </row>
    <row r="71" ht="15" customHeight="1">
      <c r="A71" t="inlineStr">
        <is>
          <t>A 60311-2025</t>
        </is>
      </c>
      <c r="B71" s="1" t="n">
        <v>45994</v>
      </c>
      <c r="C71" s="1" t="n">
        <v>46053</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Gammelekslav</t>
        </is>
      </c>
      <c r="S71">
        <f>HYPERLINK("https://klasma.github.io/Logging_0580/artfynd/A 60311-2025 artfynd.xlsx", "A 60311-2025")</f>
        <v/>
      </c>
      <c r="T71">
        <f>HYPERLINK("https://klasma.github.io/Logging_0580/kartor/A 60311-2025 karta.png", "A 60311-2025")</f>
        <v/>
      </c>
      <c r="V71">
        <f>HYPERLINK("https://klasma.github.io/Logging_0580/klagomål/A 60311-2025 FSC-klagomål.docx", "A 60311-2025")</f>
        <v/>
      </c>
      <c r="W71">
        <f>HYPERLINK("https://klasma.github.io/Logging_0580/klagomålsmail/A 60311-2025 FSC-klagomål mail.docx", "A 60311-2025")</f>
        <v/>
      </c>
      <c r="X71">
        <f>HYPERLINK("https://klasma.github.io/Logging_0580/tillsyn/A 60311-2025 tillsynsbegäran.docx", "A 60311-2025")</f>
        <v/>
      </c>
      <c r="Y71">
        <f>HYPERLINK("https://klasma.github.io/Logging_0580/tillsynsmail/A 60311-2025 tillsynsbegäran mail.docx", "A 60311-2025")</f>
        <v/>
      </c>
    </row>
    <row r="72" ht="15" customHeight="1">
      <c r="A72" t="inlineStr">
        <is>
          <t>A 54835-2023</t>
        </is>
      </c>
      <c r="B72" s="1" t="n">
        <v>45236</v>
      </c>
      <c r="C72" s="1" t="n">
        <v>46053</v>
      </c>
      <c r="D72" t="inlineStr">
        <is>
          <t>ÖSTERGÖTLANDS LÄN</t>
        </is>
      </c>
      <c r="E72" t="inlineStr">
        <is>
          <t>LINKÖPING</t>
        </is>
      </c>
      <c r="G72" t="n">
        <v>2</v>
      </c>
      <c r="H72" t="n">
        <v>1</v>
      </c>
      <c r="I72" t="n">
        <v>0</v>
      </c>
      <c r="J72" t="n">
        <v>0</v>
      </c>
      <c r="K72" t="n">
        <v>0</v>
      </c>
      <c r="L72" t="n">
        <v>0</v>
      </c>
      <c r="M72" t="n">
        <v>0</v>
      </c>
      <c r="N72" t="n">
        <v>0</v>
      </c>
      <c r="O72" t="n">
        <v>0</v>
      </c>
      <c r="P72" t="n">
        <v>0</v>
      </c>
      <c r="Q72" t="n">
        <v>1</v>
      </c>
      <c r="R72" s="2" t="inlineStr">
        <is>
          <t>Sparvuggla</t>
        </is>
      </c>
      <c r="S72">
        <f>HYPERLINK("https://klasma.github.io/Logging_0580/artfynd/A 54835-2023 artfynd.xlsx", "A 54835-2023")</f>
        <v/>
      </c>
      <c r="T72">
        <f>HYPERLINK("https://klasma.github.io/Logging_0580/kartor/A 54835-2023 karta.png", "A 54835-2023")</f>
        <v/>
      </c>
      <c r="V72">
        <f>HYPERLINK("https://klasma.github.io/Logging_0580/klagomål/A 54835-2023 FSC-klagomål.docx", "A 54835-2023")</f>
        <v/>
      </c>
      <c r="W72">
        <f>HYPERLINK("https://klasma.github.io/Logging_0580/klagomålsmail/A 54835-2023 FSC-klagomål mail.docx", "A 54835-2023")</f>
        <v/>
      </c>
      <c r="X72">
        <f>HYPERLINK("https://klasma.github.io/Logging_0580/tillsyn/A 54835-2023 tillsynsbegäran.docx", "A 54835-2023")</f>
        <v/>
      </c>
      <c r="Y72">
        <f>HYPERLINK("https://klasma.github.io/Logging_0580/tillsynsmail/A 54835-2023 tillsynsbegäran mail.docx", "A 54835-2023")</f>
        <v/>
      </c>
      <c r="Z72">
        <f>HYPERLINK("https://klasma.github.io/Logging_0580/fåglar/A 54835-2023 prioriterade fågelarter.docx", "A 54835-2023")</f>
        <v/>
      </c>
    </row>
    <row r="73" ht="15" customHeight="1">
      <c r="A73" t="inlineStr">
        <is>
          <t>A 34881-2023</t>
        </is>
      </c>
      <c r="B73" s="1" t="n">
        <v>45140</v>
      </c>
      <c r="C73" s="1" t="n">
        <v>46053</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Tallticka</t>
        </is>
      </c>
      <c r="S73">
        <f>HYPERLINK("https://klasma.github.io/Logging_0580/artfynd/A 34881-2023 artfynd.xlsx", "A 34881-2023")</f>
        <v/>
      </c>
      <c r="T73">
        <f>HYPERLINK("https://klasma.github.io/Logging_0580/kartor/A 34881-2023 karta.png", "A 34881-2023")</f>
        <v/>
      </c>
      <c r="U73">
        <f>HYPERLINK("https://klasma.github.io/Logging_0580/knärot/A 34881-2023 karta knärot.png", "A 34881-2023")</f>
        <v/>
      </c>
      <c r="V73">
        <f>HYPERLINK("https://klasma.github.io/Logging_0580/klagomål/A 34881-2023 FSC-klagomål.docx", "A 34881-2023")</f>
        <v/>
      </c>
      <c r="W73">
        <f>HYPERLINK("https://klasma.github.io/Logging_0580/klagomålsmail/A 34881-2023 FSC-klagomål mail.docx", "A 34881-2023")</f>
        <v/>
      </c>
      <c r="X73">
        <f>HYPERLINK("https://klasma.github.io/Logging_0580/tillsyn/A 34881-2023 tillsynsbegäran.docx", "A 34881-2023")</f>
        <v/>
      </c>
      <c r="Y73">
        <f>HYPERLINK("https://klasma.github.io/Logging_0580/tillsynsmail/A 34881-2023 tillsynsbegäran mail.docx", "A 34881-2023")</f>
        <v/>
      </c>
    </row>
    <row r="74" ht="15" customHeight="1">
      <c r="A74" t="inlineStr">
        <is>
          <t>A 19103-2021</t>
        </is>
      </c>
      <c r="B74" s="1" t="n">
        <v>44308</v>
      </c>
      <c r="C74" s="1" t="n">
        <v>46053</v>
      </c>
      <c r="D74" t="inlineStr">
        <is>
          <t>ÖSTERGÖTLANDS LÄN</t>
        </is>
      </c>
      <c r="E74" t="inlineStr">
        <is>
          <t>LINKÖPING</t>
        </is>
      </c>
      <c r="G74" t="n">
        <v>4.7</v>
      </c>
      <c r="H74" t="n">
        <v>0</v>
      </c>
      <c r="I74" t="n">
        <v>0</v>
      </c>
      <c r="J74" t="n">
        <v>1</v>
      </c>
      <c r="K74" t="n">
        <v>0</v>
      </c>
      <c r="L74" t="n">
        <v>0</v>
      </c>
      <c r="M74" t="n">
        <v>0</v>
      </c>
      <c r="N74" t="n">
        <v>0</v>
      </c>
      <c r="O74" t="n">
        <v>1</v>
      </c>
      <c r="P74" t="n">
        <v>0</v>
      </c>
      <c r="Q74" t="n">
        <v>1</v>
      </c>
      <c r="R74" s="2" t="inlineStr">
        <is>
          <t>Tallticka</t>
        </is>
      </c>
      <c r="S74">
        <f>HYPERLINK("https://klasma.github.io/Logging_0580/artfynd/A 19103-2021 artfynd.xlsx", "A 19103-2021")</f>
        <v/>
      </c>
      <c r="T74">
        <f>HYPERLINK("https://klasma.github.io/Logging_0580/kartor/A 19103-2021 karta.png", "A 19103-2021")</f>
        <v/>
      </c>
      <c r="V74">
        <f>HYPERLINK("https://klasma.github.io/Logging_0580/klagomål/A 19103-2021 FSC-klagomål.docx", "A 19103-2021")</f>
        <v/>
      </c>
      <c r="W74">
        <f>HYPERLINK("https://klasma.github.io/Logging_0580/klagomålsmail/A 19103-2021 FSC-klagomål mail.docx", "A 19103-2021")</f>
        <v/>
      </c>
      <c r="X74">
        <f>HYPERLINK("https://klasma.github.io/Logging_0580/tillsyn/A 19103-2021 tillsynsbegäran.docx", "A 19103-2021")</f>
        <v/>
      </c>
      <c r="Y74">
        <f>HYPERLINK("https://klasma.github.io/Logging_0580/tillsynsmail/A 19103-2021 tillsynsbegäran mail.docx", "A 19103-2021")</f>
        <v/>
      </c>
    </row>
    <row r="75" ht="15" customHeight="1">
      <c r="A75" t="inlineStr">
        <is>
          <t>A 45317-2023</t>
        </is>
      </c>
      <c r="B75" s="1" t="n">
        <v>45191.74868055555</v>
      </c>
      <c r="C75" s="1" t="n">
        <v>46053</v>
      </c>
      <c r="D75" t="inlineStr">
        <is>
          <t>ÖSTERGÖTLANDS LÄN</t>
        </is>
      </c>
      <c r="E75" t="inlineStr">
        <is>
          <t>LINKÖPING</t>
        </is>
      </c>
      <c r="F75" t="inlineStr">
        <is>
          <t>Allmännings- och besparingsskogar</t>
        </is>
      </c>
      <c r="G75" t="n">
        <v>29.3</v>
      </c>
      <c r="H75" t="n">
        <v>0</v>
      </c>
      <c r="I75" t="n">
        <v>0</v>
      </c>
      <c r="J75" t="n">
        <v>1</v>
      </c>
      <c r="K75" t="n">
        <v>0</v>
      </c>
      <c r="L75" t="n">
        <v>0</v>
      </c>
      <c r="M75" t="n">
        <v>0</v>
      </c>
      <c r="N75" t="n">
        <v>0</v>
      </c>
      <c r="O75" t="n">
        <v>1</v>
      </c>
      <c r="P75" t="n">
        <v>0</v>
      </c>
      <c r="Q75" t="n">
        <v>1</v>
      </c>
      <c r="R75" s="2" t="inlineStr">
        <is>
          <t>Svinrot</t>
        </is>
      </c>
      <c r="S75">
        <f>HYPERLINK("https://klasma.github.io/Logging_0580/artfynd/A 45317-2023 artfynd.xlsx", "A 45317-2023")</f>
        <v/>
      </c>
      <c r="T75">
        <f>HYPERLINK("https://klasma.github.io/Logging_0580/kartor/A 45317-2023 karta.png", "A 45317-2023")</f>
        <v/>
      </c>
      <c r="V75">
        <f>HYPERLINK("https://klasma.github.io/Logging_0580/klagomål/A 45317-2023 FSC-klagomål.docx", "A 45317-2023")</f>
        <v/>
      </c>
      <c r="W75">
        <f>HYPERLINK("https://klasma.github.io/Logging_0580/klagomålsmail/A 45317-2023 FSC-klagomål mail.docx", "A 45317-2023")</f>
        <v/>
      </c>
      <c r="X75">
        <f>HYPERLINK("https://klasma.github.io/Logging_0580/tillsyn/A 45317-2023 tillsynsbegäran.docx", "A 45317-2023")</f>
        <v/>
      </c>
      <c r="Y75">
        <f>HYPERLINK("https://klasma.github.io/Logging_0580/tillsynsmail/A 45317-2023 tillsynsbegäran mail.docx", "A 45317-2023")</f>
        <v/>
      </c>
    </row>
    <row r="76" ht="15" customHeight="1">
      <c r="A76" t="inlineStr">
        <is>
          <t>A 20295-2025</t>
        </is>
      </c>
      <c r="B76" s="1" t="n">
        <v>45774.74846064814</v>
      </c>
      <c r="C76" s="1" t="n">
        <v>46053</v>
      </c>
      <c r="D76" t="inlineStr">
        <is>
          <t>ÖSTERGÖTLANDS LÄN</t>
        </is>
      </c>
      <c r="E76" t="inlineStr">
        <is>
          <t>LINKÖPING</t>
        </is>
      </c>
      <c r="G76" t="n">
        <v>3</v>
      </c>
      <c r="H76" t="n">
        <v>0</v>
      </c>
      <c r="I76" t="n">
        <v>0</v>
      </c>
      <c r="J76" t="n">
        <v>1</v>
      </c>
      <c r="K76" t="n">
        <v>0</v>
      </c>
      <c r="L76" t="n">
        <v>0</v>
      </c>
      <c r="M76" t="n">
        <v>0</v>
      </c>
      <c r="N76" t="n">
        <v>0</v>
      </c>
      <c r="O76" t="n">
        <v>1</v>
      </c>
      <c r="P76" t="n">
        <v>0</v>
      </c>
      <c r="Q76" t="n">
        <v>1</v>
      </c>
      <c r="R76" s="2" t="inlineStr">
        <is>
          <t>Tallticka</t>
        </is>
      </c>
      <c r="S76">
        <f>HYPERLINK("https://klasma.github.io/Logging_0580/artfynd/A 20295-2025 artfynd.xlsx", "A 20295-2025")</f>
        <v/>
      </c>
      <c r="T76">
        <f>HYPERLINK("https://klasma.github.io/Logging_0580/kartor/A 20295-2025 karta.png", "A 20295-2025")</f>
        <v/>
      </c>
      <c r="V76">
        <f>HYPERLINK("https://klasma.github.io/Logging_0580/klagomål/A 20295-2025 FSC-klagomål.docx", "A 20295-2025")</f>
        <v/>
      </c>
      <c r="W76">
        <f>HYPERLINK("https://klasma.github.io/Logging_0580/klagomålsmail/A 20295-2025 FSC-klagomål mail.docx", "A 20295-2025")</f>
        <v/>
      </c>
      <c r="X76">
        <f>HYPERLINK("https://klasma.github.io/Logging_0580/tillsyn/A 20295-2025 tillsynsbegäran.docx", "A 20295-2025")</f>
        <v/>
      </c>
      <c r="Y76">
        <f>HYPERLINK("https://klasma.github.io/Logging_0580/tillsynsmail/A 20295-2025 tillsynsbegäran mail.docx", "A 20295-2025")</f>
        <v/>
      </c>
    </row>
    <row r="77" ht="15" customHeight="1">
      <c r="A77" t="inlineStr">
        <is>
          <t>A 37683-2024</t>
        </is>
      </c>
      <c r="B77" s="1" t="n">
        <v>45541.59120370371</v>
      </c>
      <c r="C77" s="1" t="n">
        <v>46053</v>
      </c>
      <c r="D77" t="inlineStr">
        <is>
          <t>ÖSTERGÖTLANDS LÄN</t>
        </is>
      </c>
      <c r="E77" t="inlineStr">
        <is>
          <t>LINKÖPING</t>
        </is>
      </c>
      <c r="G77" t="n">
        <v>0.6</v>
      </c>
      <c r="H77" t="n">
        <v>0</v>
      </c>
      <c r="I77" t="n">
        <v>1</v>
      </c>
      <c r="J77" t="n">
        <v>0</v>
      </c>
      <c r="K77" t="n">
        <v>0</v>
      </c>
      <c r="L77" t="n">
        <v>0</v>
      </c>
      <c r="M77" t="n">
        <v>0</v>
      </c>
      <c r="N77" t="n">
        <v>0</v>
      </c>
      <c r="O77" t="n">
        <v>0</v>
      </c>
      <c r="P77" t="n">
        <v>0</v>
      </c>
      <c r="Q77" t="n">
        <v>1</v>
      </c>
      <c r="R77" s="2" t="inlineStr">
        <is>
          <t>Tibast</t>
        </is>
      </c>
      <c r="S77">
        <f>HYPERLINK("https://klasma.github.io/Logging_0580/artfynd/A 37683-2024 artfynd.xlsx", "A 37683-2024")</f>
        <v/>
      </c>
      <c r="T77">
        <f>HYPERLINK("https://klasma.github.io/Logging_0580/kartor/A 37683-2024 karta.png", "A 37683-2024")</f>
        <v/>
      </c>
      <c r="V77">
        <f>HYPERLINK("https://klasma.github.io/Logging_0580/klagomål/A 37683-2024 FSC-klagomål.docx", "A 37683-2024")</f>
        <v/>
      </c>
      <c r="W77">
        <f>HYPERLINK("https://klasma.github.io/Logging_0580/klagomålsmail/A 37683-2024 FSC-klagomål mail.docx", "A 37683-2024")</f>
        <v/>
      </c>
      <c r="X77">
        <f>HYPERLINK("https://klasma.github.io/Logging_0580/tillsyn/A 37683-2024 tillsynsbegäran.docx", "A 37683-2024")</f>
        <v/>
      </c>
      <c r="Y77">
        <f>HYPERLINK("https://klasma.github.io/Logging_0580/tillsynsmail/A 37683-2024 tillsynsbegäran mail.docx", "A 37683-2024")</f>
        <v/>
      </c>
    </row>
    <row r="78" ht="15" customHeight="1">
      <c r="A78" t="inlineStr">
        <is>
          <t>A 35948-2023</t>
        </is>
      </c>
      <c r="B78" s="1" t="n">
        <v>45148</v>
      </c>
      <c r="C78" s="1" t="n">
        <v>46053</v>
      </c>
      <c r="D78" t="inlineStr">
        <is>
          <t>ÖSTERGÖTLANDS LÄN</t>
        </is>
      </c>
      <c r="E78" t="inlineStr">
        <is>
          <t>LINKÖPING</t>
        </is>
      </c>
      <c r="G78" t="n">
        <v>1.9</v>
      </c>
      <c r="H78" t="n">
        <v>0</v>
      </c>
      <c r="I78" t="n">
        <v>1</v>
      </c>
      <c r="J78" t="n">
        <v>0</v>
      </c>
      <c r="K78" t="n">
        <v>0</v>
      </c>
      <c r="L78" t="n">
        <v>0</v>
      </c>
      <c r="M78" t="n">
        <v>0</v>
      </c>
      <c r="N78" t="n">
        <v>0</v>
      </c>
      <c r="O78" t="n">
        <v>0</v>
      </c>
      <c r="P78" t="n">
        <v>0</v>
      </c>
      <c r="Q78" t="n">
        <v>1</v>
      </c>
      <c r="R78" s="2" t="inlineStr">
        <is>
          <t>Brun nållav</t>
        </is>
      </c>
      <c r="S78">
        <f>HYPERLINK("https://klasma.github.io/Logging_0580/artfynd/A 35948-2023 artfynd.xlsx", "A 35948-2023")</f>
        <v/>
      </c>
      <c r="T78">
        <f>HYPERLINK("https://klasma.github.io/Logging_0580/kartor/A 35948-2023 karta.png", "A 35948-2023")</f>
        <v/>
      </c>
      <c r="V78">
        <f>HYPERLINK("https://klasma.github.io/Logging_0580/klagomål/A 35948-2023 FSC-klagomål.docx", "A 35948-2023")</f>
        <v/>
      </c>
      <c r="W78">
        <f>HYPERLINK("https://klasma.github.io/Logging_0580/klagomålsmail/A 35948-2023 FSC-klagomål mail.docx", "A 35948-2023")</f>
        <v/>
      </c>
      <c r="X78">
        <f>HYPERLINK("https://klasma.github.io/Logging_0580/tillsyn/A 35948-2023 tillsynsbegäran.docx", "A 35948-2023")</f>
        <v/>
      </c>
      <c r="Y78">
        <f>HYPERLINK("https://klasma.github.io/Logging_0580/tillsynsmail/A 35948-2023 tillsynsbegäran mail.docx", "A 35948-2023")</f>
        <v/>
      </c>
    </row>
    <row r="79" ht="15" customHeight="1">
      <c r="A79" t="inlineStr">
        <is>
          <t>A 56651-2023</t>
        </is>
      </c>
      <c r="B79" s="1" t="n">
        <v>45243</v>
      </c>
      <c r="C79" s="1" t="n">
        <v>46053</v>
      </c>
      <c r="D79" t="inlineStr">
        <is>
          <t>ÖSTERGÖTLANDS LÄN</t>
        </is>
      </c>
      <c r="E79" t="inlineStr">
        <is>
          <t>LINKÖPING</t>
        </is>
      </c>
      <c r="F79" t="inlineStr">
        <is>
          <t>Övriga Aktiebolag</t>
        </is>
      </c>
      <c r="G79" t="n">
        <v>2.3</v>
      </c>
      <c r="H79" t="n">
        <v>0</v>
      </c>
      <c r="I79" t="n">
        <v>0</v>
      </c>
      <c r="J79" t="n">
        <v>1</v>
      </c>
      <c r="K79" t="n">
        <v>0</v>
      </c>
      <c r="L79" t="n">
        <v>0</v>
      </c>
      <c r="M79" t="n">
        <v>0</v>
      </c>
      <c r="N79" t="n">
        <v>0</v>
      </c>
      <c r="O79" t="n">
        <v>1</v>
      </c>
      <c r="P79" t="n">
        <v>0</v>
      </c>
      <c r="Q79" t="n">
        <v>1</v>
      </c>
      <c r="R79" s="2" t="inlineStr">
        <is>
          <t>Gul dropplav</t>
        </is>
      </c>
      <c r="S79">
        <f>HYPERLINK("https://klasma.github.io/Logging_0580/artfynd/A 56651-2023 artfynd.xlsx", "A 56651-2023")</f>
        <v/>
      </c>
      <c r="T79">
        <f>HYPERLINK("https://klasma.github.io/Logging_0580/kartor/A 56651-2023 karta.png", "A 56651-2023")</f>
        <v/>
      </c>
      <c r="V79">
        <f>HYPERLINK("https://klasma.github.io/Logging_0580/klagomål/A 56651-2023 FSC-klagomål.docx", "A 56651-2023")</f>
        <v/>
      </c>
      <c r="W79">
        <f>HYPERLINK("https://klasma.github.io/Logging_0580/klagomålsmail/A 56651-2023 FSC-klagomål mail.docx", "A 56651-2023")</f>
        <v/>
      </c>
      <c r="X79">
        <f>HYPERLINK("https://klasma.github.io/Logging_0580/tillsyn/A 56651-2023 tillsynsbegäran.docx", "A 56651-2023")</f>
        <v/>
      </c>
      <c r="Y79">
        <f>HYPERLINK("https://klasma.github.io/Logging_0580/tillsynsmail/A 56651-2023 tillsynsbegäran mail.docx", "A 56651-2023")</f>
        <v/>
      </c>
    </row>
    <row r="80" ht="15" customHeight="1">
      <c r="A80" t="inlineStr">
        <is>
          <t>A 59948-2022</t>
        </is>
      </c>
      <c r="B80" s="1" t="n">
        <v>44909</v>
      </c>
      <c r="C80" s="1" t="n">
        <v>46053</v>
      </c>
      <c r="D80" t="inlineStr">
        <is>
          <t>ÖSTERGÖTLANDS LÄN</t>
        </is>
      </c>
      <c r="E80" t="inlineStr">
        <is>
          <t>LINKÖPING</t>
        </is>
      </c>
      <c r="G80" t="n">
        <v>6.7</v>
      </c>
      <c r="H80" t="n">
        <v>0</v>
      </c>
      <c r="I80" t="n">
        <v>0</v>
      </c>
      <c r="J80" t="n">
        <v>0</v>
      </c>
      <c r="K80" t="n">
        <v>0</v>
      </c>
      <c r="L80" t="n">
        <v>0</v>
      </c>
      <c r="M80" t="n">
        <v>1</v>
      </c>
      <c r="N80" t="n">
        <v>0</v>
      </c>
      <c r="O80" t="n">
        <v>1</v>
      </c>
      <c r="P80" t="n">
        <v>1</v>
      </c>
      <c r="Q80" t="n">
        <v>1</v>
      </c>
      <c r="R80" s="2" t="inlineStr">
        <is>
          <t>Skogsalm</t>
        </is>
      </c>
      <c r="S80">
        <f>HYPERLINK("https://klasma.github.io/Logging_0580/artfynd/A 59948-2022 artfynd.xlsx", "A 59948-2022")</f>
        <v/>
      </c>
      <c r="T80">
        <f>HYPERLINK("https://klasma.github.io/Logging_0580/kartor/A 59948-2022 karta.png", "A 59948-2022")</f>
        <v/>
      </c>
      <c r="V80">
        <f>HYPERLINK("https://klasma.github.io/Logging_0580/klagomål/A 59948-2022 FSC-klagomål.docx", "A 59948-2022")</f>
        <v/>
      </c>
      <c r="W80">
        <f>HYPERLINK("https://klasma.github.io/Logging_0580/klagomålsmail/A 59948-2022 FSC-klagomål mail.docx", "A 59948-2022")</f>
        <v/>
      </c>
      <c r="X80">
        <f>HYPERLINK("https://klasma.github.io/Logging_0580/tillsyn/A 59948-2022 tillsynsbegäran.docx", "A 59948-2022")</f>
        <v/>
      </c>
      <c r="Y80">
        <f>HYPERLINK("https://klasma.github.io/Logging_0580/tillsynsmail/A 59948-2022 tillsynsbegäran mail.docx", "A 59948-2022")</f>
        <v/>
      </c>
    </row>
    <row r="81" ht="15" customHeight="1">
      <c r="A81" t="inlineStr">
        <is>
          <t>A 39457-2023</t>
        </is>
      </c>
      <c r="B81" s="1" t="n">
        <v>45166</v>
      </c>
      <c r="C81" s="1" t="n">
        <v>46053</v>
      </c>
      <c r="D81" t="inlineStr">
        <is>
          <t>ÖSTERGÖTLANDS LÄN</t>
        </is>
      </c>
      <c r="E81" t="inlineStr">
        <is>
          <t>LINKÖPING</t>
        </is>
      </c>
      <c r="G81" t="n">
        <v>2.1</v>
      </c>
      <c r="H81" t="n">
        <v>1</v>
      </c>
      <c r="I81" t="n">
        <v>0</v>
      </c>
      <c r="J81" t="n">
        <v>0</v>
      </c>
      <c r="K81" t="n">
        <v>0</v>
      </c>
      <c r="L81" t="n">
        <v>0</v>
      </c>
      <c r="M81" t="n">
        <v>0</v>
      </c>
      <c r="N81" t="n">
        <v>0</v>
      </c>
      <c r="O81" t="n">
        <v>0</v>
      </c>
      <c r="P81" t="n">
        <v>0</v>
      </c>
      <c r="Q81" t="n">
        <v>1</v>
      </c>
      <c r="R81" s="2" t="inlineStr">
        <is>
          <t>Sparvuggla</t>
        </is>
      </c>
      <c r="S81">
        <f>HYPERLINK("https://klasma.github.io/Logging_0580/artfynd/A 39457-2023 artfynd.xlsx", "A 39457-2023")</f>
        <v/>
      </c>
      <c r="T81">
        <f>HYPERLINK("https://klasma.github.io/Logging_0580/kartor/A 39457-2023 karta.png", "A 39457-2023")</f>
        <v/>
      </c>
      <c r="V81">
        <f>HYPERLINK("https://klasma.github.io/Logging_0580/klagomål/A 39457-2023 FSC-klagomål.docx", "A 39457-2023")</f>
        <v/>
      </c>
      <c r="W81">
        <f>HYPERLINK("https://klasma.github.io/Logging_0580/klagomålsmail/A 39457-2023 FSC-klagomål mail.docx", "A 39457-2023")</f>
        <v/>
      </c>
      <c r="X81">
        <f>HYPERLINK("https://klasma.github.io/Logging_0580/tillsyn/A 39457-2023 tillsynsbegäran.docx", "A 39457-2023")</f>
        <v/>
      </c>
      <c r="Y81">
        <f>HYPERLINK("https://klasma.github.io/Logging_0580/tillsynsmail/A 39457-2023 tillsynsbegäran mail.docx", "A 39457-2023")</f>
        <v/>
      </c>
      <c r="Z81">
        <f>HYPERLINK("https://klasma.github.io/Logging_0580/fåglar/A 39457-2023 prioriterade fågelarter.docx", "A 39457-2023")</f>
        <v/>
      </c>
    </row>
    <row r="82" ht="15" customHeight="1">
      <c r="A82" t="inlineStr">
        <is>
          <t>A 62071-2023</t>
        </is>
      </c>
      <c r="B82" s="1" t="n">
        <v>45266.73542824074</v>
      </c>
      <c r="C82" s="1" t="n">
        <v>46053</v>
      </c>
      <c r="D82" t="inlineStr">
        <is>
          <t>ÖSTERGÖTLANDS LÄN</t>
        </is>
      </c>
      <c r="E82" t="inlineStr">
        <is>
          <t>LINKÖPING</t>
        </is>
      </c>
      <c r="G82" t="n">
        <v>6.5</v>
      </c>
      <c r="H82" t="n">
        <v>0</v>
      </c>
      <c r="I82" t="n">
        <v>0</v>
      </c>
      <c r="J82" t="n">
        <v>1</v>
      </c>
      <c r="K82" t="n">
        <v>0</v>
      </c>
      <c r="L82" t="n">
        <v>0</v>
      </c>
      <c r="M82" t="n">
        <v>0</v>
      </c>
      <c r="N82" t="n">
        <v>0</v>
      </c>
      <c r="O82" t="n">
        <v>1</v>
      </c>
      <c r="P82" t="n">
        <v>0</v>
      </c>
      <c r="Q82" t="n">
        <v>1</v>
      </c>
      <c r="R82" s="2" t="inlineStr">
        <is>
          <t>Svinrot</t>
        </is>
      </c>
      <c r="S82">
        <f>HYPERLINK("https://klasma.github.io/Logging_0580/artfynd/A 62071-2023 artfynd.xlsx", "A 62071-2023")</f>
        <v/>
      </c>
      <c r="T82">
        <f>HYPERLINK("https://klasma.github.io/Logging_0580/kartor/A 62071-2023 karta.png", "A 62071-2023")</f>
        <v/>
      </c>
      <c r="V82">
        <f>HYPERLINK("https://klasma.github.io/Logging_0580/klagomål/A 62071-2023 FSC-klagomål.docx", "A 62071-2023")</f>
        <v/>
      </c>
      <c r="W82">
        <f>HYPERLINK("https://klasma.github.io/Logging_0580/klagomålsmail/A 62071-2023 FSC-klagomål mail.docx", "A 62071-2023")</f>
        <v/>
      </c>
      <c r="X82">
        <f>HYPERLINK("https://klasma.github.io/Logging_0580/tillsyn/A 62071-2023 tillsynsbegäran.docx", "A 62071-2023")</f>
        <v/>
      </c>
      <c r="Y82">
        <f>HYPERLINK("https://klasma.github.io/Logging_0580/tillsynsmail/A 62071-2023 tillsynsbegäran mail.docx", "A 62071-2023")</f>
        <v/>
      </c>
    </row>
    <row r="83" ht="15" customHeight="1">
      <c r="A83" t="inlineStr">
        <is>
          <t>A 90-2024</t>
        </is>
      </c>
      <c r="B83" s="1" t="n">
        <v>45293</v>
      </c>
      <c r="C83" s="1" t="n">
        <v>46053</v>
      </c>
      <c r="D83" t="inlineStr">
        <is>
          <t>ÖSTERGÖTLANDS LÄN</t>
        </is>
      </c>
      <c r="E83" t="inlineStr">
        <is>
          <t>LINKÖPING</t>
        </is>
      </c>
      <c r="G83" t="n">
        <v>1.8</v>
      </c>
      <c r="H83" t="n">
        <v>0</v>
      </c>
      <c r="I83" t="n">
        <v>1</v>
      </c>
      <c r="J83" t="n">
        <v>0</v>
      </c>
      <c r="K83" t="n">
        <v>0</v>
      </c>
      <c r="L83" t="n">
        <v>0</v>
      </c>
      <c r="M83" t="n">
        <v>0</v>
      </c>
      <c r="N83" t="n">
        <v>0</v>
      </c>
      <c r="O83" t="n">
        <v>0</v>
      </c>
      <c r="P83" t="n">
        <v>0</v>
      </c>
      <c r="Q83" t="n">
        <v>1</v>
      </c>
      <c r="R83" s="2" t="inlineStr">
        <is>
          <t>Grov fjädermossa</t>
        </is>
      </c>
      <c r="S83">
        <f>HYPERLINK("https://klasma.github.io/Logging_0580/artfynd/A 90-2024 artfynd.xlsx", "A 90-2024")</f>
        <v/>
      </c>
      <c r="T83">
        <f>HYPERLINK("https://klasma.github.io/Logging_0580/kartor/A 90-2024 karta.png", "A 90-2024")</f>
        <v/>
      </c>
      <c r="V83">
        <f>HYPERLINK("https://klasma.github.io/Logging_0580/klagomål/A 90-2024 FSC-klagomål.docx", "A 90-2024")</f>
        <v/>
      </c>
      <c r="W83">
        <f>HYPERLINK("https://klasma.github.io/Logging_0580/klagomålsmail/A 90-2024 FSC-klagomål mail.docx", "A 90-2024")</f>
        <v/>
      </c>
      <c r="X83">
        <f>HYPERLINK("https://klasma.github.io/Logging_0580/tillsyn/A 90-2024 tillsynsbegäran.docx", "A 90-2024")</f>
        <v/>
      </c>
      <c r="Y83">
        <f>HYPERLINK("https://klasma.github.io/Logging_0580/tillsynsmail/A 90-2024 tillsynsbegäran mail.docx", "A 90-2024")</f>
        <v/>
      </c>
    </row>
    <row r="84" ht="15" customHeight="1">
      <c r="A84" t="inlineStr">
        <is>
          <t>A 17444-2025</t>
        </is>
      </c>
      <c r="B84" s="1" t="n">
        <v>45757.43452546297</v>
      </c>
      <c r="C84" s="1" t="n">
        <v>46053</v>
      </c>
      <c r="D84" t="inlineStr">
        <is>
          <t>ÖSTERGÖTLANDS LÄN</t>
        </is>
      </c>
      <c r="E84" t="inlineStr">
        <is>
          <t>LINKÖPING</t>
        </is>
      </c>
      <c r="G84" t="n">
        <v>1.3</v>
      </c>
      <c r="H84" t="n">
        <v>1</v>
      </c>
      <c r="I84" t="n">
        <v>0</v>
      </c>
      <c r="J84" t="n">
        <v>1</v>
      </c>
      <c r="K84" t="n">
        <v>0</v>
      </c>
      <c r="L84" t="n">
        <v>0</v>
      </c>
      <c r="M84" t="n">
        <v>0</v>
      </c>
      <c r="N84" t="n">
        <v>0</v>
      </c>
      <c r="O84" t="n">
        <v>1</v>
      </c>
      <c r="P84" t="n">
        <v>0</v>
      </c>
      <c r="Q84" t="n">
        <v>1</v>
      </c>
      <c r="R84" s="2" t="inlineStr">
        <is>
          <t>Dårgräsfjäril</t>
        </is>
      </c>
      <c r="S84">
        <f>HYPERLINK("https://klasma.github.io/Logging_0580/artfynd/A 17444-2025 artfynd.xlsx", "A 17444-2025")</f>
        <v/>
      </c>
      <c r="T84">
        <f>HYPERLINK("https://klasma.github.io/Logging_0580/kartor/A 17444-2025 karta.png", "A 17444-2025")</f>
        <v/>
      </c>
      <c r="V84">
        <f>HYPERLINK("https://klasma.github.io/Logging_0580/klagomål/A 17444-2025 FSC-klagomål.docx", "A 17444-2025")</f>
        <v/>
      </c>
      <c r="W84">
        <f>HYPERLINK("https://klasma.github.io/Logging_0580/klagomålsmail/A 17444-2025 FSC-klagomål mail.docx", "A 17444-2025")</f>
        <v/>
      </c>
      <c r="X84">
        <f>HYPERLINK("https://klasma.github.io/Logging_0580/tillsyn/A 17444-2025 tillsynsbegäran.docx", "A 17444-2025")</f>
        <v/>
      </c>
      <c r="Y84">
        <f>HYPERLINK("https://klasma.github.io/Logging_0580/tillsynsmail/A 17444-2025 tillsynsbegäran mail.docx", "A 17444-2025")</f>
        <v/>
      </c>
    </row>
    <row r="85" ht="15" customHeight="1">
      <c r="A85" t="inlineStr">
        <is>
          <t>A 40309-2024</t>
        </is>
      </c>
      <c r="B85" s="1" t="n">
        <v>45554.724375</v>
      </c>
      <c r="C85" s="1" t="n">
        <v>46053</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15290-2025</t>
        </is>
      </c>
      <c r="B86" s="1" t="n">
        <v>45745.45288194445</v>
      </c>
      <c r="C86" s="1" t="n">
        <v>46053</v>
      </c>
      <c r="D86" t="inlineStr">
        <is>
          <t>ÖSTERGÖTLANDS LÄN</t>
        </is>
      </c>
      <c r="E86" t="inlineStr">
        <is>
          <t>LINKÖPING</t>
        </is>
      </c>
      <c r="G86" t="n">
        <v>18.4</v>
      </c>
      <c r="H86" t="n">
        <v>1</v>
      </c>
      <c r="I86" t="n">
        <v>0</v>
      </c>
      <c r="J86" t="n">
        <v>1</v>
      </c>
      <c r="K86" t="n">
        <v>0</v>
      </c>
      <c r="L86" t="n">
        <v>0</v>
      </c>
      <c r="M86" t="n">
        <v>0</v>
      </c>
      <c r="N86" t="n">
        <v>0</v>
      </c>
      <c r="O86" t="n">
        <v>1</v>
      </c>
      <c r="P86" t="n">
        <v>0</v>
      </c>
      <c r="Q86" t="n">
        <v>1</v>
      </c>
      <c r="R86" s="2" t="inlineStr">
        <is>
          <t>Havsörn</t>
        </is>
      </c>
      <c r="S86">
        <f>HYPERLINK("https://klasma.github.io/Logging_0580/artfynd/A 15290-2025 artfynd.xlsx", "A 15290-2025")</f>
        <v/>
      </c>
      <c r="T86">
        <f>HYPERLINK("https://klasma.github.io/Logging_0580/kartor/A 15290-2025 karta.png", "A 15290-2025")</f>
        <v/>
      </c>
      <c r="V86">
        <f>HYPERLINK("https://klasma.github.io/Logging_0580/klagomål/A 15290-2025 FSC-klagomål.docx", "A 15290-2025")</f>
        <v/>
      </c>
      <c r="W86">
        <f>HYPERLINK("https://klasma.github.io/Logging_0580/klagomålsmail/A 15290-2025 FSC-klagomål mail.docx", "A 15290-2025")</f>
        <v/>
      </c>
      <c r="X86">
        <f>HYPERLINK("https://klasma.github.io/Logging_0580/tillsyn/A 15290-2025 tillsynsbegäran.docx", "A 15290-2025")</f>
        <v/>
      </c>
      <c r="Y86">
        <f>HYPERLINK("https://klasma.github.io/Logging_0580/tillsynsmail/A 15290-2025 tillsynsbegäran mail.docx", "A 15290-2025")</f>
        <v/>
      </c>
      <c r="Z86">
        <f>HYPERLINK("https://klasma.github.io/Logging_0580/fåglar/A 15290-2025 prioriterade fågelarter.docx", "A 15290-2025")</f>
        <v/>
      </c>
    </row>
    <row r="87" ht="15" customHeight="1">
      <c r="A87" t="inlineStr">
        <is>
          <t>A 1716-2023</t>
        </is>
      </c>
      <c r="B87" s="1" t="n">
        <v>44938</v>
      </c>
      <c r="C87" s="1" t="n">
        <v>46053</v>
      </c>
      <c r="D87" t="inlineStr">
        <is>
          <t>ÖSTERGÖTLANDS LÄN</t>
        </is>
      </c>
      <c r="E87" t="inlineStr">
        <is>
          <t>LINKÖPING</t>
        </is>
      </c>
      <c r="G87" t="n">
        <v>3.6</v>
      </c>
      <c r="H87" t="n">
        <v>0</v>
      </c>
      <c r="I87" t="n">
        <v>0</v>
      </c>
      <c r="J87" t="n">
        <v>1</v>
      </c>
      <c r="K87" t="n">
        <v>0</v>
      </c>
      <c r="L87" t="n">
        <v>0</v>
      </c>
      <c r="M87" t="n">
        <v>0</v>
      </c>
      <c r="N87" t="n">
        <v>0</v>
      </c>
      <c r="O87" t="n">
        <v>1</v>
      </c>
      <c r="P87" t="n">
        <v>0</v>
      </c>
      <c r="Q87" t="n">
        <v>1</v>
      </c>
      <c r="R87" s="2" t="inlineStr">
        <is>
          <t>Svinrot</t>
        </is>
      </c>
      <c r="S87">
        <f>HYPERLINK("https://klasma.github.io/Logging_0580/artfynd/A 1716-2023 artfynd.xlsx", "A 1716-2023")</f>
        <v/>
      </c>
      <c r="T87">
        <f>HYPERLINK("https://klasma.github.io/Logging_0580/kartor/A 1716-2023 karta.png", "A 1716-2023")</f>
        <v/>
      </c>
      <c r="V87">
        <f>HYPERLINK("https://klasma.github.io/Logging_0580/klagomål/A 1716-2023 FSC-klagomål.docx", "A 1716-2023")</f>
        <v/>
      </c>
      <c r="W87">
        <f>HYPERLINK("https://klasma.github.io/Logging_0580/klagomålsmail/A 1716-2023 FSC-klagomål mail.docx", "A 1716-2023")</f>
        <v/>
      </c>
      <c r="X87">
        <f>HYPERLINK("https://klasma.github.io/Logging_0580/tillsyn/A 1716-2023 tillsynsbegäran.docx", "A 1716-2023")</f>
        <v/>
      </c>
      <c r="Y87">
        <f>HYPERLINK("https://klasma.github.io/Logging_0580/tillsynsmail/A 1716-2023 tillsynsbegäran mail.docx", "A 1716-2023")</f>
        <v/>
      </c>
    </row>
    <row r="88" ht="15" customHeight="1">
      <c r="A88" t="inlineStr">
        <is>
          <t>A 931-2025</t>
        </is>
      </c>
      <c r="B88" s="1" t="n">
        <v>45665.88498842593</v>
      </c>
      <c r="C88" s="1" t="n">
        <v>46053</v>
      </c>
      <c r="D88" t="inlineStr">
        <is>
          <t>ÖSTERGÖTLANDS LÄN</t>
        </is>
      </c>
      <c r="E88" t="inlineStr">
        <is>
          <t>LINKÖPING</t>
        </is>
      </c>
      <c r="F88" t="inlineStr">
        <is>
          <t>Övriga Aktiebolag</t>
        </is>
      </c>
      <c r="G88" t="n">
        <v>0.8</v>
      </c>
      <c r="H88" t="n">
        <v>0</v>
      </c>
      <c r="I88" t="n">
        <v>0</v>
      </c>
      <c r="J88" t="n">
        <v>1</v>
      </c>
      <c r="K88" t="n">
        <v>0</v>
      </c>
      <c r="L88" t="n">
        <v>0</v>
      </c>
      <c r="M88" t="n">
        <v>0</v>
      </c>
      <c r="N88" t="n">
        <v>0</v>
      </c>
      <c r="O88" t="n">
        <v>1</v>
      </c>
      <c r="P88" t="n">
        <v>0</v>
      </c>
      <c r="Q88" t="n">
        <v>1</v>
      </c>
      <c r="R88" s="2" t="inlineStr">
        <is>
          <t>Tallticka</t>
        </is>
      </c>
      <c r="S88">
        <f>HYPERLINK("https://klasma.github.io/Logging_0580/artfynd/A 931-2025 artfynd.xlsx", "A 931-2025")</f>
        <v/>
      </c>
      <c r="T88">
        <f>HYPERLINK("https://klasma.github.io/Logging_0580/kartor/A 931-2025 karta.png", "A 931-2025")</f>
        <v/>
      </c>
      <c r="V88">
        <f>HYPERLINK("https://klasma.github.io/Logging_0580/klagomål/A 931-2025 FSC-klagomål.docx", "A 931-2025")</f>
        <v/>
      </c>
      <c r="W88">
        <f>HYPERLINK("https://klasma.github.io/Logging_0580/klagomålsmail/A 931-2025 FSC-klagomål mail.docx", "A 931-2025")</f>
        <v/>
      </c>
      <c r="X88">
        <f>HYPERLINK("https://klasma.github.io/Logging_0580/tillsyn/A 931-2025 tillsynsbegäran.docx", "A 931-2025")</f>
        <v/>
      </c>
      <c r="Y88">
        <f>HYPERLINK("https://klasma.github.io/Logging_0580/tillsynsmail/A 931-2025 tillsynsbegäran mail.docx", "A 931-2025")</f>
        <v/>
      </c>
    </row>
    <row r="89" ht="15" customHeight="1">
      <c r="A89" t="inlineStr">
        <is>
          <t>A 126-2024</t>
        </is>
      </c>
      <c r="B89" s="1" t="n">
        <v>45294</v>
      </c>
      <c r="C89" s="1" t="n">
        <v>46053</v>
      </c>
      <c r="D89" t="inlineStr">
        <is>
          <t>ÖSTERGÖTLANDS LÄN</t>
        </is>
      </c>
      <c r="E89" t="inlineStr">
        <is>
          <t>LINKÖPING</t>
        </is>
      </c>
      <c r="G89" t="n">
        <v>1</v>
      </c>
      <c r="H89" t="n">
        <v>0</v>
      </c>
      <c r="I89" t="n">
        <v>1</v>
      </c>
      <c r="J89" t="n">
        <v>0</v>
      </c>
      <c r="K89" t="n">
        <v>0</v>
      </c>
      <c r="L89" t="n">
        <v>0</v>
      </c>
      <c r="M89" t="n">
        <v>0</v>
      </c>
      <c r="N89" t="n">
        <v>0</v>
      </c>
      <c r="O89" t="n">
        <v>0</v>
      </c>
      <c r="P89" t="n">
        <v>0</v>
      </c>
      <c r="Q89" t="n">
        <v>1</v>
      </c>
      <c r="R89" s="2" t="inlineStr">
        <is>
          <t>Blåmossa</t>
        </is>
      </c>
      <c r="S89">
        <f>HYPERLINK("https://klasma.github.io/Logging_0580/artfynd/A 126-2024 artfynd.xlsx", "A 126-2024")</f>
        <v/>
      </c>
      <c r="T89">
        <f>HYPERLINK("https://klasma.github.io/Logging_0580/kartor/A 126-2024 karta.png", "A 126-2024")</f>
        <v/>
      </c>
      <c r="V89">
        <f>HYPERLINK("https://klasma.github.io/Logging_0580/klagomål/A 126-2024 FSC-klagomål.docx", "A 126-2024")</f>
        <v/>
      </c>
      <c r="W89">
        <f>HYPERLINK("https://klasma.github.io/Logging_0580/klagomålsmail/A 126-2024 FSC-klagomål mail.docx", "A 126-2024")</f>
        <v/>
      </c>
      <c r="X89">
        <f>HYPERLINK("https://klasma.github.io/Logging_0580/tillsyn/A 126-2024 tillsynsbegäran.docx", "A 126-2024")</f>
        <v/>
      </c>
      <c r="Y89">
        <f>HYPERLINK("https://klasma.github.io/Logging_0580/tillsynsmail/A 126-2024 tillsynsbegäran mail.docx", "A 126-2024")</f>
        <v/>
      </c>
    </row>
    <row r="90" ht="15" customHeight="1">
      <c r="A90" t="inlineStr">
        <is>
          <t>A 3395-2023</t>
        </is>
      </c>
      <c r="B90" s="1" t="n">
        <v>44949</v>
      </c>
      <c r="C90" s="1" t="n">
        <v>46053</v>
      </c>
      <c r="D90" t="inlineStr">
        <is>
          <t>ÖSTERGÖTLANDS LÄN</t>
        </is>
      </c>
      <c r="E90" t="inlineStr">
        <is>
          <t>LINKÖPING</t>
        </is>
      </c>
      <c r="G90" t="n">
        <v>2</v>
      </c>
      <c r="H90" t="n">
        <v>0</v>
      </c>
      <c r="I90" t="n">
        <v>0</v>
      </c>
      <c r="J90" t="n">
        <v>1</v>
      </c>
      <c r="K90" t="n">
        <v>0</v>
      </c>
      <c r="L90" t="n">
        <v>0</v>
      </c>
      <c r="M90" t="n">
        <v>0</v>
      </c>
      <c r="N90" t="n">
        <v>0</v>
      </c>
      <c r="O90" t="n">
        <v>1</v>
      </c>
      <c r="P90" t="n">
        <v>0</v>
      </c>
      <c r="Q90" t="n">
        <v>1</v>
      </c>
      <c r="R90" s="2" t="inlineStr">
        <is>
          <t>Sommarfibbla</t>
        </is>
      </c>
      <c r="S90">
        <f>HYPERLINK("https://klasma.github.io/Logging_0580/artfynd/A 3395-2023 artfynd.xlsx", "A 3395-2023")</f>
        <v/>
      </c>
      <c r="T90">
        <f>HYPERLINK("https://klasma.github.io/Logging_0580/kartor/A 3395-2023 karta.png", "A 3395-2023")</f>
        <v/>
      </c>
      <c r="V90">
        <f>HYPERLINK("https://klasma.github.io/Logging_0580/klagomål/A 3395-2023 FSC-klagomål.docx", "A 3395-2023")</f>
        <v/>
      </c>
      <c r="W90">
        <f>HYPERLINK("https://klasma.github.io/Logging_0580/klagomålsmail/A 3395-2023 FSC-klagomål mail.docx", "A 3395-2023")</f>
        <v/>
      </c>
      <c r="X90">
        <f>HYPERLINK("https://klasma.github.io/Logging_0580/tillsyn/A 3395-2023 tillsynsbegäran.docx", "A 3395-2023")</f>
        <v/>
      </c>
      <c r="Y90">
        <f>HYPERLINK("https://klasma.github.io/Logging_0580/tillsynsmail/A 3395-2023 tillsynsbegäran mail.docx", "A 3395-2023")</f>
        <v/>
      </c>
    </row>
    <row r="91" ht="15" customHeight="1">
      <c r="A91" t="inlineStr">
        <is>
          <t>A 3397-2023</t>
        </is>
      </c>
      <c r="B91" s="1" t="n">
        <v>44949</v>
      </c>
      <c r="C91" s="1" t="n">
        <v>46053</v>
      </c>
      <c r="D91" t="inlineStr">
        <is>
          <t>ÖSTERGÖTLANDS LÄN</t>
        </is>
      </c>
      <c r="E91" t="inlineStr">
        <is>
          <t>LINKÖPING</t>
        </is>
      </c>
      <c r="G91" t="n">
        <v>4.1</v>
      </c>
      <c r="H91" t="n">
        <v>0</v>
      </c>
      <c r="I91" t="n">
        <v>0</v>
      </c>
      <c r="J91" t="n">
        <v>1</v>
      </c>
      <c r="K91" t="n">
        <v>0</v>
      </c>
      <c r="L91" t="n">
        <v>0</v>
      </c>
      <c r="M91" t="n">
        <v>0</v>
      </c>
      <c r="N91" t="n">
        <v>0</v>
      </c>
      <c r="O91" t="n">
        <v>1</v>
      </c>
      <c r="P91" t="n">
        <v>0</v>
      </c>
      <c r="Q91" t="n">
        <v>1</v>
      </c>
      <c r="R91" s="2" t="inlineStr">
        <is>
          <t>Svinrot</t>
        </is>
      </c>
      <c r="S91">
        <f>HYPERLINK("https://klasma.github.io/Logging_0580/artfynd/A 3397-2023 artfynd.xlsx", "A 3397-2023")</f>
        <v/>
      </c>
      <c r="T91">
        <f>HYPERLINK("https://klasma.github.io/Logging_0580/kartor/A 3397-2023 karta.png", "A 3397-2023")</f>
        <v/>
      </c>
      <c r="V91">
        <f>HYPERLINK("https://klasma.github.io/Logging_0580/klagomål/A 3397-2023 FSC-klagomål.docx", "A 3397-2023")</f>
        <v/>
      </c>
      <c r="W91">
        <f>HYPERLINK("https://klasma.github.io/Logging_0580/klagomålsmail/A 3397-2023 FSC-klagomål mail.docx", "A 3397-2023")</f>
        <v/>
      </c>
      <c r="X91">
        <f>HYPERLINK("https://klasma.github.io/Logging_0580/tillsyn/A 3397-2023 tillsynsbegäran.docx", "A 3397-2023")</f>
        <v/>
      </c>
      <c r="Y91">
        <f>HYPERLINK("https://klasma.github.io/Logging_0580/tillsynsmail/A 3397-2023 tillsynsbegäran mail.docx", "A 3397-2023")</f>
        <v/>
      </c>
    </row>
    <row r="92" ht="15" customHeight="1">
      <c r="A92" t="inlineStr">
        <is>
          <t>A 38881-2021</t>
        </is>
      </c>
      <c r="B92" s="1" t="n">
        <v>44411.46893518518</v>
      </c>
      <c r="C92" s="1" t="n">
        <v>46053</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46053</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46053</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5008-2021</t>
        </is>
      </c>
      <c r="B95" s="1" t="n">
        <v>44228</v>
      </c>
      <c r="C95" s="1" t="n">
        <v>46053</v>
      </c>
      <c r="D95" t="inlineStr">
        <is>
          <t>ÖSTERGÖTLANDS LÄN</t>
        </is>
      </c>
      <c r="E95" t="inlineStr">
        <is>
          <t>LINKÖPING</t>
        </is>
      </c>
      <c r="F95" t="inlineStr">
        <is>
          <t>Övriga Aktiebolag</t>
        </is>
      </c>
      <c r="G95" t="n">
        <v>0.3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46053</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46053</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46053</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46053</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46053</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46053</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46053</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46053</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46053</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30800-2022</t>
        </is>
      </c>
      <c r="B105" s="1" t="n">
        <v>44764.75119212963</v>
      </c>
      <c r="C105" s="1" t="n">
        <v>46053</v>
      </c>
      <c r="D105" t="inlineStr">
        <is>
          <t>ÖSTERGÖTLANDS LÄN</t>
        </is>
      </c>
      <c r="E105" t="inlineStr">
        <is>
          <t>LINKÖPING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46053</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46053</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46053</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46053</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46053</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46053</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46053</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46053</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46053</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46053</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46053</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46053</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46053</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46053</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46053</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46053</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46053</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46053</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46053</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27185-2021</t>
        </is>
      </c>
      <c r="B125" s="1" t="n">
        <v>44350</v>
      </c>
      <c r="C125" s="1" t="n">
        <v>46053</v>
      </c>
      <c r="D125" t="inlineStr">
        <is>
          <t>ÖSTERGÖTLANDS LÄN</t>
        </is>
      </c>
      <c r="E125" t="inlineStr">
        <is>
          <t>LINKÖPING</t>
        </is>
      </c>
      <c r="F125" t="inlineStr">
        <is>
          <t>Allmännings- och besparingsskogar</t>
        </is>
      </c>
      <c r="G125" t="n">
        <v>1.6</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46053</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46053</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46053</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46053</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46053</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46053</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46053</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46053</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46053</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46053</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46053</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46053</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46053</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46053</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46053</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46053</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46053</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46053</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46053</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46053</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46053</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46053</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58266-2021</t>
        </is>
      </c>
      <c r="B148" s="1" t="n">
        <v>44487</v>
      </c>
      <c r="C148" s="1" t="n">
        <v>46053</v>
      </c>
      <c r="D148" t="inlineStr">
        <is>
          <t>ÖSTERGÖTLANDS LÄN</t>
        </is>
      </c>
      <c r="E148" t="inlineStr">
        <is>
          <t>LINKÖPING</t>
        </is>
      </c>
      <c r="F148" t="inlineStr">
        <is>
          <t>Övriga Aktiebolag</t>
        </is>
      </c>
      <c r="G148" t="n">
        <v>3.2</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46053</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46053</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46053</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19318-2022</t>
        </is>
      </c>
      <c r="B152" s="1" t="n">
        <v>44692.5827662037</v>
      </c>
      <c r="C152" s="1" t="n">
        <v>46053</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46053</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46053</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46053</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46891-2021</t>
        </is>
      </c>
      <c r="B156" s="1" t="n">
        <v>44446.44587962963</v>
      </c>
      <c r="C156" s="1" t="n">
        <v>46053</v>
      </c>
      <c r="D156" t="inlineStr">
        <is>
          <t>ÖSTERGÖTLANDS LÄN</t>
        </is>
      </c>
      <c r="E156" t="inlineStr">
        <is>
          <t>LINKÖPING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27666-2022</t>
        </is>
      </c>
      <c r="B157" s="1" t="n">
        <v>44743.39017361111</v>
      </c>
      <c r="C157" s="1" t="n">
        <v>46053</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19183-2021</t>
        </is>
      </c>
      <c r="B158" s="1" t="n">
        <v>44308.73248842593</v>
      </c>
      <c r="C158" s="1" t="n">
        <v>46053</v>
      </c>
      <c r="D158" t="inlineStr">
        <is>
          <t>ÖSTERGÖTLANDS LÄN</t>
        </is>
      </c>
      <c r="E158" t="inlineStr">
        <is>
          <t>LINKÖPING</t>
        </is>
      </c>
      <c r="F158" t="inlineStr">
        <is>
          <t>Allmännings- och besparingsskogar</t>
        </is>
      </c>
      <c r="G158" t="n">
        <v>4.6</v>
      </c>
      <c r="H158" t="n">
        <v>0</v>
      </c>
      <c r="I158" t="n">
        <v>0</v>
      </c>
      <c r="J158" t="n">
        <v>0</v>
      </c>
      <c r="K158" t="n">
        <v>0</v>
      </c>
      <c r="L158" t="n">
        <v>0</v>
      </c>
      <c r="M158" t="n">
        <v>0</v>
      </c>
      <c r="N158" t="n">
        <v>0</v>
      </c>
      <c r="O158" t="n">
        <v>0</v>
      </c>
      <c r="P158" t="n">
        <v>0</v>
      </c>
      <c r="Q158" t="n">
        <v>0</v>
      </c>
      <c r="R158" s="2" t="inlineStr"/>
    </row>
    <row r="159" ht="15" customHeight="1">
      <c r="A159" t="inlineStr">
        <is>
          <t>A 13922-2021</t>
        </is>
      </c>
      <c r="B159" s="1" t="n">
        <v>44277.45946759259</v>
      </c>
      <c r="C159" s="1" t="n">
        <v>46053</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46053</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46053</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37014-2021</t>
        </is>
      </c>
      <c r="B162" s="1" t="n">
        <v>44393</v>
      </c>
      <c r="C162" s="1" t="n">
        <v>46053</v>
      </c>
      <c r="D162" t="inlineStr">
        <is>
          <t>ÖSTERGÖTLANDS LÄN</t>
        </is>
      </c>
      <c r="E162" t="inlineStr">
        <is>
          <t>LINKÖPING</t>
        </is>
      </c>
      <c r="F162" t="inlineStr">
        <is>
          <t>Allmännings- och besparingsskogar</t>
        </is>
      </c>
      <c r="G162" t="n">
        <v>7.7</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46053</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44849-2022</t>
        </is>
      </c>
      <c r="B164" s="1" t="n">
        <v>44841</v>
      </c>
      <c r="C164" s="1" t="n">
        <v>46053</v>
      </c>
      <c r="D164" t="inlineStr">
        <is>
          <t>ÖSTERGÖTLANDS LÄN</t>
        </is>
      </c>
      <c r="E164" t="inlineStr">
        <is>
          <t>LINKÖPING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46053</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46053</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54854-2022</t>
        </is>
      </c>
      <c r="B167" s="1" t="n">
        <v>44884</v>
      </c>
      <c r="C167" s="1" t="n">
        <v>46053</v>
      </c>
      <c r="D167" t="inlineStr">
        <is>
          <t>ÖSTERGÖTLANDS LÄN</t>
        </is>
      </c>
      <c r="E167" t="inlineStr">
        <is>
          <t>LINKÖPING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54855-2022</t>
        </is>
      </c>
      <c r="B168" s="1" t="n">
        <v>44884.59502314815</v>
      </c>
      <c r="C168" s="1" t="n">
        <v>46053</v>
      </c>
      <c r="D168" t="inlineStr">
        <is>
          <t>ÖSTERGÖTLANDS LÄN</t>
        </is>
      </c>
      <c r="E168" t="inlineStr">
        <is>
          <t>LINKÖPING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46053</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20901-2021</t>
        </is>
      </c>
      <c r="B170" s="1" t="n">
        <v>44319</v>
      </c>
      <c r="C170" s="1" t="n">
        <v>46053</v>
      </c>
      <c r="D170" t="inlineStr">
        <is>
          <t>ÖSTERGÖTLANDS LÄN</t>
        </is>
      </c>
      <c r="E170" t="inlineStr">
        <is>
          <t>LINKÖPING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65398-2021</t>
        </is>
      </c>
      <c r="B171" s="1" t="n">
        <v>44515</v>
      </c>
      <c r="C171" s="1" t="n">
        <v>46053</v>
      </c>
      <c r="D171" t="inlineStr">
        <is>
          <t>ÖSTERGÖTLANDS LÄN</t>
        </is>
      </c>
      <c r="E171" t="inlineStr">
        <is>
          <t>LINKÖPING</t>
        </is>
      </c>
      <c r="F171" t="inlineStr">
        <is>
          <t>Övriga statliga verk och myndigheter</t>
        </is>
      </c>
      <c r="G171" t="n">
        <v>2.4</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46053</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46053</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10951-2022</t>
        </is>
      </c>
      <c r="B174" s="1" t="n">
        <v>44627</v>
      </c>
      <c r="C174" s="1" t="n">
        <v>46053</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46053</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46053</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23416-2022</t>
        </is>
      </c>
      <c r="B177" s="1" t="n">
        <v>44720.78243055556</v>
      </c>
      <c r="C177" s="1" t="n">
        <v>46053</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46053</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46053</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46053</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4929-2021</t>
        </is>
      </c>
      <c r="B181" s="1" t="n">
        <v>44227.57533564815</v>
      </c>
      <c r="C181" s="1" t="n">
        <v>46053</v>
      </c>
      <c r="D181" t="inlineStr">
        <is>
          <t>ÖSTERGÖTLANDS LÄN</t>
        </is>
      </c>
      <c r="E181" t="inlineStr">
        <is>
          <t>LINKÖPING</t>
        </is>
      </c>
      <c r="G181" t="n">
        <v>0.4</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46053</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46053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46053</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46053</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46053</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46053</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46053</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46053</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46053</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46053</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46053</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46053</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46053</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46053</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46053</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46053</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46053</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46053</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39021-2021</t>
        </is>
      </c>
      <c r="B200" s="1" t="n">
        <v>44412</v>
      </c>
      <c r="C200" s="1" t="n">
        <v>46053</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12035-2025</t>
        </is>
      </c>
      <c r="B201" s="1" t="n">
        <v>45728.64946759259</v>
      </c>
      <c r="C201" s="1" t="n">
        <v>46053</v>
      </c>
      <c r="D201" t="inlineStr">
        <is>
          <t>ÖSTERGÖTLANDS LÄN</t>
        </is>
      </c>
      <c r="E201" t="inlineStr">
        <is>
          <t>LINKÖPING</t>
        </is>
      </c>
      <c r="G201" t="n">
        <v>3.7</v>
      </c>
      <c r="H201" t="n">
        <v>0</v>
      </c>
      <c r="I201" t="n">
        <v>0</v>
      </c>
      <c r="J201" t="n">
        <v>0</v>
      </c>
      <c r="K201" t="n">
        <v>0</v>
      </c>
      <c r="L201" t="n">
        <v>0</v>
      </c>
      <c r="M201" t="n">
        <v>0</v>
      </c>
      <c r="N201" t="n">
        <v>0</v>
      </c>
      <c r="O201" t="n">
        <v>0</v>
      </c>
      <c r="P201" t="n">
        <v>0</v>
      </c>
      <c r="Q201" t="n">
        <v>0</v>
      </c>
      <c r="R201" s="2" t="inlineStr"/>
    </row>
    <row r="202" ht="15" customHeight="1">
      <c r="A202" t="inlineStr">
        <is>
          <t>A 51484-2023</t>
        </is>
      </c>
      <c r="B202" s="1" t="n">
        <v>45222</v>
      </c>
      <c r="C202" s="1" t="n">
        <v>46053</v>
      </c>
      <c r="D202" t="inlineStr">
        <is>
          <t>ÖSTERGÖTLANDS LÄN</t>
        </is>
      </c>
      <c r="E202" t="inlineStr">
        <is>
          <t>LINKÖPING</t>
        </is>
      </c>
      <c r="F202" t="inlineStr">
        <is>
          <t>Övriga Aktiebolag</t>
        </is>
      </c>
      <c r="G202" t="n">
        <v>7.7</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46053</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46053</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46053</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46053</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10407-2025</t>
        </is>
      </c>
      <c r="B207" s="1" t="n">
        <v>45720.62863425926</v>
      </c>
      <c r="C207" s="1" t="n">
        <v>46053</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9434-2024</t>
        </is>
      </c>
      <c r="B208" s="1" t="n">
        <v>45359</v>
      </c>
      <c r="C208" s="1" t="n">
        <v>46053</v>
      </c>
      <c r="D208" t="inlineStr">
        <is>
          <t>ÖSTERGÖTLANDS LÄN</t>
        </is>
      </c>
      <c r="E208" t="inlineStr">
        <is>
          <t>LINKÖPING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46053</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5872-2025</t>
        </is>
      </c>
      <c r="B210" s="1" t="n">
        <v>45695.36659722222</v>
      </c>
      <c r="C210" s="1" t="n">
        <v>46053</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59674-2024</t>
        </is>
      </c>
      <c r="B211" s="1" t="n">
        <v>45639</v>
      </c>
      <c r="C211" s="1" t="n">
        <v>46053</v>
      </c>
      <c r="D211" t="inlineStr">
        <is>
          <t>ÖSTERGÖTLANDS LÄN</t>
        </is>
      </c>
      <c r="E211" t="inlineStr">
        <is>
          <t>LINKÖPING</t>
        </is>
      </c>
      <c r="G211" t="n">
        <v>6.3</v>
      </c>
      <c r="H211" t="n">
        <v>0</v>
      </c>
      <c r="I211" t="n">
        <v>0</v>
      </c>
      <c r="J211" t="n">
        <v>0</v>
      </c>
      <c r="K211" t="n">
        <v>0</v>
      </c>
      <c r="L211" t="n">
        <v>0</v>
      </c>
      <c r="M211" t="n">
        <v>0</v>
      </c>
      <c r="N211" t="n">
        <v>0</v>
      </c>
      <c r="O211" t="n">
        <v>0</v>
      </c>
      <c r="P211" t="n">
        <v>0</v>
      </c>
      <c r="Q211" t="n">
        <v>0</v>
      </c>
      <c r="R211" s="2" t="inlineStr"/>
    </row>
    <row r="212" ht="15" customHeight="1">
      <c r="A212" t="inlineStr">
        <is>
          <t>A 48343-2025</t>
        </is>
      </c>
      <c r="B212" s="1" t="n">
        <v>45932</v>
      </c>
      <c r="C212" s="1" t="n">
        <v>46053</v>
      </c>
      <c r="D212" t="inlineStr">
        <is>
          <t>ÖSTERGÖTLANDS LÄN</t>
        </is>
      </c>
      <c r="E212" t="inlineStr">
        <is>
          <t>LINKÖPING</t>
        </is>
      </c>
      <c r="F212" t="inlineStr">
        <is>
          <t>Övriga Aktiebolag</t>
        </is>
      </c>
      <c r="G212" t="n">
        <v>2</v>
      </c>
      <c r="H212" t="n">
        <v>0</v>
      </c>
      <c r="I212" t="n">
        <v>0</v>
      </c>
      <c r="J212" t="n">
        <v>0</v>
      </c>
      <c r="K212" t="n">
        <v>0</v>
      </c>
      <c r="L212" t="n">
        <v>0</v>
      </c>
      <c r="M212" t="n">
        <v>0</v>
      </c>
      <c r="N212" t="n">
        <v>0</v>
      </c>
      <c r="O212" t="n">
        <v>0</v>
      </c>
      <c r="P212" t="n">
        <v>0</v>
      </c>
      <c r="Q212" t="n">
        <v>0</v>
      </c>
      <c r="R212" s="2" t="inlineStr"/>
    </row>
    <row r="213" ht="15" customHeight="1">
      <c r="A213" t="inlineStr">
        <is>
          <t>A 13689-2025</t>
        </is>
      </c>
      <c r="B213" s="1" t="n">
        <v>45737.31590277778</v>
      </c>
      <c r="C213" s="1" t="n">
        <v>46053</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13696-2025</t>
        </is>
      </c>
      <c r="B214" s="1" t="n">
        <v>45737.32273148148</v>
      </c>
      <c r="C214" s="1" t="n">
        <v>46053</v>
      </c>
      <c r="D214" t="inlineStr">
        <is>
          <t>ÖSTERGÖTLANDS LÄN</t>
        </is>
      </c>
      <c r="E214" t="inlineStr">
        <is>
          <t>LINKÖPING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59576-2024</t>
        </is>
      </c>
      <c r="B215" s="1" t="n">
        <v>45638.66378472222</v>
      </c>
      <c r="C215" s="1" t="n">
        <v>46053</v>
      </c>
      <c r="D215" t="inlineStr">
        <is>
          <t>ÖSTERGÖTLANDS LÄN</t>
        </is>
      </c>
      <c r="E215" t="inlineStr">
        <is>
          <t>LINKÖPING</t>
        </is>
      </c>
      <c r="G215" t="n">
        <v>1.6</v>
      </c>
      <c r="H215" t="n">
        <v>0</v>
      </c>
      <c r="I215" t="n">
        <v>0</v>
      </c>
      <c r="J215" t="n">
        <v>0</v>
      </c>
      <c r="K215" t="n">
        <v>0</v>
      </c>
      <c r="L215" t="n">
        <v>0</v>
      </c>
      <c r="M215" t="n">
        <v>0</v>
      </c>
      <c r="N215" t="n">
        <v>0</v>
      </c>
      <c r="O215" t="n">
        <v>0</v>
      </c>
      <c r="P215" t="n">
        <v>0</v>
      </c>
      <c r="Q215" t="n">
        <v>0</v>
      </c>
      <c r="R215" s="2" t="inlineStr"/>
    </row>
    <row r="216" ht="15" customHeight="1">
      <c r="A216" t="inlineStr">
        <is>
          <t>A 3008-2023</t>
        </is>
      </c>
      <c r="B216" s="1" t="n">
        <v>44945.79784722222</v>
      </c>
      <c r="C216" s="1" t="n">
        <v>46053</v>
      </c>
      <c r="D216" t="inlineStr">
        <is>
          <t>ÖSTERGÖTLANDS LÄN</t>
        </is>
      </c>
      <c r="E216" t="inlineStr">
        <is>
          <t>LINKÖPING</t>
        </is>
      </c>
      <c r="G216" t="n">
        <v>19.3</v>
      </c>
      <c r="H216" t="n">
        <v>0</v>
      </c>
      <c r="I216" t="n">
        <v>0</v>
      </c>
      <c r="J216" t="n">
        <v>0</v>
      </c>
      <c r="K216" t="n">
        <v>0</v>
      </c>
      <c r="L216" t="n">
        <v>0</v>
      </c>
      <c r="M216" t="n">
        <v>0</v>
      </c>
      <c r="N216" t="n">
        <v>0</v>
      </c>
      <c r="O216" t="n">
        <v>0</v>
      </c>
      <c r="P216" t="n">
        <v>0</v>
      </c>
      <c r="Q216" t="n">
        <v>0</v>
      </c>
      <c r="R216" s="2" t="inlineStr"/>
    </row>
    <row r="217" ht="15" customHeight="1">
      <c r="A217" t="inlineStr">
        <is>
          <t>A 47606-2025</t>
        </is>
      </c>
      <c r="B217" s="1" t="n">
        <v>45931.46402777778</v>
      </c>
      <c r="C217" s="1" t="n">
        <v>46053</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46053</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51583-2024</t>
        </is>
      </c>
      <c r="B219" s="1" t="n">
        <v>45604.6397337963</v>
      </c>
      <c r="C219" s="1" t="n">
        <v>46053</v>
      </c>
      <c r="D219" t="inlineStr">
        <is>
          <t>ÖSTERGÖTLANDS LÄN</t>
        </is>
      </c>
      <c r="E219" t="inlineStr">
        <is>
          <t>LINKÖPING</t>
        </is>
      </c>
      <c r="F219" t="inlineStr">
        <is>
          <t>Övriga Aktiebolag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62019-2024</t>
        </is>
      </c>
      <c r="B220" s="1" t="n">
        <v>45655.82</v>
      </c>
      <c r="C220" s="1" t="n">
        <v>46053</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38317-2024</t>
        </is>
      </c>
      <c r="B221" s="1" t="n">
        <v>45545.65766203704</v>
      </c>
      <c r="C221" s="1" t="n">
        <v>46053</v>
      </c>
      <c r="D221" t="inlineStr">
        <is>
          <t>ÖSTERGÖTLANDS LÄN</t>
        </is>
      </c>
      <c r="E221" t="inlineStr">
        <is>
          <t>LINKÖPING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55345-2021</t>
        </is>
      </c>
      <c r="B222" s="1" t="n">
        <v>44475</v>
      </c>
      <c r="C222" s="1" t="n">
        <v>46053</v>
      </c>
      <c r="D222" t="inlineStr">
        <is>
          <t>ÖSTERGÖTLANDS LÄN</t>
        </is>
      </c>
      <c r="E222" t="inlineStr">
        <is>
          <t>LINKÖPING</t>
        </is>
      </c>
      <c r="G222" t="n">
        <v>5.7</v>
      </c>
      <c r="H222" t="n">
        <v>0</v>
      </c>
      <c r="I222" t="n">
        <v>0</v>
      </c>
      <c r="J222" t="n">
        <v>0</v>
      </c>
      <c r="K222" t="n">
        <v>0</v>
      </c>
      <c r="L222" t="n">
        <v>0</v>
      </c>
      <c r="M222" t="n">
        <v>0</v>
      </c>
      <c r="N222" t="n">
        <v>0</v>
      </c>
      <c r="O222" t="n">
        <v>0</v>
      </c>
      <c r="P222" t="n">
        <v>0</v>
      </c>
      <c r="Q222" t="n">
        <v>0</v>
      </c>
      <c r="R222" s="2" t="inlineStr"/>
    </row>
    <row r="223" ht="15" customHeight="1">
      <c r="A223" t="inlineStr">
        <is>
          <t>A 48254-2025</t>
        </is>
      </c>
      <c r="B223" s="1" t="n">
        <v>45932</v>
      </c>
      <c r="C223" s="1" t="n">
        <v>46053</v>
      </c>
      <c r="D223" t="inlineStr">
        <is>
          <t>ÖSTERGÖTLANDS LÄN</t>
        </is>
      </c>
      <c r="E223" t="inlineStr">
        <is>
          <t>LINKÖPING</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48266-2025</t>
        </is>
      </c>
      <c r="B224" s="1" t="n">
        <v>45932</v>
      </c>
      <c r="C224" s="1" t="n">
        <v>46053</v>
      </c>
      <c r="D224" t="inlineStr">
        <is>
          <t>ÖSTERGÖTLANDS LÄN</t>
        </is>
      </c>
      <c r="E224" t="inlineStr">
        <is>
          <t>LINKÖPING</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50182-2023</t>
        </is>
      </c>
      <c r="B225" s="1" t="n">
        <v>45208</v>
      </c>
      <c r="C225" s="1" t="n">
        <v>46053</v>
      </c>
      <c r="D225" t="inlineStr">
        <is>
          <t>ÖSTERGÖTLANDS LÄN</t>
        </is>
      </c>
      <c r="E225" t="inlineStr">
        <is>
          <t>LINKÖPING</t>
        </is>
      </c>
      <c r="G225" t="n">
        <v>2.5</v>
      </c>
      <c r="H225" t="n">
        <v>0</v>
      </c>
      <c r="I225" t="n">
        <v>0</v>
      </c>
      <c r="J225" t="n">
        <v>0</v>
      </c>
      <c r="K225" t="n">
        <v>0</v>
      </c>
      <c r="L225" t="n">
        <v>0</v>
      </c>
      <c r="M225" t="n">
        <v>0</v>
      </c>
      <c r="N225" t="n">
        <v>0</v>
      </c>
      <c r="O225" t="n">
        <v>0</v>
      </c>
      <c r="P225" t="n">
        <v>0</v>
      </c>
      <c r="Q225" t="n">
        <v>0</v>
      </c>
      <c r="R225" s="2" t="inlineStr"/>
    </row>
    <row r="226" ht="15" customHeight="1">
      <c r="A226" t="inlineStr">
        <is>
          <t>A 1844-2025</t>
        </is>
      </c>
      <c r="B226" s="1" t="n">
        <v>45671.57730324074</v>
      </c>
      <c r="C226" s="1" t="n">
        <v>46053</v>
      </c>
      <c r="D226" t="inlineStr">
        <is>
          <t>ÖSTERGÖTLANDS LÄN</t>
        </is>
      </c>
      <c r="E226" t="inlineStr">
        <is>
          <t>LINKÖPING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46225-2021</t>
        </is>
      </c>
      <c r="B227" s="1" t="n">
        <v>44442</v>
      </c>
      <c r="C227" s="1" t="n">
        <v>46053</v>
      </c>
      <c r="D227" t="inlineStr">
        <is>
          <t>ÖSTERGÖTLANDS LÄN</t>
        </is>
      </c>
      <c r="E227" t="inlineStr">
        <is>
          <t>LINKÖPING</t>
        </is>
      </c>
      <c r="G227" t="n">
        <v>2.9</v>
      </c>
      <c r="H227" t="n">
        <v>0</v>
      </c>
      <c r="I227" t="n">
        <v>0</v>
      </c>
      <c r="J227" t="n">
        <v>0</v>
      </c>
      <c r="K227" t="n">
        <v>0</v>
      </c>
      <c r="L227" t="n">
        <v>0</v>
      </c>
      <c r="M227" t="n">
        <v>0</v>
      </c>
      <c r="N227" t="n">
        <v>0</v>
      </c>
      <c r="O227" t="n">
        <v>0</v>
      </c>
      <c r="P227" t="n">
        <v>0</v>
      </c>
      <c r="Q227" t="n">
        <v>0</v>
      </c>
      <c r="R227" s="2" t="inlineStr"/>
    </row>
    <row r="228" ht="15" customHeight="1">
      <c r="A228" t="inlineStr">
        <is>
          <t>A 54428-2022</t>
        </is>
      </c>
      <c r="B228" s="1" t="n">
        <v>44882.57643518518</v>
      </c>
      <c r="C228" s="1" t="n">
        <v>46053</v>
      </c>
      <c r="D228" t="inlineStr">
        <is>
          <t>ÖSTERGÖTLANDS LÄN</t>
        </is>
      </c>
      <c r="E228" t="inlineStr">
        <is>
          <t>LINKÖPING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61281-2021</t>
        </is>
      </c>
      <c r="B229" s="1" t="n">
        <v>44498.60736111111</v>
      </c>
      <c r="C229" s="1" t="n">
        <v>46053</v>
      </c>
      <c r="D229" t="inlineStr">
        <is>
          <t>ÖSTERGÖTLANDS LÄN</t>
        </is>
      </c>
      <c r="E229" t="inlineStr">
        <is>
          <t>LINKÖPING</t>
        </is>
      </c>
      <c r="G229" t="n">
        <v>4.5</v>
      </c>
      <c r="H229" t="n">
        <v>0</v>
      </c>
      <c r="I229" t="n">
        <v>0</v>
      </c>
      <c r="J229" t="n">
        <v>0</v>
      </c>
      <c r="K229" t="n">
        <v>0</v>
      </c>
      <c r="L229" t="n">
        <v>0</v>
      </c>
      <c r="M229" t="n">
        <v>0</v>
      </c>
      <c r="N229" t="n">
        <v>0</v>
      </c>
      <c r="O229" t="n">
        <v>0</v>
      </c>
      <c r="P229" t="n">
        <v>0</v>
      </c>
      <c r="Q229" t="n">
        <v>0</v>
      </c>
      <c r="R229" s="2" t="inlineStr"/>
    </row>
    <row r="230" ht="15" customHeight="1">
      <c r="A230" t="inlineStr">
        <is>
          <t>A 63935-2021</t>
        </is>
      </c>
      <c r="B230" s="1" t="n">
        <v>44509</v>
      </c>
      <c r="C230" s="1" t="n">
        <v>46053</v>
      </c>
      <c r="D230" t="inlineStr">
        <is>
          <t>ÖSTERGÖTLANDS LÄN</t>
        </is>
      </c>
      <c r="E230" t="inlineStr">
        <is>
          <t>LINKÖPING</t>
        </is>
      </c>
      <c r="F230" t="inlineStr">
        <is>
          <t>Övriga statliga verk och myndigheter</t>
        </is>
      </c>
      <c r="G230" t="n">
        <v>2.8</v>
      </c>
      <c r="H230" t="n">
        <v>0</v>
      </c>
      <c r="I230" t="n">
        <v>0</v>
      </c>
      <c r="J230" t="n">
        <v>0</v>
      </c>
      <c r="K230" t="n">
        <v>0</v>
      </c>
      <c r="L230" t="n">
        <v>0</v>
      </c>
      <c r="M230" t="n">
        <v>0</v>
      </c>
      <c r="N230" t="n">
        <v>0</v>
      </c>
      <c r="O230" t="n">
        <v>0</v>
      </c>
      <c r="P230" t="n">
        <v>0</v>
      </c>
      <c r="Q230" t="n">
        <v>0</v>
      </c>
      <c r="R230" s="2" t="inlineStr"/>
    </row>
    <row r="231" ht="15" customHeight="1">
      <c r="A231" t="inlineStr">
        <is>
          <t>A 25292-2021</t>
        </is>
      </c>
      <c r="B231" s="1" t="n">
        <v>44342</v>
      </c>
      <c r="C231" s="1" t="n">
        <v>46053</v>
      </c>
      <c r="D231" t="inlineStr">
        <is>
          <t>ÖSTERGÖTLANDS LÄN</t>
        </is>
      </c>
      <c r="E231" t="inlineStr">
        <is>
          <t>LINKÖPING</t>
        </is>
      </c>
      <c r="F231" t="inlineStr">
        <is>
          <t>Övriga Aktiebolag</t>
        </is>
      </c>
      <c r="G231" t="n">
        <v>12.8</v>
      </c>
      <c r="H231" t="n">
        <v>0</v>
      </c>
      <c r="I231" t="n">
        <v>0</v>
      </c>
      <c r="J231" t="n">
        <v>0</v>
      </c>
      <c r="K231" t="n">
        <v>0</v>
      </c>
      <c r="L231" t="n">
        <v>0</v>
      </c>
      <c r="M231" t="n">
        <v>0</v>
      </c>
      <c r="N231" t="n">
        <v>0</v>
      </c>
      <c r="O231" t="n">
        <v>0</v>
      </c>
      <c r="P231" t="n">
        <v>0</v>
      </c>
      <c r="Q231" t="n">
        <v>0</v>
      </c>
      <c r="R231" s="2" t="inlineStr"/>
    </row>
    <row r="232" ht="15" customHeight="1">
      <c r="A232" t="inlineStr">
        <is>
          <t>A 11790-2024</t>
        </is>
      </c>
      <c r="B232" s="1" t="n">
        <v>45374</v>
      </c>
      <c r="C232" s="1" t="n">
        <v>46053</v>
      </c>
      <c r="D232" t="inlineStr">
        <is>
          <t>ÖSTERGÖTLANDS LÄN</t>
        </is>
      </c>
      <c r="E232" t="inlineStr">
        <is>
          <t>LINKÖPING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48962-2022</t>
        </is>
      </c>
      <c r="B233" s="1" t="n">
        <v>44860.31635416667</v>
      </c>
      <c r="C233" s="1" t="n">
        <v>46053</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53647-2021</t>
        </is>
      </c>
      <c r="B234" s="1" t="n">
        <v>44469</v>
      </c>
      <c r="C234" s="1" t="n">
        <v>46053</v>
      </c>
      <c r="D234" t="inlineStr">
        <is>
          <t>ÖSTERGÖTLANDS LÄN</t>
        </is>
      </c>
      <c r="E234" t="inlineStr">
        <is>
          <t>LINKÖPING</t>
        </is>
      </c>
      <c r="G234" t="n">
        <v>2.3</v>
      </c>
      <c r="H234" t="n">
        <v>0</v>
      </c>
      <c r="I234" t="n">
        <v>0</v>
      </c>
      <c r="J234" t="n">
        <v>0</v>
      </c>
      <c r="K234" t="n">
        <v>0</v>
      </c>
      <c r="L234" t="n">
        <v>0</v>
      </c>
      <c r="M234" t="n">
        <v>0</v>
      </c>
      <c r="N234" t="n">
        <v>0</v>
      </c>
      <c r="O234" t="n">
        <v>0</v>
      </c>
      <c r="P234" t="n">
        <v>0</v>
      </c>
      <c r="Q234" t="n">
        <v>0</v>
      </c>
      <c r="R234" s="2" t="inlineStr"/>
    </row>
    <row r="235" ht="15" customHeight="1">
      <c r="A235" t="inlineStr">
        <is>
          <t>A 22772-2024</t>
        </is>
      </c>
      <c r="B235" s="1" t="n">
        <v>45448.46712962963</v>
      </c>
      <c r="C235" s="1" t="n">
        <v>46053</v>
      </c>
      <c r="D235" t="inlineStr">
        <is>
          <t>ÖSTERGÖTLANDS LÄN</t>
        </is>
      </c>
      <c r="E235" t="inlineStr">
        <is>
          <t>LINKÖPING</t>
        </is>
      </c>
      <c r="F235" t="inlineStr">
        <is>
          <t>Sveaskog</t>
        </is>
      </c>
      <c r="G235" t="n">
        <v>3</v>
      </c>
      <c r="H235" t="n">
        <v>0</v>
      </c>
      <c r="I235" t="n">
        <v>0</v>
      </c>
      <c r="J235" t="n">
        <v>0</v>
      </c>
      <c r="K235" t="n">
        <v>0</v>
      </c>
      <c r="L235" t="n">
        <v>0</v>
      </c>
      <c r="M235" t="n">
        <v>0</v>
      </c>
      <c r="N235" t="n">
        <v>0</v>
      </c>
      <c r="O235" t="n">
        <v>0</v>
      </c>
      <c r="P235" t="n">
        <v>0</v>
      </c>
      <c r="Q235" t="n">
        <v>0</v>
      </c>
      <c r="R235" s="2" t="inlineStr"/>
    </row>
    <row r="236" ht="15" customHeight="1">
      <c r="A236" t="inlineStr">
        <is>
          <t>A 21155-2025</t>
        </is>
      </c>
      <c r="B236" s="1" t="n">
        <v>45779.37586805555</v>
      </c>
      <c r="C236" s="1" t="n">
        <v>46053</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18916-2024</t>
        </is>
      </c>
      <c r="B237" s="1" t="n">
        <v>45427.39541666667</v>
      </c>
      <c r="C237" s="1" t="n">
        <v>46053</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21165-2025</t>
        </is>
      </c>
      <c r="B238" s="1" t="n">
        <v>45779.39417824074</v>
      </c>
      <c r="C238" s="1" t="n">
        <v>46053</v>
      </c>
      <c r="D238" t="inlineStr">
        <is>
          <t>ÖSTERGÖTLANDS LÄN</t>
        </is>
      </c>
      <c r="E238" t="inlineStr">
        <is>
          <t>LINKÖPING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24586-2024</t>
        </is>
      </c>
      <c r="B239" s="1" t="n">
        <v>45460.46664351852</v>
      </c>
      <c r="C239" s="1" t="n">
        <v>46053</v>
      </c>
      <c r="D239" t="inlineStr">
        <is>
          <t>ÖSTERGÖTLANDS LÄN</t>
        </is>
      </c>
      <c r="E239" t="inlineStr">
        <is>
          <t>LINKÖPING</t>
        </is>
      </c>
      <c r="G239" t="n">
        <v>4</v>
      </c>
      <c r="H239" t="n">
        <v>0</v>
      </c>
      <c r="I239" t="n">
        <v>0</v>
      </c>
      <c r="J239" t="n">
        <v>0</v>
      </c>
      <c r="K239" t="n">
        <v>0</v>
      </c>
      <c r="L239" t="n">
        <v>0</v>
      </c>
      <c r="M239" t="n">
        <v>0</v>
      </c>
      <c r="N239" t="n">
        <v>0</v>
      </c>
      <c r="O239" t="n">
        <v>0</v>
      </c>
      <c r="P239" t="n">
        <v>0</v>
      </c>
      <c r="Q239" t="n">
        <v>0</v>
      </c>
      <c r="R239" s="2" t="inlineStr"/>
    </row>
    <row r="240" ht="15" customHeight="1">
      <c r="A240" t="inlineStr">
        <is>
          <t>A 39074-2025</t>
        </is>
      </c>
      <c r="B240" s="1" t="n">
        <v>45888</v>
      </c>
      <c r="C240" s="1" t="n">
        <v>46053</v>
      </c>
      <c r="D240" t="inlineStr">
        <is>
          <t>ÖSTERGÖTLANDS LÄN</t>
        </is>
      </c>
      <c r="E240" t="inlineStr">
        <is>
          <t>LINKÖPING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17124-2025</t>
        </is>
      </c>
      <c r="B241" s="1" t="n">
        <v>45755.69678240741</v>
      </c>
      <c r="C241" s="1" t="n">
        <v>46053</v>
      </c>
      <c r="D241" t="inlineStr">
        <is>
          <t>ÖSTERGÖTLANDS LÄN</t>
        </is>
      </c>
      <c r="E241" t="inlineStr">
        <is>
          <t>LINKÖPING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17126-2025</t>
        </is>
      </c>
      <c r="B242" s="1" t="n">
        <v>45755.70814814815</v>
      </c>
      <c r="C242" s="1" t="n">
        <v>46053</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17143-2025</t>
        </is>
      </c>
      <c r="B243" s="1" t="n">
        <v>45755.92731481481</v>
      </c>
      <c r="C243" s="1" t="n">
        <v>46053</v>
      </c>
      <c r="D243" t="inlineStr">
        <is>
          <t>ÖSTERGÖTLANDS LÄN</t>
        </is>
      </c>
      <c r="E243" t="inlineStr">
        <is>
          <t>LINKÖPING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39017-2021</t>
        </is>
      </c>
      <c r="B244" s="1" t="n">
        <v>44412</v>
      </c>
      <c r="C244" s="1" t="n">
        <v>46053</v>
      </c>
      <c r="D244" t="inlineStr">
        <is>
          <t>ÖSTERGÖTLANDS LÄN</t>
        </is>
      </c>
      <c r="E244" t="inlineStr">
        <is>
          <t>LINKÖPING</t>
        </is>
      </c>
      <c r="F244" t="inlineStr">
        <is>
          <t>Övriga statliga verk och myndigheter</t>
        </is>
      </c>
      <c r="G244" t="n">
        <v>0.8</v>
      </c>
      <c r="H244" t="n">
        <v>0</v>
      </c>
      <c r="I244" t="n">
        <v>0</v>
      </c>
      <c r="J244" t="n">
        <v>0</v>
      </c>
      <c r="K244" t="n">
        <v>0</v>
      </c>
      <c r="L244" t="n">
        <v>0</v>
      </c>
      <c r="M244" t="n">
        <v>0</v>
      </c>
      <c r="N244" t="n">
        <v>0</v>
      </c>
      <c r="O244" t="n">
        <v>0</v>
      </c>
      <c r="P244" t="n">
        <v>0</v>
      </c>
      <c r="Q244" t="n">
        <v>0</v>
      </c>
      <c r="R244" s="2" t="inlineStr"/>
    </row>
    <row r="245" ht="15" customHeight="1">
      <c r="A245" t="inlineStr">
        <is>
          <t>A 38971-2025</t>
        </is>
      </c>
      <c r="B245" s="1" t="n">
        <v>45887.71827546296</v>
      </c>
      <c r="C245" s="1" t="n">
        <v>46053</v>
      </c>
      <c r="D245" t="inlineStr">
        <is>
          <t>ÖSTERGÖTLANDS LÄN</t>
        </is>
      </c>
      <c r="E245" t="inlineStr">
        <is>
          <t>LINKÖPING</t>
        </is>
      </c>
      <c r="G245" t="n">
        <v>3.9</v>
      </c>
      <c r="H245" t="n">
        <v>0</v>
      </c>
      <c r="I245" t="n">
        <v>0</v>
      </c>
      <c r="J245" t="n">
        <v>0</v>
      </c>
      <c r="K245" t="n">
        <v>0</v>
      </c>
      <c r="L245" t="n">
        <v>0</v>
      </c>
      <c r="M245" t="n">
        <v>0</v>
      </c>
      <c r="N245" t="n">
        <v>0</v>
      </c>
      <c r="O245" t="n">
        <v>0</v>
      </c>
      <c r="P245" t="n">
        <v>0</v>
      </c>
      <c r="Q245" t="n">
        <v>0</v>
      </c>
      <c r="R245" s="2" t="inlineStr"/>
    </row>
    <row r="246" ht="15" customHeight="1">
      <c r="A246" t="inlineStr">
        <is>
          <t>A 72567-2021</t>
        </is>
      </c>
      <c r="B246" s="1" t="n">
        <v>44546.45023148148</v>
      </c>
      <c r="C246" s="1" t="n">
        <v>46053</v>
      </c>
      <c r="D246" t="inlineStr">
        <is>
          <t>ÖSTERGÖTLANDS LÄN</t>
        </is>
      </c>
      <c r="E246" t="inlineStr">
        <is>
          <t>LINKÖPING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16820-2024</t>
        </is>
      </c>
      <c r="B247" s="1" t="n">
        <v>45411.46809027778</v>
      </c>
      <c r="C247" s="1" t="n">
        <v>46053</v>
      </c>
      <c r="D247" t="inlineStr">
        <is>
          <t>ÖSTERGÖTLANDS LÄN</t>
        </is>
      </c>
      <c r="E247" t="inlineStr">
        <is>
          <t>LINKÖPING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27264-2025</t>
        </is>
      </c>
      <c r="B248" s="1" t="n">
        <v>45812.4794212963</v>
      </c>
      <c r="C248" s="1" t="n">
        <v>46053</v>
      </c>
      <c r="D248" t="inlineStr">
        <is>
          <t>ÖSTERGÖTLANDS LÄN</t>
        </is>
      </c>
      <c r="E248" t="inlineStr">
        <is>
          <t>LINKÖPING</t>
        </is>
      </c>
      <c r="G248" t="n">
        <v>2.6</v>
      </c>
      <c r="H248" t="n">
        <v>0</v>
      </c>
      <c r="I248" t="n">
        <v>0</v>
      </c>
      <c r="J248" t="n">
        <v>0</v>
      </c>
      <c r="K248" t="n">
        <v>0</v>
      </c>
      <c r="L248" t="n">
        <v>0</v>
      </c>
      <c r="M248" t="n">
        <v>0</v>
      </c>
      <c r="N248" t="n">
        <v>0</v>
      </c>
      <c r="O248" t="n">
        <v>0</v>
      </c>
      <c r="P248" t="n">
        <v>0</v>
      </c>
      <c r="Q248" t="n">
        <v>0</v>
      </c>
      <c r="R248" s="2" t="inlineStr"/>
    </row>
    <row r="249" ht="15" customHeight="1">
      <c r="A249" t="inlineStr">
        <is>
          <t>A 57752-2023</t>
        </is>
      </c>
      <c r="B249" s="1" t="n">
        <v>45246.78474537037</v>
      </c>
      <c r="C249" s="1" t="n">
        <v>46053</v>
      </c>
      <c r="D249" t="inlineStr">
        <is>
          <t>ÖSTERGÖTLANDS LÄN</t>
        </is>
      </c>
      <c r="E249" t="inlineStr">
        <is>
          <t>LINKÖPING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30980-2022</t>
        </is>
      </c>
      <c r="B250" s="1" t="n">
        <v>44768</v>
      </c>
      <c r="C250" s="1" t="n">
        <v>46053</v>
      </c>
      <c r="D250" t="inlineStr">
        <is>
          <t>ÖSTERGÖTLANDS LÄN</t>
        </is>
      </c>
      <c r="E250" t="inlineStr">
        <is>
          <t>LINKÖPING</t>
        </is>
      </c>
      <c r="G250" t="n">
        <v>0.9</v>
      </c>
      <c r="H250" t="n">
        <v>0</v>
      </c>
      <c r="I250" t="n">
        <v>0</v>
      </c>
      <c r="J250" t="n">
        <v>0</v>
      </c>
      <c r="K250" t="n">
        <v>0</v>
      </c>
      <c r="L250" t="n">
        <v>0</v>
      </c>
      <c r="M250" t="n">
        <v>0</v>
      </c>
      <c r="N250" t="n">
        <v>0</v>
      </c>
      <c r="O250" t="n">
        <v>0</v>
      </c>
      <c r="P250" t="n">
        <v>0</v>
      </c>
      <c r="Q250" t="n">
        <v>0</v>
      </c>
      <c r="R250" s="2" t="inlineStr"/>
    </row>
    <row r="251" ht="15" customHeight="1">
      <c r="A251" t="inlineStr">
        <is>
          <t>A 39438-2025</t>
        </is>
      </c>
      <c r="B251" s="1" t="n">
        <v>45889.68641203704</v>
      </c>
      <c r="C251" s="1" t="n">
        <v>46053</v>
      </c>
      <c r="D251" t="inlineStr">
        <is>
          <t>ÖSTERGÖTLANDS LÄN</t>
        </is>
      </c>
      <c r="E251" t="inlineStr">
        <is>
          <t>LINKÖPING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9473-2024</t>
        </is>
      </c>
      <c r="B252" s="1" t="n">
        <v>45359.55474537037</v>
      </c>
      <c r="C252" s="1" t="n">
        <v>46053</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24351-2024</t>
        </is>
      </c>
      <c r="B253" s="1" t="n">
        <v>45457.59011574074</v>
      </c>
      <c r="C253" s="1" t="n">
        <v>46053</v>
      </c>
      <c r="D253" t="inlineStr">
        <is>
          <t>ÖSTERGÖTLANDS LÄN</t>
        </is>
      </c>
      <c r="E253" t="inlineStr">
        <is>
          <t>LINKÖPING</t>
        </is>
      </c>
      <c r="G253" t="n">
        <v>11.9</v>
      </c>
      <c r="H253" t="n">
        <v>0</v>
      </c>
      <c r="I253" t="n">
        <v>0</v>
      </c>
      <c r="J253" t="n">
        <v>0</v>
      </c>
      <c r="K253" t="n">
        <v>0</v>
      </c>
      <c r="L253" t="n">
        <v>0</v>
      </c>
      <c r="M253" t="n">
        <v>0</v>
      </c>
      <c r="N253" t="n">
        <v>0</v>
      </c>
      <c r="O253" t="n">
        <v>0</v>
      </c>
      <c r="P253" t="n">
        <v>0</v>
      </c>
      <c r="Q253" t="n">
        <v>0</v>
      </c>
      <c r="R253" s="2" t="inlineStr"/>
    </row>
    <row r="254" ht="15" customHeight="1">
      <c r="A254" t="inlineStr">
        <is>
          <t>A 10797-2024</t>
        </is>
      </c>
      <c r="B254" s="1" t="n">
        <v>45369.6190162037</v>
      </c>
      <c r="C254" s="1" t="n">
        <v>46053</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62501-2023</t>
        </is>
      </c>
      <c r="B255" s="1" t="n">
        <v>45268</v>
      </c>
      <c r="C255" s="1" t="n">
        <v>46053</v>
      </c>
      <c r="D255" t="inlineStr">
        <is>
          <t>ÖSTERGÖTLANDS LÄN</t>
        </is>
      </c>
      <c r="E255" t="inlineStr">
        <is>
          <t>LINKÖPING</t>
        </is>
      </c>
      <c r="G255" t="n">
        <v>7.4</v>
      </c>
      <c r="H255" t="n">
        <v>0</v>
      </c>
      <c r="I255" t="n">
        <v>0</v>
      </c>
      <c r="J255" t="n">
        <v>0</v>
      </c>
      <c r="K255" t="n">
        <v>0</v>
      </c>
      <c r="L255" t="n">
        <v>0</v>
      </c>
      <c r="M255" t="n">
        <v>0</v>
      </c>
      <c r="N255" t="n">
        <v>0</v>
      </c>
      <c r="O255" t="n">
        <v>0</v>
      </c>
      <c r="P255" t="n">
        <v>0</v>
      </c>
      <c r="Q255" t="n">
        <v>0</v>
      </c>
      <c r="R255" s="2" t="inlineStr"/>
    </row>
    <row r="256" ht="15" customHeight="1">
      <c r="A256" t="inlineStr">
        <is>
          <t>A 58947-2022</t>
        </is>
      </c>
      <c r="B256" s="1" t="n">
        <v>44903.64769675926</v>
      </c>
      <c r="C256" s="1" t="n">
        <v>46053</v>
      </c>
      <c r="D256" t="inlineStr">
        <is>
          <t>ÖSTERGÖTLANDS LÄN</t>
        </is>
      </c>
      <c r="E256" t="inlineStr">
        <is>
          <t>LINKÖPING</t>
        </is>
      </c>
      <c r="G256" t="n">
        <v>4</v>
      </c>
      <c r="H256" t="n">
        <v>0</v>
      </c>
      <c r="I256" t="n">
        <v>0</v>
      </c>
      <c r="J256" t="n">
        <v>0</v>
      </c>
      <c r="K256" t="n">
        <v>0</v>
      </c>
      <c r="L256" t="n">
        <v>0</v>
      </c>
      <c r="M256" t="n">
        <v>0</v>
      </c>
      <c r="N256" t="n">
        <v>0</v>
      </c>
      <c r="O256" t="n">
        <v>0</v>
      </c>
      <c r="P256" t="n">
        <v>0</v>
      </c>
      <c r="Q256" t="n">
        <v>0</v>
      </c>
      <c r="R256" s="2" t="inlineStr"/>
    </row>
    <row r="257" ht="15" customHeight="1">
      <c r="A257" t="inlineStr">
        <is>
          <t>A 22264-2025</t>
        </is>
      </c>
      <c r="B257" s="1" t="n">
        <v>45785</v>
      </c>
      <c r="C257" s="1" t="n">
        <v>46053</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49979-2022</t>
        </is>
      </c>
      <c r="B258" s="1" t="n">
        <v>44865</v>
      </c>
      <c r="C258" s="1" t="n">
        <v>46053</v>
      </c>
      <c r="D258" t="inlineStr">
        <is>
          <t>ÖSTERGÖTLANDS LÄN</t>
        </is>
      </c>
      <c r="E258" t="inlineStr">
        <is>
          <t>LINKÖPING</t>
        </is>
      </c>
      <c r="F258" t="inlineStr">
        <is>
          <t>Övriga Aktiebolag</t>
        </is>
      </c>
      <c r="G258" t="n">
        <v>11.4</v>
      </c>
      <c r="H258" t="n">
        <v>0</v>
      </c>
      <c r="I258" t="n">
        <v>0</v>
      </c>
      <c r="J258" t="n">
        <v>0</v>
      </c>
      <c r="K258" t="n">
        <v>0</v>
      </c>
      <c r="L258" t="n">
        <v>0</v>
      </c>
      <c r="M258" t="n">
        <v>0</v>
      </c>
      <c r="N258" t="n">
        <v>0</v>
      </c>
      <c r="O258" t="n">
        <v>0</v>
      </c>
      <c r="P258" t="n">
        <v>0</v>
      </c>
      <c r="Q258" t="n">
        <v>0</v>
      </c>
      <c r="R258" s="2" t="inlineStr"/>
    </row>
    <row r="259" ht="15" customHeight="1">
      <c r="A259" t="inlineStr">
        <is>
          <t>A 53827-2023</t>
        </is>
      </c>
      <c r="B259" s="1" t="n">
        <v>45230</v>
      </c>
      <c r="C259" s="1" t="n">
        <v>46053</v>
      </c>
      <c r="D259" t="inlineStr">
        <is>
          <t>ÖSTERGÖTLANDS LÄN</t>
        </is>
      </c>
      <c r="E259" t="inlineStr">
        <is>
          <t>LINKÖPING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40169-2025</t>
        </is>
      </c>
      <c r="B260" s="1" t="n">
        <v>45894.62824074074</v>
      </c>
      <c r="C260" s="1" t="n">
        <v>46053</v>
      </c>
      <c r="D260" t="inlineStr">
        <is>
          <t>ÖSTERGÖTLANDS LÄN</t>
        </is>
      </c>
      <c r="E260" t="inlineStr">
        <is>
          <t>LINKÖPING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6859-2024</t>
        </is>
      </c>
      <c r="B261" s="1" t="n">
        <v>45342</v>
      </c>
      <c r="C261" s="1" t="n">
        <v>46053</v>
      </c>
      <c r="D261" t="inlineStr">
        <is>
          <t>ÖSTERGÖTLANDS LÄN</t>
        </is>
      </c>
      <c r="E261" t="inlineStr">
        <is>
          <t>LINKÖPING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940-2023</t>
        </is>
      </c>
      <c r="B262" s="1" t="n">
        <v>44933</v>
      </c>
      <c r="C262" s="1" t="n">
        <v>46053</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38580-2024</t>
        </is>
      </c>
      <c r="B263" s="1" t="n">
        <v>45546.64825231482</v>
      </c>
      <c r="C263" s="1" t="n">
        <v>46053</v>
      </c>
      <c r="D263" t="inlineStr">
        <is>
          <t>ÖSTERGÖTLANDS LÄN</t>
        </is>
      </c>
      <c r="E263" t="inlineStr">
        <is>
          <t>LINKÖPING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572-2025</t>
        </is>
      </c>
      <c r="B264" s="1" t="n">
        <v>45664.56349537037</v>
      </c>
      <c r="C264" s="1" t="n">
        <v>46053</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22364-2025</t>
        </is>
      </c>
      <c r="B265" s="1" t="n">
        <v>45786.46930555555</v>
      </c>
      <c r="C265" s="1" t="n">
        <v>46053</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7992-2023</t>
        </is>
      </c>
      <c r="B266" s="1" t="n">
        <v>44970</v>
      </c>
      <c r="C266" s="1" t="n">
        <v>46053</v>
      </c>
      <c r="D266" t="inlineStr">
        <is>
          <t>ÖSTERGÖTLANDS LÄN</t>
        </is>
      </c>
      <c r="E266" t="inlineStr">
        <is>
          <t>LINKÖPING</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44287-2024</t>
        </is>
      </c>
      <c r="B267" s="1" t="n">
        <v>45573.50582175926</v>
      </c>
      <c r="C267" s="1" t="n">
        <v>46053</v>
      </c>
      <c r="D267" t="inlineStr">
        <is>
          <t>ÖSTERGÖTLANDS LÄN</t>
        </is>
      </c>
      <c r="E267" t="inlineStr">
        <is>
          <t>LINKÖPING</t>
        </is>
      </c>
      <c r="G267" t="n">
        <v>12.7</v>
      </c>
      <c r="H267" t="n">
        <v>0</v>
      </c>
      <c r="I267" t="n">
        <v>0</v>
      </c>
      <c r="J267" t="n">
        <v>0</v>
      </c>
      <c r="K267" t="n">
        <v>0</v>
      </c>
      <c r="L267" t="n">
        <v>0</v>
      </c>
      <c r="M267" t="n">
        <v>0</v>
      </c>
      <c r="N267" t="n">
        <v>0</v>
      </c>
      <c r="O267" t="n">
        <v>0</v>
      </c>
      <c r="P267" t="n">
        <v>0</v>
      </c>
      <c r="Q267" t="n">
        <v>0</v>
      </c>
      <c r="R267" s="2" t="inlineStr"/>
    </row>
    <row r="268" ht="15" customHeight="1">
      <c r="A268" t="inlineStr">
        <is>
          <t>A 45819-2024</t>
        </is>
      </c>
      <c r="B268" s="1" t="n">
        <v>45579.7454050926</v>
      </c>
      <c r="C268" s="1" t="n">
        <v>46053</v>
      </c>
      <c r="D268" t="inlineStr">
        <is>
          <t>ÖSTERGÖTLANDS LÄN</t>
        </is>
      </c>
      <c r="E268" t="inlineStr">
        <is>
          <t>LINKÖPING</t>
        </is>
      </c>
      <c r="G268" t="n">
        <v>5</v>
      </c>
      <c r="H268" t="n">
        <v>0</v>
      </c>
      <c r="I268" t="n">
        <v>0</v>
      </c>
      <c r="J268" t="n">
        <v>0</v>
      </c>
      <c r="K268" t="n">
        <v>0</v>
      </c>
      <c r="L268" t="n">
        <v>0</v>
      </c>
      <c r="M268" t="n">
        <v>0</v>
      </c>
      <c r="N268" t="n">
        <v>0</v>
      </c>
      <c r="O268" t="n">
        <v>0</v>
      </c>
      <c r="P268" t="n">
        <v>0</v>
      </c>
      <c r="Q268" t="n">
        <v>0</v>
      </c>
      <c r="R268" s="2" t="inlineStr"/>
    </row>
    <row r="269" ht="15" customHeight="1">
      <c r="A269" t="inlineStr">
        <is>
          <t>A 3041-2024</t>
        </is>
      </c>
      <c r="B269" s="1" t="n">
        <v>45316.34875</v>
      </c>
      <c r="C269" s="1" t="n">
        <v>46053</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29312-2024</t>
        </is>
      </c>
      <c r="B270" s="1" t="n">
        <v>45483</v>
      </c>
      <c r="C270" s="1" t="n">
        <v>46053</v>
      </c>
      <c r="D270" t="inlineStr">
        <is>
          <t>ÖSTERGÖTLANDS LÄN</t>
        </is>
      </c>
      <c r="E270" t="inlineStr">
        <is>
          <t>LINKÖPING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3530-2024</t>
        </is>
      </c>
      <c r="B271" s="1" t="n">
        <v>45320.54717592592</v>
      </c>
      <c r="C271" s="1" t="n">
        <v>46053</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49605-2025</t>
        </is>
      </c>
      <c r="B272" s="1" t="n">
        <v>45938</v>
      </c>
      <c r="C272" s="1" t="n">
        <v>46053</v>
      </c>
      <c r="D272" t="inlineStr">
        <is>
          <t>ÖSTERGÖTLANDS LÄN</t>
        </is>
      </c>
      <c r="E272" t="inlineStr">
        <is>
          <t>LINKÖPING</t>
        </is>
      </c>
      <c r="F272" t="inlineStr">
        <is>
          <t>Övriga Aktiebolag</t>
        </is>
      </c>
      <c r="G272" t="n">
        <v>3.3</v>
      </c>
      <c r="H272" t="n">
        <v>0</v>
      </c>
      <c r="I272" t="n">
        <v>0</v>
      </c>
      <c r="J272" t="n">
        <v>0</v>
      </c>
      <c r="K272" t="n">
        <v>0</v>
      </c>
      <c r="L272" t="n">
        <v>0</v>
      </c>
      <c r="M272" t="n">
        <v>0</v>
      </c>
      <c r="N272" t="n">
        <v>0</v>
      </c>
      <c r="O272" t="n">
        <v>0</v>
      </c>
      <c r="P272" t="n">
        <v>0</v>
      </c>
      <c r="Q272" t="n">
        <v>0</v>
      </c>
      <c r="R272" s="2" t="inlineStr"/>
    </row>
    <row r="273" ht="15" customHeight="1">
      <c r="A273" t="inlineStr">
        <is>
          <t>A 49647-2025</t>
        </is>
      </c>
      <c r="B273" s="1" t="n">
        <v>45938</v>
      </c>
      <c r="C273" s="1" t="n">
        <v>46053</v>
      </c>
      <c r="D273" t="inlineStr">
        <is>
          <t>ÖSTERGÖTLANDS LÄN</t>
        </is>
      </c>
      <c r="E273" t="inlineStr">
        <is>
          <t>LINKÖPING</t>
        </is>
      </c>
      <c r="F273" t="inlineStr">
        <is>
          <t>Övriga Aktiebolag</t>
        </is>
      </c>
      <c r="G273" t="n">
        <v>0.6</v>
      </c>
      <c r="H273" t="n">
        <v>0</v>
      </c>
      <c r="I273" t="n">
        <v>0</v>
      </c>
      <c r="J273" t="n">
        <v>0</v>
      </c>
      <c r="K273" t="n">
        <v>0</v>
      </c>
      <c r="L273" t="n">
        <v>0</v>
      </c>
      <c r="M273" t="n">
        <v>0</v>
      </c>
      <c r="N273" t="n">
        <v>0</v>
      </c>
      <c r="O273" t="n">
        <v>0</v>
      </c>
      <c r="P273" t="n">
        <v>0</v>
      </c>
      <c r="Q273" t="n">
        <v>0</v>
      </c>
      <c r="R273" s="2" t="inlineStr"/>
    </row>
    <row r="274" ht="15" customHeight="1">
      <c r="A274" t="inlineStr">
        <is>
          <t>A 62686-2023</t>
        </is>
      </c>
      <c r="B274" s="1" t="n">
        <v>45271</v>
      </c>
      <c r="C274" s="1" t="n">
        <v>46053</v>
      </c>
      <c r="D274" t="inlineStr">
        <is>
          <t>ÖSTERGÖTLANDS LÄN</t>
        </is>
      </c>
      <c r="E274" t="inlineStr">
        <is>
          <t>LINKÖPING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23120-2025</t>
        </is>
      </c>
      <c r="B275" s="1" t="n">
        <v>45791.37481481482</v>
      </c>
      <c r="C275" s="1" t="n">
        <v>46053</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49633-2025</t>
        </is>
      </c>
      <c r="B276" s="1" t="n">
        <v>45938</v>
      </c>
      <c r="C276" s="1" t="n">
        <v>46053</v>
      </c>
      <c r="D276" t="inlineStr">
        <is>
          <t>ÖSTERGÖTLANDS LÄN</t>
        </is>
      </c>
      <c r="E276" t="inlineStr">
        <is>
          <t>LINKÖPING</t>
        </is>
      </c>
      <c r="F276" t="inlineStr">
        <is>
          <t>Övriga Aktiebolag</t>
        </is>
      </c>
      <c r="G276" t="n">
        <v>0.7</v>
      </c>
      <c r="H276" t="n">
        <v>0</v>
      </c>
      <c r="I276" t="n">
        <v>0</v>
      </c>
      <c r="J276" t="n">
        <v>0</v>
      </c>
      <c r="K276" t="n">
        <v>0</v>
      </c>
      <c r="L276" t="n">
        <v>0</v>
      </c>
      <c r="M276" t="n">
        <v>0</v>
      </c>
      <c r="N276" t="n">
        <v>0</v>
      </c>
      <c r="O276" t="n">
        <v>0</v>
      </c>
      <c r="P276" t="n">
        <v>0</v>
      </c>
      <c r="Q276" t="n">
        <v>0</v>
      </c>
      <c r="R276" s="2" t="inlineStr"/>
    </row>
    <row r="277" ht="15" customHeight="1">
      <c r="A277" t="inlineStr">
        <is>
          <t>A 49663-2025</t>
        </is>
      </c>
      <c r="B277" s="1" t="n">
        <v>45938</v>
      </c>
      <c r="C277" s="1" t="n">
        <v>46053</v>
      </c>
      <c r="D277" t="inlineStr">
        <is>
          <t>ÖSTERGÖTLANDS LÄN</t>
        </is>
      </c>
      <c r="E277" t="inlineStr">
        <is>
          <t>LINKÖPING</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55345-2021</t>
        </is>
      </c>
      <c r="B278" s="1" t="n">
        <v>44475</v>
      </c>
      <c r="C278" s="1" t="n">
        <v>46053</v>
      </c>
      <c r="D278" t="inlineStr">
        <is>
          <t>ÖSTERGÖTLANDS LÄN</t>
        </is>
      </c>
      <c r="E278" t="inlineStr">
        <is>
          <t>LINKÖPING</t>
        </is>
      </c>
      <c r="G278" t="n">
        <v>5.7</v>
      </c>
      <c r="H278" t="n">
        <v>0</v>
      </c>
      <c r="I278" t="n">
        <v>0</v>
      </c>
      <c r="J278" t="n">
        <v>0</v>
      </c>
      <c r="K278" t="n">
        <v>0</v>
      </c>
      <c r="L278" t="n">
        <v>0</v>
      </c>
      <c r="M278" t="n">
        <v>0</v>
      </c>
      <c r="N278" t="n">
        <v>0</v>
      </c>
      <c r="O278" t="n">
        <v>0</v>
      </c>
      <c r="P278" t="n">
        <v>0</v>
      </c>
      <c r="Q278" t="n">
        <v>0</v>
      </c>
      <c r="R278" s="2" t="inlineStr"/>
    </row>
    <row r="279" ht="15" customHeight="1">
      <c r="A279" t="inlineStr">
        <is>
          <t>A 63489-2023</t>
        </is>
      </c>
      <c r="B279" s="1" t="n">
        <v>45274.66761574074</v>
      </c>
      <c r="C279" s="1" t="n">
        <v>46053</v>
      </c>
      <c r="D279" t="inlineStr">
        <is>
          <t>ÖSTERGÖTLANDS LÄN</t>
        </is>
      </c>
      <c r="E279" t="inlineStr">
        <is>
          <t>LINKÖPING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70-2024</t>
        </is>
      </c>
      <c r="B280" s="1" t="n">
        <v>45293</v>
      </c>
      <c r="C280" s="1" t="n">
        <v>46053</v>
      </c>
      <c r="D280" t="inlineStr">
        <is>
          <t>ÖSTERGÖTLANDS LÄN</t>
        </is>
      </c>
      <c r="E280" t="inlineStr">
        <is>
          <t>LINKÖPING</t>
        </is>
      </c>
      <c r="G280" t="n">
        <v>1.3</v>
      </c>
      <c r="H280" t="n">
        <v>0</v>
      </c>
      <c r="I280" t="n">
        <v>0</v>
      </c>
      <c r="J280" t="n">
        <v>0</v>
      </c>
      <c r="K280" t="n">
        <v>0</v>
      </c>
      <c r="L280" t="n">
        <v>0</v>
      </c>
      <c r="M280" t="n">
        <v>0</v>
      </c>
      <c r="N280" t="n">
        <v>0</v>
      </c>
      <c r="O280" t="n">
        <v>0</v>
      </c>
      <c r="P280" t="n">
        <v>0</v>
      </c>
      <c r="Q280" t="n">
        <v>0</v>
      </c>
      <c r="R280" s="2" t="inlineStr"/>
    </row>
    <row r="281" ht="15" customHeight="1">
      <c r="A281" t="inlineStr">
        <is>
          <t>A 49455-2025</t>
        </is>
      </c>
      <c r="B281" s="1" t="n">
        <v>45938</v>
      </c>
      <c r="C281" s="1" t="n">
        <v>46053</v>
      </c>
      <c r="D281" t="inlineStr">
        <is>
          <t>ÖSTERGÖTLANDS LÄN</t>
        </is>
      </c>
      <c r="E281" t="inlineStr">
        <is>
          <t>LINKÖPING</t>
        </is>
      </c>
      <c r="F281" t="inlineStr">
        <is>
          <t>Övriga Aktiebolag</t>
        </is>
      </c>
      <c r="G281" t="n">
        <v>5.9</v>
      </c>
      <c r="H281" t="n">
        <v>0</v>
      </c>
      <c r="I281" t="n">
        <v>0</v>
      </c>
      <c r="J281" t="n">
        <v>0</v>
      </c>
      <c r="K281" t="n">
        <v>0</v>
      </c>
      <c r="L281" t="n">
        <v>0</v>
      </c>
      <c r="M281" t="n">
        <v>0</v>
      </c>
      <c r="N281" t="n">
        <v>0</v>
      </c>
      <c r="O281" t="n">
        <v>0</v>
      </c>
      <c r="P281" t="n">
        <v>0</v>
      </c>
      <c r="Q281" t="n">
        <v>0</v>
      </c>
      <c r="R281" s="2" t="inlineStr"/>
    </row>
    <row r="282" ht="15" customHeight="1">
      <c r="A282" t="inlineStr">
        <is>
          <t>A 41706-2025</t>
        </is>
      </c>
      <c r="B282" s="1" t="n">
        <v>45902.42209490741</v>
      </c>
      <c r="C282" s="1" t="n">
        <v>46053</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48699-2024</t>
        </is>
      </c>
      <c r="B283" s="1" t="n">
        <v>45593.52091435185</v>
      </c>
      <c r="C283" s="1" t="n">
        <v>46053</v>
      </c>
      <c r="D283" t="inlineStr">
        <is>
          <t>ÖSTERGÖTLANDS LÄN</t>
        </is>
      </c>
      <c r="E283" t="inlineStr">
        <is>
          <t>LINKÖPING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6782-2024</t>
        </is>
      </c>
      <c r="B284" s="1" t="n">
        <v>45342</v>
      </c>
      <c r="C284" s="1" t="n">
        <v>46053</v>
      </c>
      <c r="D284" t="inlineStr">
        <is>
          <t>ÖSTERGÖTLANDS LÄN</t>
        </is>
      </c>
      <c r="E284" t="inlineStr">
        <is>
          <t>LINKÖPING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617-2024</t>
        </is>
      </c>
      <c r="B285" s="1" t="n">
        <v>45299.66028935185</v>
      </c>
      <c r="C285" s="1" t="n">
        <v>46053</v>
      </c>
      <c r="D285" t="inlineStr">
        <is>
          <t>ÖSTERGÖTLANDS LÄN</t>
        </is>
      </c>
      <c r="E285" t="inlineStr">
        <is>
          <t>LINKÖPING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670-2024</t>
        </is>
      </c>
      <c r="B286" s="1" t="n">
        <v>45300.3408912037</v>
      </c>
      <c r="C286" s="1" t="n">
        <v>46053</v>
      </c>
      <c r="D286" t="inlineStr">
        <is>
          <t>ÖSTERGÖTLANDS LÄN</t>
        </is>
      </c>
      <c r="E286" t="inlineStr">
        <is>
          <t>LINKÖPING</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52125-2022</t>
        </is>
      </c>
      <c r="B287" s="1" t="n">
        <v>44873</v>
      </c>
      <c r="C287" s="1" t="n">
        <v>46053</v>
      </c>
      <c r="D287" t="inlineStr">
        <is>
          <t>ÖSTERGÖTLANDS LÄN</t>
        </is>
      </c>
      <c r="E287" t="inlineStr">
        <is>
          <t>LINKÖPING</t>
        </is>
      </c>
      <c r="F287" t="inlineStr">
        <is>
          <t>Övriga Aktiebolag</t>
        </is>
      </c>
      <c r="G287" t="n">
        <v>0.7</v>
      </c>
      <c r="H287" t="n">
        <v>0</v>
      </c>
      <c r="I287" t="n">
        <v>0</v>
      </c>
      <c r="J287" t="n">
        <v>0</v>
      </c>
      <c r="K287" t="n">
        <v>0</v>
      </c>
      <c r="L287" t="n">
        <v>0</v>
      </c>
      <c r="M287" t="n">
        <v>0</v>
      </c>
      <c r="N287" t="n">
        <v>0</v>
      </c>
      <c r="O287" t="n">
        <v>0</v>
      </c>
      <c r="P287" t="n">
        <v>0</v>
      </c>
      <c r="Q287" t="n">
        <v>0</v>
      </c>
      <c r="R287" s="2" t="inlineStr"/>
    </row>
    <row r="288" ht="15" customHeight="1">
      <c r="A288" t="inlineStr">
        <is>
          <t>A 41511-2025</t>
        </is>
      </c>
      <c r="B288" s="1" t="n">
        <v>45901.53839120371</v>
      </c>
      <c r="C288" s="1" t="n">
        <v>46053</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49652-2025</t>
        </is>
      </c>
      <c r="B289" s="1" t="n">
        <v>45938</v>
      </c>
      <c r="C289" s="1" t="n">
        <v>46053</v>
      </c>
      <c r="D289" t="inlineStr">
        <is>
          <t>ÖSTERGÖTLANDS LÄN</t>
        </is>
      </c>
      <c r="E289" t="inlineStr">
        <is>
          <t>LINKÖPING</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49654-2025</t>
        </is>
      </c>
      <c r="B290" s="1" t="n">
        <v>45938</v>
      </c>
      <c r="C290" s="1" t="n">
        <v>46053</v>
      </c>
      <c r="D290" t="inlineStr">
        <is>
          <t>ÖSTERGÖTLANDS LÄN</t>
        </is>
      </c>
      <c r="E290" t="inlineStr">
        <is>
          <t>LINKÖPING</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1084-2023</t>
        </is>
      </c>
      <c r="B291" s="1" t="n">
        <v>44929</v>
      </c>
      <c r="C291" s="1" t="n">
        <v>46053</v>
      </c>
      <c r="D291" t="inlineStr">
        <is>
          <t>ÖSTERGÖTLANDS LÄN</t>
        </is>
      </c>
      <c r="E291" t="inlineStr">
        <is>
          <t>LINKÖPING</t>
        </is>
      </c>
      <c r="G291" t="n">
        <v>10.4</v>
      </c>
      <c r="H291" t="n">
        <v>0</v>
      </c>
      <c r="I291" t="n">
        <v>0</v>
      </c>
      <c r="J291" t="n">
        <v>0</v>
      </c>
      <c r="K291" t="n">
        <v>0</v>
      </c>
      <c r="L291" t="n">
        <v>0</v>
      </c>
      <c r="M291" t="n">
        <v>0</v>
      </c>
      <c r="N291" t="n">
        <v>0</v>
      </c>
      <c r="O291" t="n">
        <v>0</v>
      </c>
      <c r="P291" t="n">
        <v>0</v>
      </c>
      <c r="Q291" t="n">
        <v>0</v>
      </c>
      <c r="R291" s="2" t="inlineStr"/>
    </row>
    <row r="292" ht="15" customHeight="1">
      <c r="A292" t="inlineStr">
        <is>
          <t>A 13911-2025</t>
        </is>
      </c>
      <c r="B292" s="1" t="n">
        <v>45737.64784722222</v>
      </c>
      <c r="C292" s="1" t="n">
        <v>46053</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3042-2024</t>
        </is>
      </c>
      <c r="B293" s="1" t="n">
        <v>45316.35028935185</v>
      </c>
      <c r="C293" s="1" t="n">
        <v>46053</v>
      </c>
      <c r="D293" t="inlineStr">
        <is>
          <t>ÖSTERGÖTLANDS LÄN</t>
        </is>
      </c>
      <c r="E293" t="inlineStr">
        <is>
          <t>LINKÖPING</t>
        </is>
      </c>
      <c r="G293" t="n">
        <v>3.1</v>
      </c>
      <c r="H293" t="n">
        <v>0</v>
      </c>
      <c r="I293" t="n">
        <v>0</v>
      </c>
      <c r="J293" t="n">
        <v>0</v>
      </c>
      <c r="K293" t="n">
        <v>0</v>
      </c>
      <c r="L293" t="n">
        <v>0</v>
      </c>
      <c r="M293" t="n">
        <v>0</v>
      </c>
      <c r="N293" t="n">
        <v>0</v>
      </c>
      <c r="O293" t="n">
        <v>0</v>
      </c>
      <c r="P293" t="n">
        <v>0</v>
      </c>
      <c r="Q293" t="n">
        <v>0</v>
      </c>
      <c r="R293" s="2" t="inlineStr"/>
    </row>
    <row r="294" ht="15" customHeight="1">
      <c r="A294" t="inlineStr">
        <is>
          <t>A 23768-2025</t>
        </is>
      </c>
      <c r="B294" s="1" t="n">
        <v>45793.47493055555</v>
      </c>
      <c r="C294" s="1" t="n">
        <v>46053</v>
      </c>
      <c r="D294" t="inlineStr">
        <is>
          <t>ÖSTERGÖTLANDS LÄN</t>
        </is>
      </c>
      <c r="E294" t="inlineStr">
        <is>
          <t>LINKÖPING</t>
        </is>
      </c>
      <c r="G294" t="n">
        <v>3.4</v>
      </c>
      <c r="H294" t="n">
        <v>0</v>
      </c>
      <c r="I294" t="n">
        <v>0</v>
      </c>
      <c r="J294" t="n">
        <v>0</v>
      </c>
      <c r="K294" t="n">
        <v>0</v>
      </c>
      <c r="L294" t="n">
        <v>0</v>
      </c>
      <c r="M294" t="n">
        <v>0</v>
      </c>
      <c r="N294" t="n">
        <v>0</v>
      </c>
      <c r="O294" t="n">
        <v>0</v>
      </c>
      <c r="P294" t="n">
        <v>0</v>
      </c>
      <c r="Q294" t="n">
        <v>0</v>
      </c>
      <c r="R294" s="2" t="inlineStr"/>
    </row>
    <row r="295" ht="15" customHeight="1">
      <c r="A295" t="inlineStr">
        <is>
          <t>A 49619-2025</t>
        </is>
      </c>
      <c r="B295" s="1" t="n">
        <v>45938</v>
      </c>
      <c r="C295" s="1" t="n">
        <v>46053</v>
      </c>
      <c r="D295" t="inlineStr">
        <is>
          <t>ÖSTERGÖTLANDS LÄN</t>
        </is>
      </c>
      <c r="E295" t="inlineStr">
        <is>
          <t>LINKÖPING</t>
        </is>
      </c>
      <c r="F295" t="inlineStr">
        <is>
          <t>Övriga Aktiebolag</t>
        </is>
      </c>
      <c r="G295" t="n">
        <v>2.3</v>
      </c>
      <c r="H295" t="n">
        <v>0</v>
      </c>
      <c r="I295" t="n">
        <v>0</v>
      </c>
      <c r="J295" t="n">
        <v>0</v>
      </c>
      <c r="K295" t="n">
        <v>0</v>
      </c>
      <c r="L295" t="n">
        <v>0</v>
      </c>
      <c r="M295" t="n">
        <v>0</v>
      </c>
      <c r="N295" t="n">
        <v>0</v>
      </c>
      <c r="O295" t="n">
        <v>0</v>
      </c>
      <c r="P295" t="n">
        <v>0</v>
      </c>
      <c r="Q295" t="n">
        <v>0</v>
      </c>
      <c r="R295" s="2" t="inlineStr"/>
    </row>
    <row r="296" ht="15" customHeight="1">
      <c r="A296" t="inlineStr">
        <is>
          <t>A 49629-2025</t>
        </is>
      </c>
      <c r="B296" s="1" t="n">
        <v>45938</v>
      </c>
      <c r="C296" s="1" t="n">
        <v>46053</v>
      </c>
      <c r="D296" t="inlineStr">
        <is>
          <t>ÖSTERGÖTLANDS LÄN</t>
        </is>
      </c>
      <c r="E296" t="inlineStr">
        <is>
          <t>LINKÖPING</t>
        </is>
      </c>
      <c r="F296" t="inlineStr">
        <is>
          <t>Övriga Aktiebolag</t>
        </is>
      </c>
      <c r="G296" t="n">
        <v>4.5</v>
      </c>
      <c r="H296" t="n">
        <v>0</v>
      </c>
      <c r="I296" t="n">
        <v>0</v>
      </c>
      <c r="J296" t="n">
        <v>0</v>
      </c>
      <c r="K296" t="n">
        <v>0</v>
      </c>
      <c r="L296" t="n">
        <v>0</v>
      </c>
      <c r="M296" t="n">
        <v>0</v>
      </c>
      <c r="N296" t="n">
        <v>0</v>
      </c>
      <c r="O296" t="n">
        <v>0</v>
      </c>
      <c r="P296" t="n">
        <v>0</v>
      </c>
      <c r="Q296" t="n">
        <v>0</v>
      </c>
      <c r="R296" s="2" t="inlineStr"/>
    </row>
    <row r="297" ht="15" customHeight="1">
      <c r="A297" t="inlineStr">
        <is>
          <t>A 49650-2025</t>
        </is>
      </c>
      <c r="B297" s="1" t="n">
        <v>45938</v>
      </c>
      <c r="C297" s="1" t="n">
        <v>46053</v>
      </c>
      <c r="D297" t="inlineStr">
        <is>
          <t>ÖSTERGÖTLANDS LÄN</t>
        </is>
      </c>
      <c r="E297" t="inlineStr">
        <is>
          <t>LINKÖPING</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29293-2025</t>
        </is>
      </c>
      <c r="B298" s="1" t="n">
        <v>45824</v>
      </c>
      <c r="C298" s="1" t="n">
        <v>46053</v>
      </c>
      <c r="D298" t="inlineStr">
        <is>
          <t>ÖSTERGÖTLANDS LÄN</t>
        </is>
      </c>
      <c r="E298" t="inlineStr">
        <is>
          <t>LINKÖPING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29859-2024</t>
        </is>
      </c>
      <c r="B299" s="1" t="n">
        <v>45485.6846412037</v>
      </c>
      <c r="C299" s="1" t="n">
        <v>46053</v>
      </c>
      <c r="D299" t="inlineStr">
        <is>
          <t>ÖSTERGÖTLANDS LÄN</t>
        </is>
      </c>
      <c r="E299" t="inlineStr">
        <is>
          <t>LINKÖPING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51571-2024</t>
        </is>
      </c>
      <c r="B300" s="1" t="n">
        <v>45604</v>
      </c>
      <c r="C300" s="1" t="n">
        <v>46053</v>
      </c>
      <c r="D300" t="inlineStr">
        <is>
          <t>ÖSTERGÖTLANDS LÄN</t>
        </is>
      </c>
      <c r="E300" t="inlineStr">
        <is>
          <t>LINKÖPING</t>
        </is>
      </c>
      <c r="F300" t="inlineStr">
        <is>
          <t>Övriga Aktiebolag</t>
        </is>
      </c>
      <c r="G300" t="n">
        <v>1.4</v>
      </c>
      <c r="H300" t="n">
        <v>0</v>
      </c>
      <c r="I300" t="n">
        <v>0</v>
      </c>
      <c r="J300" t="n">
        <v>0</v>
      </c>
      <c r="K300" t="n">
        <v>0</v>
      </c>
      <c r="L300" t="n">
        <v>0</v>
      </c>
      <c r="M300" t="n">
        <v>0</v>
      </c>
      <c r="N300" t="n">
        <v>0</v>
      </c>
      <c r="O300" t="n">
        <v>0</v>
      </c>
      <c r="P300" t="n">
        <v>0</v>
      </c>
      <c r="Q300" t="n">
        <v>0</v>
      </c>
      <c r="R300" s="2" t="inlineStr"/>
    </row>
    <row r="301" ht="15" customHeight="1">
      <c r="A301" t="inlineStr">
        <is>
          <t>A 223-2024</t>
        </is>
      </c>
      <c r="B301" s="1" t="n">
        <v>45294.72739583333</v>
      </c>
      <c r="C301" s="1" t="n">
        <v>46053</v>
      </c>
      <c r="D301" t="inlineStr">
        <is>
          <t>ÖSTERGÖTLANDS LÄN</t>
        </is>
      </c>
      <c r="E301" t="inlineStr">
        <is>
          <t>LINKÖPING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227-2024</t>
        </is>
      </c>
      <c r="B302" s="1" t="n">
        <v>45294.73603009259</v>
      </c>
      <c r="C302" s="1" t="n">
        <v>46053</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49632-2025</t>
        </is>
      </c>
      <c r="B303" s="1" t="n">
        <v>45938</v>
      </c>
      <c r="C303" s="1" t="n">
        <v>46053</v>
      </c>
      <c r="D303" t="inlineStr">
        <is>
          <t>ÖSTERGÖTLANDS LÄN</t>
        </is>
      </c>
      <c r="E303" t="inlineStr">
        <is>
          <t>LINKÖPING</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42623-2025</t>
        </is>
      </c>
      <c r="B304" s="1" t="n">
        <v>45905</v>
      </c>
      <c r="C304" s="1" t="n">
        <v>46053</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56917-2022</t>
        </is>
      </c>
      <c r="B305" s="1" t="n">
        <v>44894</v>
      </c>
      <c r="C305" s="1" t="n">
        <v>46053</v>
      </c>
      <c r="D305" t="inlineStr">
        <is>
          <t>ÖSTERGÖTLANDS LÄN</t>
        </is>
      </c>
      <c r="E305" t="inlineStr">
        <is>
          <t>LINKÖPING</t>
        </is>
      </c>
      <c r="G305" t="n">
        <v>2.2</v>
      </c>
      <c r="H305" t="n">
        <v>0</v>
      </c>
      <c r="I305" t="n">
        <v>0</v>
      </c>
      <c r="J305" t="n">
        <v>0</v>
      </c>
      <c r="K305" t="n">
        <v>0</v>
      </c>
      <c r="L305" t="n">
        <v>0</v>
      </c>
      <c r="M305" t="n">
        <v>0</v>
      </c>
      <c r="N305" t="n">
        <v>0</v>
      </c>
      <c r="O305" t="n">
        <v>0</v>
      </c>
      <c r="P305" t="n">
        <v>0</v>
      </c>
      <c r="Q305" t="n">
        <v>0</v>
      </c>
      <c r="R305" s="2" t="inlineStr"/>
    </row>
    <row r="306" ht="15" customHeight="1">
      <c r="A306" t="inlineStr">
        <is>
          <t>A 49615-2025</t>
        </is>
      </c>
      <c r="B306" s="1" t="n">
        <v>45938</v>
      </c>
      <c r="C306" s="1" t="n">
        <v>46053</v>
      </c>
      <c r="D306" t="inlineStr">
        <is>
          <t>ÖSTERGÖTLANDS LÄN</t>
        </is>
      </c>
      <c r="E306" t="inlineStr">
        <is>
          <t>LINKÖPING</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1265-2023</t>
        </is>
      </c>
      <c r="B307" s="1" t="n">
        <v>44936</v>
      </c>
      <c r="C307" s="1" t="n">
        <v>46053</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42624-2025</t>
        </is>
      </c>
      <c r="B308" s="1" t="n">
        <v>45905</v>
      </c>
      <c r="C308" s="1" t="n">
        <v>46053</v>
      </c>
      <c r="D308" t="inlineStr">
        <is>
          <t>ÖSTERGÖTLANDS LÄN</t>
        </is>
      </c>
      <c r="E308" t="inlineStr">
        <is>
          <t>LINKÖPING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42626-2025</t>
        </is>
      </c>
      <c r="B309" s="1" t="n">
        <v>45905</v>
      </c>
      <c r="C309" s="1" t="n">
        <v>46053</v>
      </c>
      <c r="D309" t="inlineStr">
        <is>
          <t>ÖSTERGÖTLANDS LÄN</t>
        </is>
      </c>
      <c r="E309" t="inlineStr">
        <is>
          <t>LINKÖPING</t>
        </is>
      </c>
      <c r="G309" t="n">
        <v>3.6</v>
      </c>
      <c r="H309" t="n">
        <v>0</v>
      </c>
      <c r="I309" t="n">
        <v>0</v>
      </c>
      <c r="J309" t="n">
        <v>0</v>
      </c>
      <c r="K309" t="n">
        <v>0</v>
      </c>
      <c r="L309" t="n">
        <v>0</v>
      </c>
      <c r="M309" t="n">
        <v>0</v>
      </c>
      <c r="N309" t="n">
        <v>0</v>
      </c>
      <c r="O309" t="n">
        <v>0</v>
      </c>
      <c r="P309" t="n">
        <v>0</v>
      </c>
      <c r="Q309" t="n">
        <v>0</v>
      </c>
      <c r="R309" s="2" t="inlineStr"/>
    </row>
    <row r="310" ht="15" customHeight="1">
      <c r="A310" t="inlineStr">
        <is>
          <t>A 1362-2023</t>
        </is>
      </c>
      <c r="B310" s="1" t="n">
        <v>44931</v>
      </c>
      <c r="C310" s="1" t="n">
        <v>46053</v>
      </c>
      <c r="D310" t="inlineStr">
        <is>
          <t>ÖSTERGÖTLANDS LÄN</t>
        </is>
      </c>
      <c r="E310" t="inlineStr">
        <is>
          <t>LINKÖPING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54034-2022</t>
        </is>
      </c>
      <c r="B311" s="1" t="n">
        <v>44881</v>
      </c>
      <c r="C311" s="1" t="n">
        <v>46053</v>
      </c>
      <c r="D311" t="inlineStr">
        <is>
          <t>ÖSTERGÖTLANDS LÄN</t>
        </is>
      </c>
      <c r="E311" t="inlineStr">
        <is>
          <t>LINKÖPING</t>
        </is>
      </c>
      <c r="G311" t="n">
        <v>0.5</v>
      </c>
      <c r="H311" t="n">
        <v>0</v>
      </c>
      <c r="I311" t="n">
        <v>0</v>
      </c>
      <c r="J311" t="n">
        <v>0</v>
      </c>
      <c r="K311" t="n">
        <v>0</v>
      </c>
      <c r="L311" t="n">
        <v>0</v>
      </c>
      <c r="M311" t="n">
        <v>0</v>
      </c>
      <c r="N311" t="n">
        <v>0</v>
      </c>
      <c r="O311" t="n">
        <v>0</v>
      </c>
      <c r="P311" t="n">
        <v>0</v>
      </c>
      <c r="Q311" t="n">
        <v>0</v>
      </c>
      <c r="R311" s="2" t="inlineStr"/>
    </row>
    <row r="312" ht="15" customHeight="1">
      <c r="A312" t="inlineStr">
        <is>
          <t>A 55493-2021</t>
        </is>
      </c>
      <c r="B312" s="1" t="n">
        <v>44475.61988425926</v>
      </c>
      <c r="C312" s="1" t="n">
        <v>46053</v>
      </c>
      <c r="D312" t="inlineStr">
        <is>
          <t>ÖSTERGÖTLANDS LÄN</t>
        </is>
      </c>
      <c r="E312" t="inlineStr">
        <is>
          <t>LINKÖPING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44280-2024</t>
        </is>
      </c>
      <c r="B313" s="1" t="n">
        <v>45573.49461805556</v>
      </c>
      <c r="C313" s="1" t="n">
        <v>46053</v>
      </c>
      <c r="D313" t="inlineStr">
        <is>
          <t>ÖSTERGÖTLANDS LÄN</t>
        </is>
      </c>
      <c r="E313" t="inlineStr">
        <is>
          <t>LINKÖPING</t>
        </is>
      </c>
      <c r="G313" t="n">
        <v>5.3</v>
      </c>
      <c r="H313" t="n">
        <v>0</v>
      </c>
      <c r="I313" t="n">
        <v>0</v>
      </c>
      <c r="J313" t="n">
        <v>0</v>
      </c>
      <c r="K313" t="n">
        <v>0</v>
      </c>
      <c r="L313" t="n">
        <v>0</v>
      </c>
      <c r="M313" t="n">
        <v>0</v>
      </c>
      <c r="N313" t="n">
        <v>0</v>
      </c>
      <c r="O313" t="n">
        <v>0</v>
      </c>
      <c r="P313" t="n">
        <v>0</v>
      </c>
      <c r="Q313" t="n">
        <v>0</v>
      </c>
      <c r="R313" s="2" t="inlineStr"/>
    </row>
    <row r="314" ht="15" customHeight="1">
      <c r="A314" t="inlineStr">
        <is>
          <t>A 6054-2022</t>
        </is>
      </c>
      <c r="B314" s="1" t="n">
        <v>44599.53623842593</v>
      </c>
      <c r="C314" s="1" t="n">
        <v>46053</v>
      </c>
      <c r="D314" t="inlineStr">
        <is>
          <t>ÖSTERGÖTLANDS LÄN</t>
        </is>
      </c>
      <c r="E314" t="inlineStr">
        <is>
          <t>LINKÖPING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25119-2023</t>
        </is>
      </c>
      <c r="B315" s="1" t="n">
        <v>45086.42326388889</v>
      </c>
      <c r="C315" s="1" t="n">
        <v>46053</v>
      </c>
      <c r="D315" t="inlineStr">
        <is>
          <t>ÖSTERGÖTLANDS LÄN</t>
        </is>
      </c>
      <c r="E315" t="inlineStr">
        <is>
          <t>LINKÖPING</t>
        </is>
      </c>
      <c r="G315" t="n">
        <v>3.2</v>
      </c>
      <c r="H315" t="n">
        <v>0</v>
      </c>
      <c r="I315" t="n">
        <v>0</v>
      </c>
      <c r="J315" t="n">
        <v>0</v>
      </c>
      <c r="K315" t="n">
        <v>0</v>
      </c>
      <c r="L315" t="n">
        <v>0</v>
      </c>
      <c r="M315" t="n">
        <v>0</v>
      </c>
      <c r="N315" t="n">
        <v>0</v>
      </c>
      <c r="O315" t="n">
        <v>0</v>
      </c>
      <c r="P315" t="n">
        <v>0</v>
      </c>
      <c r="Q315" t="n">
        <v>0</v>
      </c>
      <c r="R315" s="2" t="inlineStr"/>
    </row>
    <row r="316" ht="15" customHeight="1">
      <c r="A316" t="inlineStr">
        <is>
          <t>A 4456-2024</t>
        </is>
      </c>
      <c r="B316" s="1" t="n">
        <v>45327.52847222222</v>
      </c>
      <c r="C316" s="1" t="n">
        <v>46053</v>
      </c>
      <c r="D316" t="inlineStr">
        <is>
          <t>ÖSTERGÖTLANDS LÄN</t>
        </is>
      </c>
      <c r="E316" t="inlineStr">
        <is>
          <t>LINKÖPING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58114-2021</t>
        </is>
      </c>
      <c r="B317" s="1" t="n">
        <v>44487</v>
      </c>
      <c r="C317" s="1" t="n">
        <v>46053</v>
      </c>
      <c r="D317" t="inlineStr">
        <is>
          <t>ÖSTERGÖTLANDS LÄN</t>
        </is>
      </c>
      <c r="E317" t="inlineStr">
        <is>
          <t>LINKÖPING</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25996-2025</t>
        </is>
      </c>
      <c r="B318" s="1" t="n">
        <v>45804.65851851852</v>
      </c>
      <c r="C318" s="1" t="n">
        <v>46053</v>
      </c>
      <c r="D318" t="inlineStr">
        <is>
          <t>ÖSTERGÖTLANDS LÄN</t>
        </is>
      </c>
      <c r="E318" t="inlineStr">
        <is>
          <t>LINKÖPING</t>
        </is>
      </c>
      <c r="G318" t="n">
        <v>3.2</v>
      </c>
      <c r="H318" t="n">
        <v>0</v>
      </c>
      <c r="I318" t="n">
        <v>0</v>
      </c>
      <c r="J318" t="n">
        <v>0</v>
      </c>
      <c r="K318" t="n">
        <v>0</v>
      </c>
      <c r="L318" t="n">
        <v>0</v>
      </c>
      <c r="M318" t="n">
        <v>0</v>
      </c>
      <c r="N318" t="n">
        <v>0</v>
      </c>
      <c r="O318" t="n">
        <v>0</v>
      </c>
      <c r="P318" t="n">
        <v>0</v>
      </c>
      <c r="Q318" t="n">
        <v>0</v>
      </c>
      <c r="R318" s="2" t="inlineStr"/>
    </row>
    <row r="319" ht="15" customHeight="1">
      <c r="A319" t="inlineStr">
        <is>
          <t>A 52892-2024</t>
        </is>
      </c>
      <c r="B319" s="1" t="n">
        <v>45610</v>
      </c>
      <c r="C319" s="1" t="n">
        <v>46053</v>
      </c>
      <c r="D319" t="inlineStr">
        <is>
          <t>ÖSTERGÖTLANDS LÄN</t>
        </is>
      </c>
      <c r="E319" t="inlineStr">
        <is>
          <t>LINKÖPING</t>
        </is>
      </c>
      <c r="G319" t="n">
        <v>4.2</v>
      </c>
      <c r="H319" t="n">
        <v>0</v>
      </c>
      <c r="I319" t="n">
        <v>0</v>
      </c>
      <c r="J319" t="n">
        <v>0</v>
      </c>
      <c r="K319" t="n">
        <v>0</v>
      </c>
      <c r="L319" t="n">
        <v>0</v>
      </c>
      <c r="M319" t="n">
        <v>0</v>
      </c>
      <c r="N319" t="n">
        <v>0</v>
      </c>
      <c r="O319" t="n">
        <v>0</v>
      </c>
      <c r="P319" t="n">
        <v>0</v>
      </c>
      <c r="Q319" t="n">
        <v>0</v>
      </c>
      <c r="R319" s="2" t="inlineStr"/>
    </row>
    <row r="320" ht="15" customHeight="1">
      <c r="A320" t="inlineStr">
        <is>
          <t>A 43755-2025</t>
        </is>
      </c>
      <c r="B320" s="1" t="n">
        <v>45912.47329861111</v>
      </c>
      <c r="C320" s="1" t="n">
        <v>46053</v>
      </c>
      <c r="D320" t="inlineStr">
        <is>
          <t>ÖSTERGÖTLANDS LÄN</t>
        </is>
      </c>
      <c r="E320" t="inlineStr">
        <is>
          <t>LINKÖPING</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26002-2025</t>
        </is>
      </c>
      <c r="B321" s="1" t="n">
        <v>45804.66534722222</v>
      </c>
      <c r="C321" s="1" t="n">
        <v>46053</v>
      </c>
      <c r="D321" t="inlineStr">
        <is>
          <t>ÖSTERGÖTLANDS LÄN</t>
        </is>
      </c>
      <c r="E321" t="inlineStr">
        <is>
          <t>LINKÖPING</t>
        </is>
      </c>
      <c r="G321" t="n">
        <v>2.5</v>
      </c>
      <c r="H321" t="n">
        <v>0</v>
      </c>
      <c r="I321" t="n">
        <v>0</v>
      </c>
      <c r="J321" t="n">
        <v>0</v>
      </c>
      <c r="K321" t="n">
        <v>0</v>
      </c>
      <c r="L321" t="n">
        <v>0</v>
      </c>
      <c r="M321" t="n">
        <v>0</v>
      </c>
      <c r="N321" t="n">
        <v>0</v>
      </c>
      <c r="O321" t="n">
        <v>0</v>
      </c>
      <c r="P321" t="n">
        <v>0</v>
      </c>
      <c r="Q321" t="n">
        <v>0</v>
      </c>
      <c r="R321" s="2" t="inlineStr"/>
    </row>
    <row r="322" ht="15" customHeight="1">
      <c r="A322" t="inlineStr">
        <is>
          <t>A 43753-2025</t>
        </is>
      </c>
      <c r="B322" s="1" t="n">
        <v>45912.4715625</v>
      </c>
      <c r="C322" s="1" t="n">
        <v>46053</v>
      </c>
      <c r="D322" t="inlineStr">
        <is>
          <t>ÖSTERGÖTLANDS LÄN</t>
        </is>
      </c>
      <c r="E322" t="inlineStr">
        <is>
          <t>LINKÖPING</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43758-2025</t>
        </is>
      </c>
      <c r="B323" s="1" t="n">
        <v>45912.47711805555</v>
      </c>
      <c r="C323" s="1" t="n">
        <v>46053</v>
      </c>
      <c r="D323" t="inlineStr">
        <is>
          <t>ÖSTERGÖTLANDS LÄN</t>
        </is>
      </c>
      <c r="E323" t="inlineStr">
        <is>
          <t>LINKÖPING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3008-2023</t>
        </is>
      </c>
      <c r="B324" s="1" t="n">
        <v>44945.79784722222</v>
      </c>
      <c r="C324" s="1" t="n">
        <v>46053</v>
      </c>
      <c r="D324" t="inlineStr">
        <is>
          <t>ÖSTERGÖTLANDS LÄN</t>
        </is>
      </c>
      <c r="E324" t="inlineStr">
        <is>
          <t>LINKÖPING</t>
        </is>
      </c>
      <c r="G324" t="n">
        <v>19.3</v>
      </c>
      <c r="H324" t="n">
        <v>0</v>
      </c>
      <c r="I324" t="n">
        <v>0</v>
      </c>
      <c r="J324" t="n">
        <v>0</v>
      </c>
      <c r="K324" t="n">
        <v>0</v>
      </c>
      <c r="L324" t="n">
        <v>0</v>
      </c>
      <c r="M324" t="n">
        <v>0</v>
      </c>
      <c r="N324" t="n">
        <v>0</v>
      </c>
      <c r="O324" t="n">
        <v>0</v>
      </c>
      <c r="P324" t="n">
        <v>0</v>
      </c>
      <c r="Q324" t="n">
        <v>0</v>
      </c>
      <c r="R324" s="2" t="inlineStr"/>
    </row>
    <row r="325" ht="15" customHeight="1">
      <c r="A325" t="inlineStr">
        <is>
          <t>A 44170-2025</t>
        </is>
      </c>
      <c r="B325" s="1" t="n">
        <v>45915.59864583334</v>
      </c>
      <c r="C325" s="1" t="n">
        <v>46053</v>
      </c>
      <c r="D325" t="inlineStr">
        <is>
          <t>ÖSTERGÖTLANDS LÄN</t>
        </is>
      </c>
      <c r="E325" t="inlineStr">
        <is>
          <t>LINKÖPING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55736-2022</t>
        </is>
      </c>
      <c r="B326" s="1" t="n">
        <v>44888</v>
      </c>
      <c r="C326" s="1" t="n">
        <v>46053</v>
      </c>
      <c r="D326" t="inlineStr">
        <is>
          <t>ÖSTERGÖTLANDS LÄN</t>
        </is>
      </c>
      <c r="E326" t="inlineStr">
        <is>
          <t>LINKÖPING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44759-2025</t>
        </is>
      </c>
      <c r="B327" s="1" t="n">
        <v>45917.7152662037</v>
      </c>
      <c r="C327" s="1" t="n">
        <v>46053</v>
      </c>
      <c r="D327" t="inlineStr">
        <is>
          <t>ÖSTERGÖTLANDS LÄN</t>
        </is>
      </c>
      <c r="E327" t="inlineStr">
        <is>
          <t>LINKÖPING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44764-2025</t>
        </is>
      </c>
      <c r="B328" s="1" t="n">
        <v>45917.72821759259</v>
      </c>
      <c r="C328" s="1" t="n">
        <v>46053</v>
      </c>
      <c r="D328" t="inlineStr">
        <is>
          <t>ÖSTERGÖTLANDS LÄN</t>
        </is>
      </c>
      <c r="E328" t="inlineStr">
        <is>
          <t>LINKÖPING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30434-2024</t>
        </is>
      </c>
      <c r="B329" s="1" t="n">
        <v>45491.69811342593</v>
      </c>
      <c r="C329" s="1" t="n">
        <v>46053</v>
      </c>
      <c r="D329" t="inlineStr">
        <is>
          <t>ÖSTERGÖTLANDS LÄN</t>
        </is>
      </c>
      <c r="E329" t="inlineStr">
        <is>
          <t>LINKÖPING</t>
        </is>
      </c>
      <c r="G329" t="n">
        <v>1.2</v>
      </c>
      <c r="H329" t="n">
        <v>0</v>
      </c>
      <c r="I329" t="n">
        <v>0</v>
      </c>
      <c r="J329" t="n">
        <v>0</v>
      </c>
      <c r="K329" t="n">
        <v>0</v>
      </c>
      <c r="L329" t="n">
        <v>0</v>
      </c>
      <c r="M329" t="n">
        <v>0</v>
      </c>
      <c r="N329" t="n">
        <v>0</v>
      </c>
      <c r="O329" t="n">
        <v>0</v>
      </c>
      <c r="P329" t="n">
        <v>0</v>
      </c>
      <c r="Q329" t="n">
        <v>0</v>
      </c>
      <c r="R329" s="2" t="inlineStr"/>
    </row>
    <row r="330" ht="15" customHeight="1">
      <c r="A330" t="inlineStr">
        <is>
          <t>A 11084-2022</t>
        </is>
      </c>
      <c r="B330" s="1" t="n">
        <v>44628</v>
      </c>
      <c r="C330" s="1" t="n">
        <v>46053</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45112-2025</t>
        </is>
      </c>
      <c r="B331" s="1" t="n">
        <v>45919</v>
      </c>
      <c r="C331" s="1" t="n">
        <v>46053</v>
      </c>
      <c r="D331" t="inlineStr">
        <is>
          <t>ÖSTERGÖTLANDS LÄN</t>
        </is>
      </c>
      <c r="E331" t="inlineStr">
        <is>
          <t>LINKÖPING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57745-2022</t>
        </is>
      </c>
      <c r="B332" s="1" t="n">
        <v>44897.58119212963</v>
      </c>
      <c r="C332" s="1" t="n">
        <v>46053</v>
      </c>
      <c r="D332" t="inlineStr">
        <is>
          <t>ÖSTERGÖTLANDS LÄN</t>
        </is>
      </c>
      <c r="E332" t="inlineStr">
        <is>
          <t>LINKÖPING</t>
        </is>
      </c>
      <c r="F332" t="inlineStr">
        <is>
          <t>Sveaskog</t>
        </is>
      </c>
      <c r="G332" t="n">
        <v>3.1</v>
      </c>
      <c r="H332" t="n">
        <v>0</v>
      </c>
      <c r="I332" t="n">
        <v>0</v>
      </c>
      <c r="J332" t="n">
        <v>0</v>
      </c>
      <c r="K332" t="n">
        <v>0</v>
      </c>
      <c r="L332" t="n">
        <v>0</v>
      </c>
      <c r="M332" t="n">
        <v>0</v>
      </c>
      <c r="N332" t="n">
        <v>0</v>
      </c>
      <c r="O332" t="n">
        <v>0</v>
      </c>
      <c r="P332" t="n">
        <v>0</v>
      </c>
      <c r="Q332" t="n">
        <v>0</v>
      </c>
      <c r="R332" s="2" t="inlineStr"/>
    </row>
    <row r="333" ht="15" customHeight="1">
      <c r="A333" t="inlineStr">
        <is>
          <t>A 14520-2025</t>
        </is>
      </c>
      <c r="B333" s="1" t="n">
        <v>45741</v>
      </c>
      <c r="C333" s="1" t="n">
        <v>46053</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45634-2025</t>
        </is>
      </c>
      <c r="B334" s="1" t="n">
        <v>45922.85089120371</v>
      </c>
      <c r="C334" s="1" t="n">
        <v>46053</v>
      </c>
      <c r="D334" t="inlineStr">
        <is>
          <t>ÖSTERGÖTLANDS LÄN</t>
        </is>
      </c>
      <c r="E334" t="inlineStr">
        <is>
          <t>LINKÖPING</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45792-2025</t>
        </is>
      </c>
      <c r="B335" s="1" t="n">
        <v>45923.56998842592</v>
      </c>
      <c r="C335" s="1" t="n">
        <v>46053</v>
      </c>
      <c r="D335" t="inlineStr">
        <is>
          <t>ÖSTERGÖTLANDS LÄN</t>
        </is>
      </c>
      <c r="E335" t="inlineStr">
        <is>
          <t>LINKÖPING</t>
        </is>
      </c>
      <c r="G335" t="n">
        <v>2.6</v>
      </c>
      <c r="H335" t="n">
        <v>0</v>
      </c>
      <c r="I335" t="n">
        <v>0</v>
      </c>
      <c r="J335" t="n">
        <v>0</v>
      </c>
      <c r="K335" t="n">
        <v>0</v>
      </c>
      <c r="L335" t="n">
        <v>0</v>
      </c>
      <c r="M335" t="n">
        <v>0</v>
      </c>
      <c r="N335" t="n">
        <v>0</v>
      </c>
      <c r="O335" t="n">
        <v>0</v>
      </c>
      <c r="P335" t="n">
        <v>0</v>
      </c>
      <c r="Q335" t="n">
        <v>0</v>
      </c>
      <c r="R335" s="2" t="inlineStr"/>
    </row>
    <row r="336" ht="15" customHeight="1">
      <c r="A336" t="inlineStr">
        <is>
          <t>A 45804-2025</t>
        </is>
      </c>
      <c r="B336" s="1" t="n">
        <v>45923.5819675926</v>
      </c>
      <c r="C336" s="1" t="n">
        <v>46053</v>
      </c>
      <c r="D336" t="inlineStr">
        <is>
          <t>ÖSTERGÖTLANDS LÄN</t>
        </is>
      </c>
      <c r="E336" t="inlineStr">
        <is>
          <t>LINKÖPING</t>
        </is>
      </c>
      <c r="G336" t="n">
        <v>3.3</v>
      </c>
      <c r="H336" t="n">
        <v>0</v>
      </c>
      <c r="I336" t="n">
        <v>0</v>
      </c>
      <c r="J336" t="n">
        <v>0</v>
      </c>
      <c r="K336" t="n">
        <v>0</v>
      </c>
      <c r="L336" t="n">
        <v>0</v>
      </c>
      <c r="M336" t="n">
        <v>0</v>
      </c>
      <c r="N336" t="n">
        <v>0</v>
      </c>
      <c r="O336" t="n">
        <v>0</v>
      </c>
      <c r="P336" t="n">
        <v>0</v>
      </c>
      <c r="Q336" t="n">
        <v>0</v>
      </c>
      <c r="R336" s="2" t="inlineStr"/>
    </row>
    <row r="337" ht="15" customHeight="1">
      <c r="A337" t="inlineStr">
        <is>
          <t>A 56064-2022</t>
        </is>
      </c>
      <c r="B337" s="1" t="n">
        <v>44889.59107638889</v>
      </c>
      <c r="C337" s="1" t="n">
        <v>46053</v>
      </c>
      <c r="D337" t="inlineStr">
        <is>
          <t>ÖSTERGÖTLANDS LÄN</t>
        </is>
      </c>
      <c r="E337" t="inlineStr">
        <is>
          <t>LINKÖPING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40502-2024</t>
        </is>
      </c>
      <c r="B338" s="1" t="n">
        <v>45555.57263888889</v>
      </c>
      <c r="C338" s="1" t="n">
        <v>46053</v>
      </c>
      <c r="D338" t="inlineStr">
        <is>
          <t>ÖSTERGÖTLANDS LÄN</t>
        </is>
      </c>
      <c r="E338" t="inlineStr">
        <is>
          <t>LINKÖPING</t>
        </is>
      </c>
      <c r="F338" t="inlineStr">
        <is>
          <t>Allmännings- och besparingsskogar</t>
        </is>
      </c>
      <c r="G338" t="n">
        <v>17.5</v>
      </c>
      <c r="H338" t="n">
        <v>0</v>
      </c>
      <c r="I338" t="n">
        <v>0</v>
      </c>
      <c r="J338" t="n">
        <v>0</v>
      </c>
      <c r="K338" t="n">
        <v>0</v>
      </c>
      <c r="L338" t="n">
        <v>0</v>
      </c>
      <c r="M338" t="n">
        <v>0</v>
      </c>
      <c r="N338" t="n">
        <v>0</v>
      </c>
      <c r="O338" t="n">
        <v>0</v>
      </c>
      <c r="P338" t="n">
        <v>0</v>
      </c>
      <c r="Q338" t="n">
        <v>0</v>
      </c>
      <c r="R338" s="2" t="inlineStr"/>
    </row>
    <row r="339" ht="15" customHeight="1">
      <c r="A339" t="inlineStr">
        <is>
          <t>A 40983-2025</t>
        </is>
      </c>
      <c r="B339" s="1" t="n">
        <v>45898</v>
      </c>
      <c r="C339" s="1" t="n">
        <v>46053</v>
      </c>
      <c r="D339" t="inlineStr">
        <is>
          <t>ÖSTERGÖTLANDS LÄN</t>
        </is>
      </c>
      <c r="E339" t="inlineStr">
        <is>
          <t>LINKÖPING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46428-2025</t>
        </is>
      </c>
      <c r="B340" s="1" t="n">
        <v>45925.60758101852</v>
      </c>
      <c r="C340" s="1" t="n">
        <v>46053</v>
      </c>
      <c r="D340" t="inlineStr">
        <is>
          <t>ÖSTERGÖTLANDS LÄN</t>
        </is>
      </c>
      <c r="E340" t="inlineStr">
        <is>
          <t>LINKÖPING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50056-2025</t>
        </is>
      </c>
      <c r="B341" s="1" t="n">
        <v>45941</v>
      </c>
      <c r="C341" s="1" t="n">
        <v>46053</v>
      </c>
      <c r="D341" t="inlineStr">
        <is>
          <t>ÖSTERGÖTLANDS LÄN</t>
        </is>
      </c>
      <c r="E341" t="inlineStr">
        <is>
          <t>LINKÖPING</t>
        </is>
      </c>
      <c r="G341" t="n">
        <v>0.3</v>
      </c>
      <c r="H341" t="n">
        <v>0</v>
      </c>
      <c r="I341" t="n">
        <v>0</v>
      </c>
      <c r="J341" t="n">
        <v>0</v>
      </c>
      <c r="K341" t="n">
        <v>0</v>
      </c>
      <c r="L341" t="n">
        <v>0</v>
      </c>
      <c r="M341" t="n">
        <v>0</v>
      </c>
      <c r="N341" t="n">
        <v>0</v>
      </c>
      <c r="O341" t="n">
        <v>0</v>
      </c>
      <c r="P341" t="n">
        <v>0</v>
      </c>
      <c r="Q341" t="n">
        <v>0</v>
      </c>
      <c r="R341" s="2" t="inlineStr"/>
    </row>
    <row r="342" ht="15" customHeight="1">
      <c r="A342" t="inlineStr">
        <is>
          <t>A 28200-2025</t>
        </is>
      </c>
      <c r="B342" s="1" t="n">
        <v>45818.4428125</v>
      </c>
      <c r="C342" s="1" t="n">
        <v>46053</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46426-2025</t>
        </is>
      </c>
      <c r="B343" s="1" t="n">
        <v>45925.6012962963</v>
      </c>
      <c r="C343" s="1" t="n">
        <v>46053</v>
      </c>
      <c r="D343" t="inlineStr">
        <is>
          <t>ÖSTERGÖTLANDS LÄN</t>
        </is>
      </c>
      <c r="E343" t="inlineStr">
        <is>
          <t>LINKÖPING</t>
        </is>
      </c>
      <c r="G343" t="n">
        <v>4.4</v>
      </c>
      <c r="H343" t="n">
        <v>0</v>
      </c>
      <c r="I343" t="n">
        <v>0</v>
      </c>
      <c r="J343" t="n">
        <v>0</v>
      </c>
      <c r="K343" t="n">
        <v>0</v>
      </c>
      <c r="L343" t="n">
        <v>0</v>
      </c>
      <c r="M343" t="n">
        <v>0</v>
      </c>
      <c r="N343" t="n">
        <v>0</v>
      </c>
      <c r="O343" t="n">
        <v>0</v>
      </c>
      <c r="P343" t="n">
        <v>0</v>
      </c>
      <c r="Q343" t="n">
        <v>0</v>
      </c>
      <c r="R343" s="2" t="inlineStr"/>
    </row>
    <row r="344" ht="15" customHeight="1">
      <c r="A344" t="inlineStr">
        <is>
          <t>A 44155-2024</t>
        </is>
      </c>
      <c r="B344" s="1" t="n">
        <v>45572.68226851852</v>
      </c>
      <c r="C344" s="1" t="n">
        <v>46053</v>
      </c>
      <c r="D344" t="inlineStr">
        <is>
          <t>ÖSTERGÖTLANDS LÄN</t>
        </is>
      </c>
      <c r="E344" t="inlineStr">
        <is>
          <t>LINKÖPING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50667-2025</t>
        </is>
      </c>
      <c r="B345" s="1" t="n">
        <v>45945</v>
      </c>
      <c r="C345" s="1" t="n">
        <v>46053</v>
      </c>
      <c r="D345" t="inlineStr">
        <is>
          <t>ÖSTERGÖTLANDS LÄN</t>
        </is>
      </c>
      <c r="E345" t="inlineStr">
        <is>
          <t>LINKÖPING</t>
        </is>
      </c>
      <c r="G345" t="n">
        <v>3.3</v>
      </c>
      <c r="H345" t="n">
        <v>0</v>
      </c>
      <c r="I345" t="n">
        <v>0</v>
      </c>
      <c r="J345" t="n">
        <v>0</v>
      </c>
      <c r="K345" t="n">
        <v>0</v>
      </c>
      <c r="L345" t="n">
        <v>0</v>
      </c>
      <c r="M345" t="n">
        <v>0</v>
      </c>
      <c r="N345" t="n">
        <v>0</v>
      </c>
      <c r="O345" t="n">
        <v>0</v>
      </c>
      <c r="P345" t="n">
        <v>0</v>
      </c>
      <c r="Q345" t="n">
        <v>0</v>
      </c>
      <c r="R345" s="2" t="inlineStr"/>
    </row>
    <row r="346" ht="15" customHeight="1">
      <c r="A346" t="inlineStr">
        <is>
          <t>A 46377-2025</t>
        </is>
      </c>
      <c r="B346" s="1" t="n">
        <v>45925.51773148148</v>
      </c>
      <c r="C346" s="1" t="n">
        <v>46053</v>
      </c>
      <c r="D346" t="inlineStr">
        <is>
          <t>ÖSTERGÖTLANDS LÄN</t>
        </is>
      </c>
      <c r="E346" t="inlineStr">
        <is>
          <t>LINKÖPING</t>
        </is>
      </c>
      <c r="G346" t="n">
        <v>3.1</v>
      </c>
      <c r="H346" t="n">
        <v>0</v>
      </c>
      <c r="I346" t="n">
        <v>0</v>
      </c>
      <c r="J346" t="n">
        <v>0</v>
      </c>
      <c r="K346" t="n">
        <v>0</v>
      </c>
      <c r="L346" t="n">
        <v>0</v>
      </c>
      <c r="M346" t="n">
        <v>0</v>
      </c>
      <c r="N346" t="n">
        <v>0</v>
      </c>
      <c r="O346" t="n">
        <v>0</v>
      </c>
      <c r="P346" t="n">
        <v>0</v>
      </c>
      <c r="Q346" t="n">
        <v>0</v>
      </c>
      <c r="R346" s="2" t="inlineStr"/>
    </row>
    <row r="347" ht="15" customHeight="1">
      <c r="A347" t="inlineStr">
        <is>
          <t>A 27950-2025</t>
        </is>
      </c>
      <c r="B347" s="1" t="n">
        <v>45817.52960648148</v>
      </c>
      <c r="C347" s="1" t="n">
        <v>46053</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27797-2025</t>
        </is>
      </c>
      <c r="B348" s="1" t="n">
        <v>45816.80521990741</v>
      </c>
      <c r="C348" s="1" t="n">
        <v>46053</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27798-2025</t>
        </is>
      </c>
      <c r="B349" s="1" t="n">
        <v>45816.81532407407</v>
      </c>
      <c r="C349" s="1" t="n">
        <v>46053</v>
      </c>
      <c r="D349" t="inlineStr">
        <is>
          <t>ÖSTERGÖTLANDS LÄN</t>
        </is>
      </c>
      <c r="E349" t="inlineStr">
        <is>
          <t>LINKÖPING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42997-2021</t>
        </is>
      </c>
      <c r="B350" s="1" t="n">
        <v>44431.45556712963</v>
      </c>
      <c r="C350" s="1" t="n">
        <v>46053</v>
      </c>
      <c r="D350" t="inlineStr">
        <is>
          <t>ÖSTERGÖTLANDS LÄN</t>
        </is>
      </c>
      <c r="E350" t="inlineStr">
        <is>
          <t>LINKÖPING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28209-2025</t>
        </is>
      </c>
      <c r="B351" s="1" t="n">
        <v>45818.45112268518</v>
      </c>
      <c r="C351" s="1" t="n">
        <v>46053</v>
      </c>
      <c r="D351" t="inlineStr">
        <is>
          <t>ÖSTERGÖTLANDS LÄN</t>
        </is>
      </c>
      <c r="E351" t="inlineStr">
        <is>
          <t>LINKÖPING</t>
        </is>
      </c>
      <c r="G351" t="n">
        <v>4.2</v>
      </c>
      <c r="H351" t="n">
        <v>0</v>
      </c>
      <c r="I351" t="n">
        <v>0</v>
      </c>
      <c r="J351" t="n">
        <v>0</v>
      </c>
      <c r="K351" t="n">
        <v>0</v>
      </c>
      <c r="L351" t="n">
        <v>0</v>
      </c>
      <c r="M351" t="n">
        <v>0</v>
      </c>
      <c r="N351" t="n">
        <v>0</v>
      </c>
      <c r="O351" t="n">
        <v>0</v>
      </c>
      <c r="P351" t="n">
        <v>0</v>
      </c>
      <c r="Q351" t="n">
        <v>0</v>
      </c>
      <c r="R351" s="2" t="inlineStr"/>
    </row>
    <row r="352" ht="15" customHeight="1">
      <c r="A352" t="inlineStr">
        <is>
          <t>A 47304-2025</t>
        </is>
      </c>
      <c r="B352" s="1" t="n">
        <v>45930.52037037037</v>
      </c>
      <c r="C352" s="1" t="n">
        <v>46053</v>
      </c>
      <c r="D352" t="inlineStr">
        <is>
          <t>ÖSTERGÖTLANDS LÄN</t>
        </is>
      </c>
      <c r="E352" t="inlineStr">
        <is>
          <t>LINKÖPING</t>
        </is>
      </c>
      <c r="G352" t="n">
        <v>2.7</v>
      </c>
      <c r="H352" t="n">
        <v>0</v>
      </c>
      <c r="I352" t="n">
        <v>0</v>
      </c>
      <c r="J352" t="n">
        <v>0</v>
      </c>
      <c r="K352" t="n">
        <v>0</v>
      </c>
      <c r="L352" t="n">
        <v>0</v>
      </c>
      <c r="M352" t="n">
        <v>0</v>
      </c>
      <c r="N352" t="n">
        <v>0</v>
      </c>
      <c r="O352" t="n">
        <v>0</v>
      </c>
      <c r="P352" t="n">
        <v>0</v>
      </c>
      <c r="Q352" t="n">
        <v>0</v>
      </c>
      <c r="R352" s="2" t="inlineStr"/>
    </row>
    <row r="353" ht="15" customHeight="1">
      <c r="A353" t="inlineStr">
        <is>
          <t>A 28204-2025</t>
        </is>
      </c>
      <c r="B353" s="1" t="n">
        <v>45818.4477662037</v>
      </c>
      <c r="C353" s="1" t="n">
        <v>46053</v>
      </c>
      <c r="D353" t="inlineStr">
        <is>
          <t>ÖSTERGÖTLANDS LÄN</t>
        </is>
      </c>
      <c r="E353" t="inlineStr">
        <is>
          <t>LINKÖPING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47233-2025</t>
        </is>
      </c>
      <c r="B354" s="1" t="n">
        <v>45930.40612268518</v>
      </c>
      <c r="C354" s="1" t="n">
        <v>46053</v>
      </c>
      <c r="D354" t="inlineStr">
        <is>
          <t>ÖSTERGÖTLANDS LÄN</t>
        </is>
      </c>
      <c r="E354" t="inlineStr">
        <is>
          <t>LINKÖPING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28398-2025</t>
        </is>
      </c>
      <c r="B355" s="1" t="n">
        <v>45819.34208333334</v>
      </c>
      <c r="C355" s="1" t="n">
        <v>46053</v>
      </c>
      <c r="D355" t="inlineStr">
        <is>
          <t>ÖSTERGÖTLANDS LÄN</t>
        </is>
      </c>
      <c r="E355" t="inlineStr">
        <is>
          <t>LINKÖPING</t>
        </is>
      </c>
      <c r="F355" t="inlineStr">
        <is>
          <t>Sveaskog</t>
        </is>
      </c>
      <c r="G355" t="n">
        <v>7.9</v>
      </c>
      <c r="H355" t="n">
        <v>0</v>
      </c>
      <c r="I355" t="n">
        <v>0</v>
      </c>
      <c r="J355" t="n">
        <v>0</v>
      </c>
      <c r="K355" t="n">
        <v>0</v>
      </c>
      <c r="L355" t="n">
        <v>0</v>
      </c>
      <c r="M355" t="n">
        <v>0</v>
      </c>
      <c r="N355" t="n">
        <v>0</v>
      </c>
      <c r="O355" t="n">
        <v>0</v>
      </c>
      <c r="P355" t="n">
        <v>0</v>
      </c>
      <c r="Q355" t="n">
        <v>0</v>
      </c>
      <c r="R355" s="2" t="inlineStr"/>
    </row>
    <row r="356" ht="15" customHeight="1">
      <c r="A356" t="inlineStr">
        <is>
          <t>A 28416-2025</t>
        </is>
      </c>
      <c r="B356" s="1" t="n">
        <v>45819.35346064815</v>
      </c>
      <c r="C356" s="1" t="n">
        <v>46053</v>
      </c>
      <c r="D356" t="inlineStr">
        <is>
          <t>ÖSTERGÖTLANDS LÄN</t>
        </is>
      </c>
      <c r="E356" t="inlineStr">
        <is>
          <t>LINKÖPING</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46847-2025</t>
        </is>
      </c>
      <c r="B357" s="1" t="n">
        <v>45928.69971064815</v>
      </c>
      <c r="C357" s="1" t="n">
        <v>46053</v>
      </c>
      <c r="D357" t="inlineStr">
        <is>
          <t>ÖSTERGÖTLANDS LÄN</t>
        </is>
      </c>
      <c r="E357" t="inlineStr">
        <is>
          <t>LINKÖPING</t>
        </is>
      </c>
      <c r="G357" t="n">
        <v>4.6</v>
      </c>
      <c r="H357" t="n">
        <v>0</v>
      </c>
      <c r="I357" t="n">
        <v>0</v>
      </c>
      <c r="J357" t="n">
        <v>0</v>
      </c>
      <c r="K357" t="n">
        <v>0</v>
      </c>
      <c r="L357" t="n">
        <v>0</v>
      </c>
      <c r="M357" t="n">
        <v>0</v>
      </c>
      <c r="N357" t="n">
        <v>0</v>
      </c>
      <c r="O357" t="n">
        <v>0</v>
      </c>
      <c r="P357" t="n">
        <v>0</v>
      </c>
      <c r="Q357" t="n">
        <v>0</v>
      </c>
      <c r="R357" s="2" t="inlineStr"/>
    </row>
    <row r="358" ht="15" customHeight="1">
      <c r="A358" t="inlineStr">
        <is>
          <t>A 29027-2025</t>
        </is>
      </c>
      <c r="B358" s="1" t="n">
        <v>45821.4375462963</v>
      </c>
      <c r="C358" s="1" t="n">
        <v>46053</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29393-2025</t>
        </is>
      </c>
      <c r="B359" s="1" t="n">
        <v>45824.6057175926</v>
      </c>
      <c r="C359" s="1" t="n">
        <v>46053</v>
      </c>
      <c r="D359" t="inlineStr">
        <is>
          <t>ÖSTERGÖTLANDS LÄN</t>
        </is>
      </c>
      <c r="E359" t="inlineStr">
        <is>
          <t>LINKÖPING</t>
        </is>
      </c>
      <c r="F359" t="inlineStr">
        <is>
          <t>Sveaskog</t>
        </is>
      </c>
      <c r="G359" t="n">
        <v>24.6</v>
      </c>
      <c r="H359" t="n">
        <v>0</v>
      </c>
      <c r="I359" t="n">
        <v>0</v>
      </c>
      <c r="J359" t="n">
        <v>0</v>
      </c>
      <c r="K359" t="n">
        <v>0</v>
      </c>
      <c r="L359" t="n">
        <v>0</v>
      </c>
      <c r="M359" t="n">
        <v>0</v>
      </c>
      <c r="N359" t="n">
        <v>0</v>
      </c>
      <c r="O359" t="n">
        <v>0</v>
      </c>
      <c r="P359" t="n">
        <v>0</v>
      </c>
      <c r="Q359" t="n">
        <v>0</v>
      </c>
      <c r="R359" s="2" t="inlineStr"/>
    </row>
    <row r="360" ht="15" customHeight="1">
      <c r="A360" t="inlineStr">
        <is>
          <t>A 29411-2025</t>
        </is>
      </c>
      <c r="B360" s="1" t="n">
        <v>45824.6219212963</v>
      </c>
      <c r="C360" s="1" t="n">
        <v>46053</v>
      </c>
      <c r="D360" t="inlineStr">
        <is>
          <t>ÖSTERGÖTLANDS LÄN</t>
        </is>
      </c>
      <c r="E360" t="inlineStr">
        <is>
          <t>LINKÖPING</t>
        </is>
      </c>
      <c r="F360" t="inlineStr">
        <is>
          <t>Sveaskog</t>
        </is>
      </c>
      <c r="G360" t="n">
        <v>0.6</v>
      </c>
      <c r="H360" t="n">
        <v>0</v>
      </c>
      <c r="I360" t="n">
        <v>0</v>
      </c>
      <c r="J360" t="n">
        <v>0</v>
      </c>
      <c r="K360" t="n">
        <v>0</v>
      </c>
      <c r="L360" t="n">
        <v>0</v>
      </c>
      <c r="M360" t="n">
        <v>0</v>
      </c>
      <c r="N360" t="n">
        <v>0</v>
      </c>
      <c r="O360" t="n">
        <v>0</v>
      </c>
      <c r="P360" t="n">
        <v>0</v>
      </c>
      <c r="Q360" t="n">
        <v>0</v>
      </c>
      <c r="R360" s="2" t="inlineStr"/>
    </row>
    <row r="361" ht="15" customHeight="1">
      <c r="A361" t="inlineStr">
        <is>
          <t>A 51802-2025</t>
        </is>
      </c>
      <c r="B361" s="1" t="n">
        <v>45950</v>
      </c>
      <c r="C361" s="1" t="n">
        <v>46053</v>
      </c>
      <c r="D361" t="inlineStr">
        <is>
          <t>ÖSTERGÖTLANDS LÄN</t>
        </is>
      </c>
      <c r="E361" t="inlineStr">
        <is>
          <t>LINKÖPING</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14028-2024</t>
        </is>
      </c>
      <c r="B362" s="1" t="n">
        <v>45392</v>
      </c>
      <c r="C362" s="1" t="n">
        <v>46053</v>
      </c>
      <c r="D362" t="inlineStr">
        <is>
          <t>ÖSTERGÖTLANDS LÄN</t>
        </is>
      </c>
      <c r="E362" t="inlineStr">
        <is>
          <t>LINKÖPING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29599-2025</t>
        </is>
      </c>
      <c r="B363" s="1" t="n">
        <v>45825.41101851852</v>
      </c>
      <c r="C363" s="1" t="n">
        <v>46053</v>
      </c>
      <c r="D363" t="inlineStr">
        <is>
          <t>ÖSTERGÖTLANDS LÄN</t>
        </is>
      </c>
      <c r="E363" t="inlineStr">
        <is>
          <t>LINKÖPING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14667-2024</t>
        </is>
      </c>
      <c r="B364" s="1" t="n">
        <v>45397.42005787037</v>
      </c>
      <c r="C364" s="1" t="n">
        <v>46053</v>
      </c>
      <c r="D364" t="inlineStr">
        <is>
          <t>ÖSTERGÖTLANDS LÄN</t>
        </is>
      </c>
      <c r="E364" t="inlineStr">
        <is>
          <t>LINKÖPING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2697-2023</t>
        </is>
      </c>
      <c r="B365" s="1" t="n">
        <v>44944</v>
      </c>
      <c r="C365" s="1" t="n">
        <v>46053</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30355-2025</t>
        </is>
      </c>
      <c r="B366" s="1" t="n">
        <v>45827</v>
      </c>
      <c r="C366" s="1" t="n">
        <v>46053</v>
      </c>
      <c r="D366" t="inlineStr">
        <is>
          <t>ÖSTERGÖTLANDS LÄN</t>
        </is>
      </c>
      <c r="E366" t="inlineStr">
        <is>
          <t>LINKÖPING</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30353-2025</t>
        </is>
      </c>
      <c r="B367" s="1" t="n">
        <v>45827</v>
      </c>
      <c r="C367" s="1" t="n">
        <v>46053</v>
      </c>
      <c r="D367" t="inlineStr">
        <is>
          <t>ÖSTERGÖTLANDS LÄN</t>
        </is>
      </c>
      <c r="E367" t="inlineStr">
        <is>
          <t>LINKÖPING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53641-2023</t>
        </is>
      </c>
      <c r="B368" s="1" t="n">
        <v>45230</v>
      </c>
      <c r="C368" s="1" t="n">
        <v>46053</v>
      </c>
      <c r="D368" t="inlineStr">
        <is>
          <t>ÖSTERGÖTLANDS LÄN</t>
        </is>
      </c>
      <c r="E368" t="inlineStr">
        <is>
          <t>LINKÖPING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48707-2023</t>
        </is>
      </c>
      <c r="B369" s="1" t="n">
        <v>45202</v>
      </c>
      <c r="C369" s="1" t="n">
        <v>46053</v>
      </c>
      <c r="D369" t="inlineStr">
        <is>
          <t>ÖSTERGÖTLANDS LÄN</t>
        </is>
      </c>
      <c r="E369" t="inlineStr">
        <is>
          <t>LINKÖPING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53411-2023</t>
        </is>
      </c>
      <c r="B370" s="1" t="n">
        <v>45229.81049768518</v>
      </c>
      <c r="C370" s="1" t="n">
        <v>46053</v>
      </c>
      <c r="D370" t="inlineStr">
        <is>
          <t>ÖSTERGÖTLANDS LÄN</t>
        </is>
      </c>
      <c r="E370" t="inlineStr">
        <is>
          <t>LINKÖPING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56741-2023</t>
        </is>
      </c>
      <c r="B371" s="1" t="n">
        <v>45244</v>
      </c>
      <c r="C371" s="1" t="n">
        <v>46053</v>
      </c>
      <c r="D371" t="inlineStr">
        <is>
          <t>ÖSTERGÖTLANDS LÄN</t>
        </is>
      </c>
      <c r="E371" t="inlineStr">
        <is>
          <t>LINKÖPING</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56792-2023</t>
        </is>
      </c>
      <c r="B372" s="1" t="n">
        <v>45244</v>
      </c>
      <c r="C372" s="1" t="n">
        <v>46053</v>
      </c>
      <c r="D372" t="inlineStr">
        <is>
          <t>ÖSTERGÖTLANDS LÄN</t>
        </is>
      </c>
      <c r="E372" t="inlineStr">
        <is>
          <t>LINKÖPING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52111-2025</t>
        </is>
      </c>
      <c r="B373" s="1" t="n">
        <v>45952.69527777778</v>
      </c>
      <c r="C373" s="1" t="n">
        <v>46053</v>
      </c>
      <c r="D373" t="inlineStr">
        <is>
          <t>ÖSTERGÖTLANDS LÄN</t>
        </is>
      </c>
      <c r="E373" t="inlineStr">
        <is>
          <t>LINKÖPING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3007-2023</t>
        </is>
      </c>
      <c r="B374" s="1" t="n">
        <v>44945</v>
      </c>
      <c r="C374" s="1" t="n">
        <v>46053</v>
      </c>
      <c r="D374" t="inlineStr">
        <is>
          <t>ÖSTERGÖTLANDS LÄN</t>
        </is>
      </c>
      <c r="E374" t="inlineStr">
        <is>
          <t>LINKÖPING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40338-2024</t>
        </is>
      </c>
      <c r="B375" s="1" t="n">
        <v>45555.32940972222</v>
      </c>
      <c r="C375" s="1" t="n">
        <v>46053</v>
      </c>
      <c r="D375" t="inlineStr">
        <is>
          <t>ÖSTERGÖTLANDS LÄN</t>
        </is>
      </c>
      <c r="E375" t="inlineStr">
        <is>
          <t>LINKÖPING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3013-2023</t>
        </is>
      </c>
      <c r="B376" s="1" t="n">
        <v>44945.8092824074</v>
      </c>
      <c r="C376" s="1" t="n">
        <v>46053</v>
      </c>
      <c r="D376" t="inlineStr">
        <is>
          <t>ÖSTERGÖTLANDS LÄN</t>
        </is>
      </c>
      <c r="E376" t="inlineStr">
        <is>
          <t>LINKÖPING</t>
        </is>
      </c>
      <c r="G376" t="n">
        <v>5.2</v>
      </c>
      <c r="H376" t="n">
        <v>0</v>
      </c>
      <c r="I376" t="n">
        <v>0</v>
      </c>
      <c r="J376" t="n">
        <v>0</v>
      </c>
      <c r="K376" t="n">
        <v>0</v>
      </c>
      <c r="L376" t="n">
        <v>0</v>
      </c>
      <c r="M376" t="n">
        <v>0</v>
      </c>
      <c r="N376" t="n">
        <v>0</v>
      </c>
      <c r="O376" t="n">
        <v>0</v>
      </c>
      <c r="P376" t="n">
        <v>0</v>
      </c>
      <c r="Q376" t="n">
        <v>0</v>
      </c>
      <c r="R376" s="2" t="inlineStr"/>
    </row>
    <row r="377" ht="15" customHeight="1">
      <c r="A377" t="inlineStr">
        <is>
          <t>A 55945-2024</t>
        </is>
      </c>
      <c r="B377" s="1" t="n">
        <v>45623.61754629629</v>
      </c>
      <c r="C377" s="1" t="n">
        <v>46053</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1993-2023</t>
        </is>
      </c>
      <c r="B378" s="1" t="n">
        <v>44939</v>
      </c>
      <c r="C378" s="1" t="n">
        <v>46053</v>
      </c>
      <c r="D378" t="inlineStr">
        <is>
          <t>ÖSTERGÖTLANDS LÄN</t>
        </is>
      </c>
      <c r="E378" t="inlineStr">
        <is>
          <t>LINKÖPING</t>
        </is>
      </c>
      <c r="G378" t="n">
        <v>3.7</v>
      </c>
      <c r="H378" t="n">
        <v>0</v>
      </c>
      <c r="I378" t="n">
        <v>0</v>
      </c>
      <c r="J378" t="n">
        <v>0</v>
      </c>
      <c r="K378" t="n">
        <v>0</v>
      </c>
      <c r="L378" t="n">
        <v>0</v>
      </c>
      <c r="M378" t="n">
        <v>0</v>
      </c>
      <c r="N378" t="n">
        <v>0</v>
      </c>
      <c r="O378" t="n">
        <v>0</v>
      </c>
      <c r="P378" t="n">
        <v>0</v>
      </c>
      <c r="Q378" t="n">
        <v>0</v>
      </c>
      <c r="R378" s="2" t="inlineStr"/>
    </row>
    <row r="379" ht="15" customHeight="1">
      <c r="A379" t="inlineStr">
        <is>
          <t>A 2618-2023</t>
        </is>
      </c>
      <c r="B379" s="1" t="n">
        <v>44944.35847222222</v>
      </c>
      <c r="C379" s="1" t="n">
        <v>46053</v>
      </c>
      <c r="D379" t="inlineStr">
        <is>
          <t>ÖSTERGÖTLANDS LÄN</t>
        </is>
      </c>
      <c r="E379" t="inlineStr">
        <is>
          <t>LINKÖPING</t>
        </is>
      </c>
      <c r="G379" t="n">
        <v>4.3</v>
      </c>
      <c r="H379" t="n">
        <v>0</v>
      </c>
      <c r="I379" t="n">
        <v>0</v>
      </c>
      <c r="J379" t="n">
        <v>0</v>
      </c>
      <c r="K379" t="n">
        <v>0</v>
      </c>
      <c r="L379" t="n">
        <v>0</v>
      </c>
      <c r="M379" t="n">
        <v>0</v>
      </c>
      <c r="N379" t="n">
        <v>0</v>
      </c>
      <c r="O379" t="n">
        <v>0</v>
      </c>
      <c r="P379" t="n">
        <v>0</v>
      </c>
      <c r="Q379" t="n">
        <v>0</v>
      </c>
      <c r="R379" s="2" t="inlineStr"/>
    </row>
    <row r="380" ht="15" customHeight="1">
      <c r="A380" t="inlineStr">
        <is>
          <t>A 10203-2023</t>
        </is>
      </c>
      <c r="B380" s="1" t="n">
        <v>44986.55711805556</v>
      </c>
      <c r="C380" s="1" t="n">
        <v>46053</v>
      </c>
      <c r="D380" t="inlineStr">
        <is>
          <t>ÖSTERGÖTLANDS LÄN</t>
        </is>
      </c>
      <c r="E380" t="inlineStr">
        <is>
          <t>LINKÖPING</t>
        </is>
      </c>
      <c r="G380" t="n">
        <v>3.3</v>
      </c>
      <c r="H380" t="n">
        <v>0</v>
      </c>
      <c r="I380" t="n">
        <v>0</v>
      </c>
      <c r="J380" t="n">
        <v>0</v>
      </c>
      <c r="K380" t="n">
        <v>0</v>
      </c>
      <c r="L380" t="n">
        <v>0</v>
      </c>
      <c r="M380" t="n">
        <v>0</v>
      </c>
      <c r="N380" t="n">
        <v>0</v>
      </c>
      <c r="O380" t="n">
        <v>0</v>
      </c>
      <c r="P380" t="n">
        <v>0</v>
      </c>
      <c r="Q380" t="n">
        <v>0</v>
      </c>
      <c r="R380" s="2" t="inlineStr"/>
    </row>
    <row r="381" ht="15" customHeight="1">
      <c r="A381" t="inlineStr">
        <is>
          <t>A 34889-2023</t>
        </is>
      </c>
      <c r="B381" s="1" t="n">
        <v>45140</v>
      </c>
      <c r="C381" s="1" t="n">
        <v>46053</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34928-2023</t>
        </is>
      </c>
      <c r="B382" s="1" t="n">
        <v>45142</v>
      </c>
      <c r="C382" s="1" t="n">
        <v>46053</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31581-2025</t>
        </is>
      </c>
      <c r="B383" s="1" t="n">
        <v>45833.6840162037</v>
      </c>
      <c r="C383" s="1" t="n">
        <v>46053</v>
      </c>
      <c r="D383" t="inlineStr">
        <is>
          <t>ÖSTERGÖTLANDS LÄN</t>
        </is>
      </c>
      <c r="E383" t="inlineStr">
        <is>
          <t>LINKÖPING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31585-2025</t>
        </is>
      </c>
      <c r="B384" s="1" t="n">
        <v>45833.68815972222</v>
      </c>
      <c r="C384" s="1" t="n">
        <v>46053</v>
      </c>
      <c r="D384" t="inlineStr">
        <is>
          <t>ÖSTERGÖTLANDS LÄN</t>
        </is>
      </c>
      <c r="E384" t="inlineStr">
        <is>
          <t>LINKÖPING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1268-2023</t>
        </is>
      </c>
      <c r="B385" s="1" t="n">
        <v>44936</v>
      </c>
      <c r="C385" s="1" t="n">
        <v>46053</v>
      </c>
      <c r="D385" t="inlineStr">
        <is>
          <t>ÖSTERGÖTLANDS LÄN</t>
        </is>
      </c>
      <c r="E385" t="inlineStr">
        <is>
          <t>LINKÖPING</t>
        </is>
      </c>
      <c r="G385" t="n">
        <v>4.6</v>
      </c>
      <c r="H385" t="n">
        <v>0</v>
      </c>
      <c r="I385" t="n">
        <v>0</v>
      </c>
      <c r="J385" t="n">
        <v>0</v>
      </c>
      <c r="K385" t="n">
        <v>0</v>
      </c>
      <c r="L385" t="n">
        <v>0</v>
      </c>
      <c r="M385" t="n">
        <v>0</v>
      </c>
      <c r="N385" t="n">
        <v>0</v>
      </c>
      <c r="O385" t="n">
        <v>0</v>
      </c>
      <c r="P385" t="n">
        <v>0</v>
      </c>
      <c r="Q385" t="n">
        <v>0</v>
      </c>
      <c r="R385" s="2" t="inlineStr"/>
    </row>
    <row r="386" ht="15" customHeight="1">
      <c r="A386" t="inlineStr">
        <is>
          <t>A 5314-2021</t>
        </is>
      </c>
      <c r="B386" s="1" t="n">
        <v>44229</v>
      </c>
      <c r="C386" s="1" t="n">
        <v>46053</v>
      </c>
      <c r="D386" t="inlineStr">
        <is>
          <t>ÖSTERGÖTLANDS LÄN</t>
        </is>
      </c>
      <c r="E386" t="inlineStr">
        <is>
          <t>LINKÖPING</t>
        </is>
      </c>
      <c r="G386" t="n">
        <v>6.2</v>
      </c>
      <c r="H386" t="n">
        <v>0</v>
      </c>
      <c r="I386" t="n">
        <v>0</v>
      </c>
      <c r="J386" t="n">
        <v>0</v>
      </c>
      <c r="K386" t="n">
        <v>0</v>
      </c>
      <c r="L386" t="n">
        <v>0</v>
      </c>
      <c r="M386" t="n">
        <v>0</v>
      </c>
      <c r="N386" t="n">
        <v>0</v>
      </c>
      <c r="O386" t="n">
        <v>0</v>
      </c>
      <c r="P386" t="n">
        <v>0</v>
      </c>
      <c r="Q386" t="n">
        <v>0</v>
      </c>
      <c r="R386" s="2" t="inlineStr"/>
    </row>
    <row r="387" ht="15" customHeight="1">
      <c r="A387" t="inlineStr">
        <is>
          <t>A 32723-2025</t>
        </is>
      </c>
      <c r="B387" s="1" t="n">
        <v>45838</v>
      </c>
      <c r="C387" s="1" t="n">
        <v>46053</v>
      </c>
      <c r="D387" t="inlineStr">
        <is>
          <t>ÖSTERGÖTLANDS LÄN</t>
        </is>
      </c>
      <c r="E387" t="inlineStr">
        <is>
          <t>LINKÖPING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49747-2024</t>
        </is>
      </c>
      <c r="B388" s="1" t="n">
        <v>45596</v>
      </c>
      <c r="C388" s="1" t="n">
        <v>46053</v>
      </c>
      <c r="D388" t="inlineStr">
        <is>
          <t>ÖSTERGÖTLANDS LÄN</t>
        </is>
      </c>
      <c r="E388" t="inlineStr">
        <is>
          <t>LINKÖPING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52800-2025</t>
        </is>
      </c>
      <c r="B389" s="1" t="n">
        <v>45957.44152777778</v>
      </c>
      <c r="C389" s="1" t="n">
        <v>46053</v>
      </c>
      <c r="D389" t="inlineStr">
        <is>
          <t>ÖSTERGÖTLANDS LÄN</t>
        </is>
      </c>
      <c r="E389" t="inlineStr">
        <is>
          <t>LINKÖPING</t>
        </is>
      </c>
      <c r="G389" t="n">
        <v>2.5</v>
      </c>
      <c r="H389" t="n">
        <v>0</v>
      </c>
      <c r="I389" t="n">
        <v>0</v>
      </c>
      <c r="J389" t="n">
        <v>0</v>
      </c>
      <c r="K389" t="n">
        <v>0</v>
      </c>
      <c r="L389" t="n">
        <v>0</v>
      </c>
      <c r="M389" t="n">
        <v>0</v>
      </c>
      <c r="N389" t="n">
        <v>0</v>
      </c>
      <c r="O389" t="n">
        <v>0</v>
      </c>
      <c r="P389" t="n">
        <v>0</v>
      </c>
      <c r="Q389" t="n">
        <v>0</v>
      </c>
      <c r="R389" s="2" t="inlineStr"/>
    </row>
    <row r="390" ht="15" customHeight="1">
      <c r="A390" t="inlineStr">
        <is>
          <t>A 52802-2025</t>
        </is>
      </c>
      <c r="B390" s="1" t="n">
        <v>45957.44295138889</v>
      </c>
      <c r="C390" s="1" t="n">
        <v>46053</v>
      </c>
      <c r="D390" t="inlineStr">
        <is>
          <t>ÖSTERGÖTLANDS LÄN</t>
        </is>
      </c>
      <c r="E390" t="inlineStr">
        <is>
          <t>LINKÖPING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31725-2022</t>
        </is>
      </c>
      <c r="B391" s="1" t="n">
        <v>44776.48541666667</v>
      </c>
      <c r="C391" s="1" t="n">
        <v>46053</v>
      </c>
      <c r="D391" t="inlineStr">
        <is>
          <t>ÖSTERGÖTLANDS LÄN</t>
        </is>
      </c>
      <c r="E391" t="inlineStr">
        <is>
          <t>LINKÖPING</t>
        </is>
      </c>
      <c r="G391" t="n">
        <v>2.6</v>
      </c>
      <c r="H391" t="n">
        <v>0</v>
      </c>
      <c r="I391" t="n">
        <v>0</v>
      </c>
      <c r="J391" t="n">
        <v>0</v>
      </c>
      <c r="K391" t="n">
        <v>0</v>
      </c>
      <c r="L391" t="n">
        <v>0</v>
      </c>
      <c r="M391" t="n">
        <v>0</v>
      </c>
      <c r="N391" t="n">
        <v>0</v>
      </c>
      <c r="O391" t="n">
        <v>0</v>
      </c>
      <c r="P391" t="n">
        <v>0</v>
      </c>
      <c r="Q391" t="n">
        <v>0</v>
      </c>
      <c r="R391" s="2" t="inlineStr"/>
    </row>
    <row r="392" ht="15" customHeight="1">
      <c r="A392" t="inlineStr">
        <is>
          <t>A 2389-2023</t>
        </is>
      </c>
      <c r="B392" s="1" t="n">
        <v>44942</v>
      </c>
      <c r="C392" s="1" t="n">
        <v>46053</v>
      </c>
      <c r="D392" t="inlineStr">
        <is>
          <t>ÖSTERGÖTLANDS LÄN</t>
        </is>
      </c>
      <c r="E392" t="inlineStr">
        <is>
          <t>LINKÖPING</t>
        </is>
      </c>
      <c r="G392" t="n">
        <v>3.3</v>
      </c>
      <c r="H392" t="n">
        <v>0</v>
      </c>
      <c r="I392" t="n">
        <v>0</v>
      </c>
      <c r="J392" t="n">
        <v>0</v>
      </c>
      <c r="K392" t="n">
        <v>0</v>
      </c>
      <c r="L392" t="n">
        <v>0</v>
      </c>
      <c r="M392" t="n">
        <v>0</v>
      </c>
      <c r="N392" t="n">
        <v>0</v>
      </c>
      <c r="O392" t="n">
        <v>0</v>
      </c>
      <c r="P392" t="n">
        <v>0</v>
      </c>
      <c r="Q392" t="n">
        <v>0</v>
      </c>
      <c r="R392" s="2" t="inlineStr"/>
    </row>
    <row r="393" ht="15" customHeight="1">
      <c r="A393" t="inlineStr">
        <is>
          <t>A 33947-2025</t>
        </is>
      </c>
      <c r="B393" s="1" t="n">
        <v>45842.65444444444</v>
      </c>
      <c r="C393" s="1" t="n">
        <v>46053</v>
      </c>
      <c r="D393" t="inlineStr">
        <is>
          <t>ÖSTERGÖTLANDS LÄN</t>
        </is>
      </c>
      <c r="E393" t="inlineStr">
        <is>
          <t>LINKÖPING</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3627-2023</t>
        </is>
      </c>
      <c r="B394" s="1" t="n">
        <v>44950.64782407408</v>
      </c>
      <c r="C394" s="1" t="n">
        <v>46053</v>
      </c>
      <c r="D394" t="inlineStr">
        <is>
          <t>ÖSTERGÖTLANDS LÄN</t>
        </is>
      </c>
      <c r="E394" t="inlineStr">
        <is>
          <t>LINKÖPING</t>
        </is>
      </c>
      <c r="G394" t="n">
        <v>3.1</v>
      </c>
      <c r="H394" t="n">
        <v>0</v>
      </c>
      <c r="I394" t="n">
        <v>0</v>
      </c>
      <c r="J394" t="n">
        <v>0</v>
      </c>
      <c r="K394" t="n">
        <v>0</v>
      </c>
      <c r="L394" t="n">
        <v>0</v>
      </c>
      <c r="M394" t="n">
        <v>0</v>
      </c>
      <c r="N394" t="n">
        <v>0</v>
      </c>
      <c r="O394" t="n">
        <v>0</v>
      </c>
      <c r="P394" t="n">
        <v>0</v>
      </c>
      <c r="Q394" t="n">
        <v>0</v>
      </c>
      <c r="R394" s="2" t="inlineStr"/>
    </row>
    <row r="395" ht="15" customHeight="1">
      <c r="A395" t="inlineStr">
        <is>
          <t>A 62687-2023</t>
        </is>
      </c>
      <c r="B395" s="1" t="n">
        <v>45271</v>
      </c>
      <c r="C395" s="1" t="n">
        <v>46053</v>
      </c>
      <c r="D395" t="inlineStr">
        <is>
          <t>ÖSTERGÖTLANDS LÄN</t>
        </is>
      </c>
      <c r="E395" t="inlineStr">
        <is>
          <t>LINKÖPING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52740-2025</t>
        </is>
      </c>
      <c r="B396" s="1" t="n">
        <v>45957.37747685185</v>
      </c>
      <c r="C396" s="1" t="n">
        <v>46053</v>
      </c>
      <c r="D396" t="inlineStr">
        <is>
          <t>ÖSTERGÖTLANDS LÄN</t>
        </is>
      </c>
      <c r="E396" t="inlineStr">
        <is>
          <t>LINKÖPING</t>
        </is>
      </c>
      <c r="G396" t="n">
        <v>3.7</v>
      </c>
      <c r="H396" t="n">
        <v>0</v>
      </c>
      <c r="I396" t="n">
        <v>0</v>
      </c>
      <c r="J396" t="n">
        <v>0</v>
      </c>
      <c r="K396" t="n">
        <v>0</v>
      </c>
      <c r="L396" t="n">
        <v>0</v>
      </c>
      <c r="M396" t="n">
        <v>0</v>
      </c>
      <c r="N396" t="n">
        <v>0</v>
      </c>
      <c r="O396" t="n">
        <v>0</v>
      </c>
      <c r="P396" t="n">
        <v>0</v>
      </c>
      <c r="Q396" t="n">
        <v>0</v>
      </c>
      <c r="R396" s="2" t="inlineStr"/>
    </row>
    <row r="397" ht="15" customHeight="1">
      <c r="A397" t="inlineStr">
        <is>
          <t>A 52743-2025</t>
        </is>
      </c>
      <c r="B397" s="1" t="n">
        <v>45957.38039351852</v>
      </c>
      <c r="C397" s="1" t="n">
        <v>46053</v>
      </c>
      <c r="D397" t="inlineStr">
        <is>
          <t>ÖSTERGÖTLANDS LÄN</t>
        </is>
      </c>
      <c r="E397" t="inlineStr">
        <is>
          <t>LINKÖPING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52807-2025</t>
        </is>
      </c>
      <c r="B398" s="1" t="n">
        <v>45957.44837962963</v>
      </c>
      <c r="C398" s="1" t="n">
        <v>46053</v>
      </c>
      <c r="D398" t="inlineStr">
        <is>
          <t>ÖSTERGÖTLANDS LÄN</t>
        </is>
      </c>
      <c r="E398" t="inlineStr">
        <is>
          <t>LINKÖPING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18891-2022</t>
        </is>
      </c>
      <c r="B399" s="1" t="n">
        <v>44690</v>
      </c>
      <c r="C399" s="1" t="n">
        <v>46053</v>
      </c>
      <c r="D399" t="inlineStr">
        <is>
          <t>ÖSTERGÖTLANDS LÄN</t>
        </is>
      </c>
      <c r="E399" t="inlineStr">
        <is>
          <t>LINKÖPING</t>
        </is>
      </c>
      <c r="G399" t="n">
        <v>1.2</v>
      </c>
      <c r="H399" t="n">
        <v>0</v>
      </c>
      <c r="I399" t="n">
        <v>0</v>
      </c>
      <c r="J399" t="n">
        <v>0</v>
      </c>
      <c r="K399" t="n">
        <v>0</v>
      </c>
      <c r="L399" t="n">
        <v>0</v>
      </c>
      <c r="M399" t="n">
        <v>0</v>
      </c>
      <c r="N399" t="n">
        <v>0</v>
      </c>
      <c r="O399" t="n">
        <v>0</v>
      </c>
      <c r="P399" t="n">
        <v>0</v>
      </c>
      <c r="Q399" t="n">
        <v>0</v>
      </c>
      <c r="R399" s="2" t="inlineStr"/>
    </row>
    <row r="400" ht="15" customHeight="1">
      <c r="A400" t="inlineStr">
        <is>
          <t>A 62012-2024</t>
        </is>
      </c>
      <c r="B400" s="1" t="n">
        <v>45655.79679398148</v>
      </c>
      <c r="C400" s="1" t="n">
        <v>46053</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26620-2023</t>
        </is>
      </c>
      <c r="B401" s="1" t="n">
        <v>45092.70390046296</v>
      </c>
      <c r="C401" s="1" t="n">
        <v>46053</v>
      </c>
      <c r="D401" t="inlineStr">
        <is>
          <t>ÖSTERGÖTLANDS LÄN</t>
        </is>
      </c>
      <c r="E401" t="inlineStr">
        <is>
          <t>LINKÖPING</t>
        </is>
      </c>
      <c r="G401" t="n">
        <v>1.3</v>
      </c>
      <c r="H401" t="n">
        <v>0</v>
      </c>
      <c r="I401" t="n">
        <v>0</v>
      </c>
      <c r="J401" t="n">
        <v>0</v>
      </c>
      <c r="K401" t="n">
        <v>0</v>
      </c>
      <c r="L401" t="n">
        <v>0</v>
      </c>
      <c r="M401" t="n">
        <v>0</v>
      </c>
      <c r="N401" t="n">
        <v>0</v>
      </c>
      <c r="O401" t="n">
        <v>0</v>
      </c>
      <c r="P401" t="n">
        <v>0</v>
      </c>
      <c r="Q401" t="n">
        <v>0</v>
      </c>
      <c r="R401" s="2" t="inlineStr"/>
    </row>
    <row r="402" ht="15" customHeight="1">
      <c r="A402" t="inlineStr">
        <is>
          <t>A 53529-2024</t>
        </is>
      </c>
      <c r="B402" s="1" t="n">
        <v>45614</v>
      </c>
      <c r="C402" s="1" t="n">
        <v>46053</v>
      </c>
      <c r="D402" t="inlineStr">
        <is>
          <t>ÖSTERGÖTLANDS LÄN</t>
        </is>
      </c>
      <c r="E402" t="inlineStr">
        <is>
          <t>LINKÖPING</t>
        </is>
      </c>
      <c r="G402" t="n">
        <v>6.7</v>
      </c>
      <c r="H402" t="n">
        <v>0</v>
      </c>
      <c r="I402" t="n">
        <v>0</v>
      </c>
      <c r="J402" t="n">
        <v>0</v>
      </c>
      <c r="K402" t="n">
        <v>0</v>
      </c>
      <c r="L402" t="n">
        <v>0</v>
      </c>
      <c r="M402" t="n">
        <v>0</v>
      </c>
      <c r="N402" t="n">
        <v>0</v>
      </c>
      <c r="O402" t="n">
        <v>0</v>
      </c>
      <c r="P402" t="n">
        <v>0</v>
      </c>
      <c r="Q402" t="n">
        <v>0</v>
      </c>
      <c r="R402" s="2" t="inlineStr"/>
    </row>
    <row r="403" ht="15" customHeight="1">
      <c r="A403" t="inlineStr">
        <is>
          <t>A 56180-2024</t>
        </is>
      </c>
      <c r="B403" s="1" t="n">
        <v>45624.56611111111</v>
      </c>
      <c r="C403" s="1" t="n">
        <v>46053</v>
      </c>
      <c r="D403" t="inlineStr">
        <is>
          <t>ÖSTERGÖTLANDS LÄN</t>
        </is>
      </c>
      <c r="E403" t="inlineStr">
        <is>
          <t>LINKÖPING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20469-2025</t>
        </is>
      </c>
      <c r="B404" s="1" t="n">
        <v>45775</v>
      </c>
      <c r="C404" s="1" t="n">
        <v>46053</v>
      </c>
      <c r="D404" t="inlineStr">
        <is>
          <t>ÖSTERGÖTLANDS LÄN</t>
        </is>
      </c>
      <c r="E404" t="inlineStr">
        <is>
          <t>LINKÖPING</t>
        </is>
      </c>
      <c r="F404" t="inlineStr">
        <is>
          <t>Kyrkan</t>
        </is>
      </c>
      <c r="G404" t="n">
        <v>6.1</v>
      </c>
      <c r="H404" t="n">
        <v>0</v>
      </c>
      <c r="I404" t="n">
        <v>0</v>
      </c>
      <c r="J404" t="n">
        <v>0</v>
      </c>
      <c r="K404" t="n">
        <v>0</v>
      </c>
      <c r="L404" t="n">
        <v>0</v>
      </c>
      <c r="M404" t="n">
        <v>0</v>
      </c>
      <c r="N404" t="n">
        <v>0</v>
      </c>
      <c r="O404" t="n">
        <v>0</v>
      </c>
      <c r="P404" t="n">
        <v>0</v>
      </c>
      <c r="Q404" t="n">
        <v>0</v>
      </c>
      <c r="R404" s="2" t="inlineStr"/>
    </row>
    <row r="405" ht="15" customHeight="1">
      <c r="A405" t="inlineStr">
        <is>
          <t>A 938-2023</t>
        </is>
      </c>
      <c r="B405" s="1" t="n">
        <v>44933</v>
      </c>
      <c r="C405" s="1" t="n">
        <v>46053</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25418-2023</t>
        </is>
      </c>
      <c r="B406" s="1" t="n">
        <v>45089</v>
      </c>
      <c r="C406" s="1" t="n">
        <v>46053</v>
      </c>
      <c r="D406" t="inlineStr">
        <is>
          <t>ÖSTERGÖTLANDS LÄN</t>
        </is>
      </c>
      <c r="E406" t="inlineStr">
        <is>
          <t>LINKÖPING</t>
        </is>
      </c>
      <c r="F406" t="inlineStr">
        <is>
          <t>Övriga Aktiebolag</t>
        </is>
      </c>
      <c r="G406" t="n">
        <v>2.4</v>
      </c>
      <c r="H406" t="n">
        <v>0</v>
      </c>
      <c r="I406" t="n">
        <v>0</v>
      </c>
      <c r="J406" t="n">
        <v>0</v>
      </c>
      <c r="K406" t="n">
        <v>0</v>
      </c>
      <c r="L406" t="n">
        <v>0</v>
      </c>
      <c r="M406" t="n">
        <v>0</v>
      </c>
      <c r="N406" t="n">
        <v>0</v>
      </c>
      <c r="O406" t="n">
        <v>0</v>
      </c>
      <c r="P406" t="n">
        <v>0</v>
      </c>
      <c r="Q406" t="n">
        <v>0</v>
      </c>
      <c r="R406" s="2" t="inlineStr"/>
    </row>
    <row r="407" ht="15" customHeight="1">
      <c r="A407" t="inlineStr">
        <is>
          <t>A 60007-2022</t>
        </is>
      </c>
      <c r="B407" s="1" t="n">
        <v>44909.47282407407</v>
      </c>
      <c r="C407" s="1" t="n">
        <v>46053</v>
      </c>
      <c r="D407" t="inlineStr">
        <is>
          <t>ÖSTERGÖTLANDS LÄN</t>
        </is>
      </c>
      <c r="E407" t="inlineStr">
        <is>
          <t>LINKÖPING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33800-2023</t>
        </is>
      </c>
      <c r="B408" s="1" t="n">
        <v>45121</v>
      </c>
      <c r="C408" s="1" t="n">
        <v>46053</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47991-2023</t>
        </is>
      </c>
      <c r="B409" s="1" t="n">
        <v>45204.62655092592</v>
      </c>
      <c r="C409" s="1" t="n">
        <v>46053</v>
      </c>
      <c r="D409" t="inlineStr">
        <is>
          <t>ÖSTERGÖTLANDS LÄN</t>
        </is>
      </c>
      <c r="E409" t="inlineStr">
        <is>
          <t>LINKÖPING</t>
        </is>
      </c>
      <c r="F409" t="inlineStr">
        <is>
          <t>Allmännings- och besparingsskogar</t>
        </is>
      </c>
      <c r="G409" t="n">
        <v>7.3</v>
      </c>
      <c r="H409" t="n">
        <v>0</v>
      </c>
      <c r="I409" t="n">
        <v>0</v>
      </c>
      <c r="J409" t="n">
        <v>0</v>
      </c>
      <c r="K409" t="n">
        <v>0</v>
      </c>
      <c r="L409" t="n">
        <v>0</v>
      </c>
      <c r="M409" t="n">
        <v>0</v>
      </c>
      <c r="N409" t="n">
        <v>0</v>
      </c>
      <c r="O409" t="n">
        <v>0</v>
      </c>
      <c r="P409" t="n">
        <v>0</v>
      </c>
      <c r="Q409" t="n">
        <v>0</v>
      </c>
      <c r="R409" s="2" t="inlineStr"/>
    </row>
    <row r="410" ht="15" customHeight="1">
      <c r="A410" t="inlineStr">
        <is>
          <t>A 11601-2023</t>
        </is>
      </c>
      <c r="B410" s="1" t="n">
        <v>44994</v>
      </c>
      <c r="C410" s="1" t="n">
        <v>46053</v>
      </c>
      <c r="D410" t="inlineStr">
        <is>
          <t>ÖSTERGÖTLANDS LÄN</t>
        </is>
      </c>
      <c r="E410" t="inlineStr">
        <is>
          <t>LINKÖPING</t>
        </is>
      </c>
      <c r="G410" t="n">
        <v>1.7</v>
      </c>
      <c r="H410" t="n">
        <v>0</v>
      </c>
      <c r="I410" t="n">
        <v>0</v>
      </c>
      <c r="J410" t="n">
        <v>0</v>
      </c>
      <c r="K410" t="n">
        <v>0</v>
      </c>
      <c r="L410" t="n">
        <v>0</v>
      </c>
      <c r="M410" t="n">
        <v>0</v>
      </c>
      <c r="N410" t="n">
        <v>0</v>
      </c>
      <c r="O410" t="n">
        <v>0</v>
      </c>
      <c r="P410" t="n">
        <v>0</v>
      </c>
      <c r="Q410" t="n">
        <v>0</v>
      </c>
      <c r="R410" s="2" t="inlineStr"/>
    </row>
    <row r="411" ht="15" customHeight="1">
      <c r="A411" t="inlineStr">
        <is>
          <t>A 35178-2025</t>
        </is>
      </c>
      <c r="B411" s="1" t="n">
        <v>45852.91939814815</v>
      </c>
      <c r="C411" s="1" t="n">
        <v>46053</v>
      </c>
      <c r="D411" t="inlineStr">
        <is>
          <t>ÖSTERGÖTLANDS LÄN</t>
        </is>
      </c>
      <c r="E411" t="inlineStr">
        <is>
          <t>LINKÖPING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35174-2025</t>
        </is>
      </c>
      <c r="B412" s="1" t="n">
        <v>45852.90648148148</v>
      </c>
      <c r="C412" s="1" t="n">
        <v>46053</v>
      </c>
      <c r="D412" t="inlineStr">
        <is>
          <t>ÖSTERGÖTLANDS LÄN</t>
        </is>
      </c>
      <c r="E412" t="inlineStr">
        <is>
          <t>LINKÖPING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26007-2025</t>
        </is>
      </c>
      <c r="B413" s="1" t="n">
        <v>45804.67081018518</v>
      </c>
      <c r="C413" s="1" t="n">
        <v>46053</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35179-2025</t>
        </is>
      </c>
      <c r="B414" s="1" t="n">
        <v>45852.93737268518</v>
      </c>
      <c r="C414" s="1" t="n">
        <v>46053</v>
      </c>
      <c r="D414" t="inlineStr">
        <is>
          <t>ÖSTERGÖTLANDS LÄN</t>
        </is>
      </c>
      <c r="E414" t="inlineStr">
        <is>
          <t>LINKÖPING</t>
        </is>
      </c>
      <c r="G414" t="n">
        <v>2.2</v>
      </c>
      <c r="H414" t="n">
        <v>0</v>
      </c>
      <c r="I414" t="n">
        <v>0</v>
      </c>
      <c r="J414" t="n">
        <v>0</v>
      </c>
      <c r="K414" t="n">
        <v>0</v>
      </c>
      <c r="L414" t="n">
        <v>0</v>
      </c>
      <c r="M414" t="n">
        <v>0</v>
      </c>
      <c r="N414" t="n">
        <v>0</v>
      </c>
      <c r="O414" t="n">
        <v>0</v>
      </c>
      <c r="P414" t="n">
        <v>0</v>
      </c>
      <c r="Q414" t="n">
        <v>0</v>
      </c>
      <c r="R414" s="2" t="inlineStr"/>
    </row>
    <row r="415" ht="15" customHeight="1">
      <c r="A415" t="inlineStr">
        <is>
          <t>A 35180-2025</t>
        </is>
      </c>
      <c r="B415" s="1" t="n">
        <v>45852.9413425926</v>
      </c>
      <c r="C415" s="1" t="n">
        <v>46053</v>
      </c>
      <c r="D415" t="inlineStr">
        <is>
          <t>ÖSTERGÖTLANDS LÄN</t>
        </is>
      </c>
      <c r="E415" t="inlineStr">
        <is>
          <t>LINKÖPING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1260-2023</t>
        </is>
      </c>
      <c r="B416" s="1" t="n">
        <v>44936</v>
      </c>
      <c r="C416" s="1" t="n">
        <v>46053</v>
      </c>
      <c r="D416" t="inlineStr">
        <is>
          <t>ÖSTERGÖTLANDS LÄN</t>
        </is>
      </c>
      <c r="E416" t="inlineStr">
        <is>
          <t>LINKÖPING</t>
        </is>
      </c>
      <c r="G416" t="n">
        <v>1.2</v>
      </c>
      <c r="H416" t="n">
        <v>0</v>
      </c>
      <c r="I416" t="n">
        <v>0</v>
      </c>
      <c r="J416" t="n">
        <v>0</v>
      </c>
      <c r="K416" t="n">
        <v>0</v>
      </c>
      <c r="L416" t="n">
        <v>0</v>
      </c>
      <c r="M416" t="n">
        <v>0</v>
      </c>
      <c r="N416" t="n">
        <v>0</v>
      </c>
      <c r="O416" t="n">
        <v>0</v>
      </c>
      <c r="P416" t="n">
        <v>0</v>
      </c>
      <c r="Q416" t="n">
        <v>0</v>
      </c>
      <c r="R416" s="2" t="inlineStr"/>
    </row>
    <row r="417" ht="15" customHeight="1">
      <c r="A417" t="inlineStr">
        <is>
          <t>A 7702-2023</t>
        </is>
      </c>
      <c r="B417" s="1" t="n">
        <v>44967</v>
      </c>
      <c r="C417" s="1" t="n">
        <v>46053</v>
      </c>
      <c r="D417" t="inlineStr">
        <is>
          <t>ÖSTERGÖTLANDS LÄN</t>
        </is>
      </c>
      <c r="E417" t="inlineStr">
        <is>
          <t>LINKÖPING</t>
        </is>
      </c>
      <c r="F417" t="inlineStr">
        <is>
          <t>Övriga statliga verk och myndigheter</t>
        </is>
      </c>
      <c r="G417" t="n">
        <v>8</v>
      </c>
      <c r="H417" t="n">
        <v>0</v>
      </c>
      <c r="I417" t="n">
        <v>0</v>
      </c>
      <c r="J417" t="n">
        <v>0</v>
      </c>
      <c r="K417" t="n">
        <v>0</v>
      </c>
      <c r="L417" t="n">
        <v>0</v>
      </c>
      <c r="M417" t="n">
        <v>0</v>
      </c>
      <c r="N417" t="n">
        <v>0</v>
      </c>
      <c r="O417" t="n">
        <v>0</v>
      </c>
      <c r="P417" t="n">
        <v>0</v>
      </c>
      <c r="Q417" t="n">
        <v>0</v>
      </c>
      <c r="R417" s="2" t="inlineStr"/>
    </row>
    <row r="418" ht="15" customHeight="1">
      <c r="A418" t="inlineStr">
        <is>
          <t>A 35747-2025</t>
        </is>
      </c>
      <c r="B418" s="1" t="n">
        <v>45860.56385416666</v>
      </c>
      <c r="C418" s="1" t="n">
        <v>46053</v>
      </c>
      <c r="D418" t="inlineStr">
        <is>
          <t>ÖSTERGÖTLANDS LÄN</t>
        </is>
      </c>
      <c r="E418" t="inlineStr">
        <is>
          <t>LINKÖPING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674-2024</t>
        </is>
      </c>
      <c r="B419" s="1" t="n">
        <v>45300.34408564815</v>
      </c>
      <c r="C419" s="1" t="n">
        <v>46053</v>
      </c>
      <c r="D419" t="inlineStr">
        <is>
          <t>ÖSTERGÖTLANDS LÄN</t>
        </is>
      </c>
      <c r="E419" t="inlineStr">
        <is>
          <t>LINKÖPING</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63684-2023</t>
        </is>
      </c>
      <c r="B420" s="1" t="n">
        <v>45275</v>
      </c>
      <c r="C420" s="1" t="n">
        <v>46053</v>
      </c>
      <c r="D420" t="inlineStr">
        <is>
          <t>ÖSTERGÖTLANDS LÄN</t>
        </is>
      </c>
      <c r="E420" t="inlineStr">
        <is>
          <t>LINKÖPING</t>
        </is>
      </c>
      <c r="G420" t="n">
        <v>0.4</v>
      </c>
      <c r="H420" t="n">
        <v>0</v>
      </c>
      <c r="I420" t="n">
        <v>0</v>
      </c>
      <c r="J420" t="n">
        <v>0</v>
      </c>
      <c r="K420" t="n">
        <v>0</v>
      </c>
      <c r="L420" t="n">
        <v>0</v>
      </c>
      <c r="M420" t="n">
        <v>0</v>
      </c>
      <c r="N420" t="n">
        <v>0</v>
      </c>
      <c r="O420" t="n">
        <v>0</v>
      </c>
      <c r="P420" t="n">
        <v>0</v>
      </c>
      <c r="Q420" t="n">
        <v>0</v>
      </c>
      <c r="R420" s="2" t="inlineStr"/>
    </row>
    <row r="421" ht="15" customHeight="1">
      <c r="A421" t="inlineStr">
        <is>
          <t>A 167-2024</t>
        </is>
      </c>
      <c r="B421" s="1" t="n">
        <v>45294</v>
      </c>
      <c r="C421" s="1" t="n">
        <v>46053</v>
      </c>
      <c r="D421" t="inlineStr">
        <is>
          <t>ÖSTERGÖTLANDS LÄN</t>
        </is>
      </c>
      <c r="E421" t="inlineStr">
        <is>
          <t>LINKÖPING</t>
        </is>
      </c>
      <c r="F421" t="inlineStr">
        <is>
          <t>Allmännings- och besparingsskogar</t>
        </is>
      </c>
      <c r="G421" t="n">
        <v>11.6</v>
      </c>
      <c r="H421" t="n">
        <v>0</v>
      </c>
      <c r="I421" t="n">
        <v>0</v>
      </c>
      <c r="J421" t="n">
        <v>0</v>
      </c>
      <c r="K421" t="n">
        <v>0</v>
      </c>
      <c r="L421" t="n">
        <v>0</v>
      </c>
      <c r="M421" t="n">
        <v>0</v>
      </c>
      <c r="N421" t="n">
        <v>0</v>
      </c>
      <c r="O421" t="n">
        <v>0</v>
      </c>
      <c r="P421" t="n">
        <v>0</v>
      </c>
      <c r="Q421" t="n">
        <v>0</v>
      </c>
      <c r="R421" s="2" t="inlineStr"/>
    </row>
    <row r="422" ht="15" customHeight="1">
      <c r="A422" t="inlineStr">
        <is>
          <t>A 36725-2023</t>
        </is>
      </c>
      <c r="B422" s="1" t="n">
        <v>45153.68471064815</v>
      </c>
      <c r="C422" s="1" t="n">
        <v>46053</v>
      </c>
      <c r="D422" t="inlineStr">
        <is>
          <t>ÖSTERGÖTLANDS LÄN</t>
        </is>
      </c>
      <c r="E422" t="inlineStr">
        <is>
          <t>LINKÖPING</t>
        </is>
      </c>
      <c r="F422" t="inlineStr">
        <is>
          <t>Allmännings- och besparingsskogar</t>
        </is>
      </c>
      <c r="G422" t="n">
        <v>2.6</v>
      </c>
      <c r="H422" t="n">
        <v>0</v>
      </c>
      <c r="I422" t="n">
        <v>0</v>
      </c>
      <c r="J422" t="n">
        <v>0</v>
      </c>
      <c r="K422" t="n">
        <v>0</v>
      </c>
      <c r="L422" t="n">
        <v>0</v>
      </c>
      <c r="M422" t="n">
        <v>0</v>
      </c>
      <c r="N422" t="n">
        <v>0</v>
      </c>
      <c r="O422" t="n">
        <v>0</v>
      </c>
      <c r="P422" t="n">
        <v>0</v>
      </c>
      <c r="Q422" t="n">
        <v>0</v>
      </c>
      <c r="R422" s="2" t="inlineStr"/>
    </row>
    <row r="423" ht="15" customHeight="1">
      <c r="A423" t="inlineStr">
        <is>
          <t>A 35745-2025</t>
        </is>
      </c>
      <c r="B423" s="1" t="n">
        <v>45860.54739583333</v>
      </c>
      <c r="C423" s="1" t="n">
        <v>46053</v>
      </c>
      <c r="D423" t="inlineStr">
        <is>
          <t>ÖSTERGÖTLANDS LÄN</t>
        </is>
      </c>
      <c r="E423" t="inlineStr">
        <is>
          <t>LINKÖPING</t>
        </is>
      </c>
      <c r="G423" t="n">
        <v>4.4</v>
      </c>
      <c r="H423" t="n">
        <v>0</v>
      </c>
      <c r="I423" t="n">
        <v>0</v>
      </c>
      <c r="J423" t="n">
        <v>0</v>
      </c>
      <c r="K423" t="n">
        <v>0</v>
      </c>
      <c r="L423" t="n">
        <v>0</v>
      </c>
      <c r="M423" t="n">
        <v>0</v>
      </c>
      <c r="N423" t="n">
        <v>0</v>
      </c>
      <c r="O423" t="n">
        <v>0</v>
      </c>
      <c r="P423" t="n">
        <v>0</v>
      </c>
      <c r="Q423" t="n">
        <v>0</v>
      </c>
      <c r="R423" s="2" t="inlineStr"/>
    </row>
    <row r="424" ht="15" customHeight="1">
      <c r="A424" t="inlineStr">
        <is>
          <t>A 35757-2025</t>
        </is>
      </c>
      <c r="B424" s="1" t="n">
        <v>45860.59876157407</v>
      </c>
      <c r="C424" s="1" t="n">
        <v>46053</v>
      </c>
      <c r="D424" t="inlineStr">
        <is>
          <t>ÖSTERGÖTLANDS LÄN</t>
        </is>
      </c>
      <c r="E424" t="inlineStr">
        <is>
          <t>LINKÖPING</t>
        </is>
      </c>
      <c r="G424" t="n">
        <v>5.7</v>
      </c>
      <c r="H424" t="n">
        <v>0</v>
      </c>
      <c r="I424" t="n">
        <v>0</v>
      </c>
      <c r="J424" t="n">
        <v>0</v>
      </c>
      <c r="K424" t="n">
        <v>0</v>
      </c>
      <c r="L424" t="n">
        <v>0</v>
      </c>
      <c r="M424" t="n">
        <v>0</v>
      </c>
      <c r="N424" t="n">
        <v>0</v>
      </c>
      <c r="O424" t="n">
        <v>0</v>
      </c>
      <c r="P424" t="n">
        <v>0</v>
      </c>
      <c r="Q424" t="n">
        <v>0</v>
      </c>
      <c r="R424" s="2" t="inlineStr"/>
    </row>
    <row r="425" ht="15" customHeight="1">
      <c r="A425" t="inlineStr">
        <is>
          <t>A 27343-2023</t>
        </is>
      </c>
      <c r="B425" s="1" t="n">
        <v>45096</v>
      </c>
      <c r="C425" s="1" t="n">
        <v>46053</v>
      </c>
      <c r="D425" t="inlineStr">
        <is>
          <t>ÖSTERGÖTLANDS LÄN</t>
        </is>
      </c>
      <c r="E425" t="inlineStr">
        <is>
          <t>LINKÖPING</t>
        </is>
      </c>
      <c r="F425" t="inlineStr">
        <is>
          <t>Allmännings- och besparingsskogar</t>
        </is>
      </c>
      <c r="G425" t="n">
        <v>6.9</v>
      </c>
      <c r="H425" t="n">
        <v>0</v>
      </c>
      <c r="I425" t="n">
        <v>0</v>
      </c>
      <c r="J425" t="n">
        <v>0</v>
      </c>
      <c r="K425" t="n">
        <v>0</v>
      </c>
      <c r="L425" t="n">
        <v>0</v>
      </c>
      <c r="M425" t="n">
        <v>0</v>
      </c>
      <c r="N425" t="n">
        <v>0</v>
      </c>
      <c r="O425" t="n">
        <v>0</v>
      </c>
      <c r="P425" t="n">
        <v>0</v>
      </c>
      <c r="Q425" t="n">
        <v>0</v>
      </c>
      <c r="R425" s="2" t="inlineStr"/>
    </row>
    <row r="426" ht="15" customHeight="1">
      <c r="A426" t="inlineStr">
        <is>
          <t>A 54333-2025</t>
        </is>
      </c>
      <c r="B426" s="1" t="n">
        <v>45965.35090277778</v>
      </c>
      <c r="C426" s="1" t="n">
        <v>46053</v>
      </c>
      <c r="D426" t="inlineStr">
        <is>
          <t>ÖSTERGÖTLANDS LÄN</t>
        </is>
      </c>
      <c r="E426" t="inlineStr">
        <is>
          <t>LINKÖPING</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35759-2025</t>
        </is>
      </c>
      <c r="B427" s="1" t="n">
        <v>45860</v>
      </c>
      <c r="C427" s="1" t="n">
        <v>46053</v>
      </c>
      <c r="D427" t="inlineStr">
        <is>
          <t>ÖSTERGÖTLANDS LÄN</t>
        </is>
      </c>
      <c r="E427" t="inlineStr">
        <is>
          <t>LINKÖPING</t>
        </is>
      </c>
      <c r="G427" t="n">
        <v>1</v>
      </c>
      <c r="H427" t="n">
        <v>0</v>
      </c>
      <c r="I427" t="n">
        <v>0</v>
      </c>
      <c r="J427" t="n">
        <v>0</v>
      </c>
      <c r="K427" t="n">
        <v>0</v>
      </c>
      <c r="L427" t="n">
        <v>0</v>
      </c>
      <c r="M427" t="n">
        <v>0</v>
      </c>
      <c r="N427" t="n">
        <v>0</v>
      </c>
      <c r="O427" t="n">
        <v>0</v>
      </c>
      <c r="P427" t="n">
        <v>0</v>
      </c>
      <c r="Q427" t="n">
        <v>0</v>
      </c>
      <c r="R427" s="2" t="inlineStr"/>
    </row>
    <row r="428" ht="15" customHeight="1">
      <c r="A428" t="inlineStr">
        <is>
          <t>A 22774-2024</t>
        </is>
      </c>
      <c r="B428" s="1" t="n">
        <v>45448.46924768519</v>
      </c>
      <c r="C428" s="1" t="n">
        <v>46053</v>
      </c>
      <c r="D428" t="inlineStr">
        <is>
          <t>ÖSTERGÖTLANDS LÄN</t>
        </is>
      </c>
      <c r="E428" t="inlineStr">
        <is>
          <t>LINKÖPING</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22778-2024</t>
        </is>
      </c>
      <c r="B429" s="1" t="n">
        <v>45448.47233796296</v>
      </c>
      <c r="C429" s="1" t="n">
        <v>46053</v>
      </c>
      <c r="D429" t="inlineStr">
        <is>
          <t>ÖSTERGÖTLANDS LÄN</t>
        </is>
      </c>
      <c r="E429" t="inlineStr">
        <is>
          <t>LINKÖPING</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54332-2025</t>
        </is>
      </c>
      <c r="B430" s="1" t="n">
        <v>45965.34915509259</v>
      </c>
      <c r="C430" s="1" t="n">
        <v>46053</v>
      </c>
      <c r="D430" t="inlineStr">
        <is>
          <t>ÖSTERGÖTLANDS LÄN</t>
        </is>
      </c>
      <c r="E430" t="inlineStr">
        <is>
          <t>LINKÖPING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34864-2023</t>
        </is>
      </c>
      <c r="B431" s="1" t="n">
        <v>45141</v>
      </c>
      <c r="C431" s="1" t="n">
        <v>46053</v>
      </c>
      <c r="D431" t="inlineStr">
        <is>
          <t>ÖSTERGÖTLANDS LÄN</t>
        </is>
      </c>
      <c r="E431" t="inlineStr">
        <is>
          <t>LINKÖPING</t>
        </is>
      </c>
      <c r="G431" t="n">
        <v>3.3</v>
      </c>
      <c r="H431" t="n">
        <v>0</v>
      </c>
      <c r="I431" t="n">
        <v>0</v>
      </c>
      <c r="J431" t="n">
        <v>0</v>
      </c>
      <c r="K431" t="n">
        <v>0</v>
      </c>
      <c r="L431" t="n">
        <v>0</v>
      </c>
      <c r="M431" t="n">
        <v>0</v>
      </c>
      <c r="N431" t="n">
        <v>0</v>
      </c>
      <c r="O431" t="n">
        <v>0</v>
      </c>
      <c r="P431" t="n">
        <v>0</v>
      </c>
      <c r="Q431" t="n">
        <v>0</v>
      </c>
      <c r="R431" s="2" t="inlineStr"/>
    </row>
    <row r="432" ht="15" customHeight="1">
      <c r="A432" t="inlineStr">
        <is>
          <t>A 52531-2023</t>
        </is>
      </c>
      <c r="B432" s="1" t="n">
        <v>45225</v>
      </c>
      <c r="C432" s="1" t="n">
        <v>46053</v>
      </c>
      <c r="D432" t="inlineStr">
        <is>
          <t>ÖSTERGÖTLANDS LÄN</t>
        </is>
      </c>
      <c r="E432" t="inlineStr">
        <is>
          <t>LINKÖPING</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34930-2023</t>
        </is>
      </c>
      <c r="B433" s="1" t="n">
        <v>45142</v>
      </c>
      <c r="C433" s="1" t="n">
        <v>46053</v>
      </c>
      <c r="D433" t="inlineStr">
        <is>
          <t>ÖSTERGÖTLANDS LÄN</t>
        </is>
      </c>
      <c r="E433" t="inlineStr">
        <is>
          <t>LINKÖPING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54329-2025</t>
        </is>
      </c>
      <c r="B434" s="1" t="n">
        <v>45965.34706018519</v>
      </c>
      <c r="C434" s="1" t="n">
        <v>46053</v>
      </c>
      <c r="D434" t="inlineStr">
        <is>
          <t>ÖSTERGÖTLANDS LÄN</t>
        </is>
      </c>
      <c r="E434" t="inlineStr">
        <is>
          <t>LINKÖPING</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30985-2022</t>
        </is>
      </c>
      <c r="B435" s="1" t="n">
        <v>44768</v>
      </c>
      <c r="C435" s="1" t="n">
        <v>46053</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55109-2025</t>
        </is>
      </c>
      <c r="B436" s="1" t="n">
        <v>45968.37731481482</v>
      </c>
      <c r="C436" s="1" t="n">
        <v>46053</v>
      </c>
      <c r="D436" t="inlineStr">
        <is>
          <t>ÖSTERGÖTLANDS LÄN</t>
        </is>
      </c>
      <c r="E436" t="inlineStr">
        <is>
          <t>LINKÖPING</t>
        </is>
      </c>
      <c r="G436" t="n">
        <v>3.2</v>
      </c>
      <c r="H436" t="n">
        <v>0</v>
      </c>
      <c r="I436" t="n">
        <v>0</v>
      </c>
      <c r="J436" t="n">
        <v>0</v>
      </c>
      <c r="K436" t="n">
        <v>0</v>
      </c>
      <c r="L436" t="n">
        <v>0</v>
      </c>
      <c r="M436" t="n">
        <v>0</v>
      </c>
      <c r="N436" t="n">
        <v>0</v>
      </c>
      <c r="O436" t="n">
        <v>0</v>
      </c>
      <c r="P436" t="n">
        <v>0</v>
      </c>
      <c r="Q436" t="n">
        <v>0</v>
      </c>
      <c r="R436" s="2" t="inlineStr"/>
    </row>
    <row r="437" ht="15" customHeight="1">
      <c r="A437" t="inlineStr">
        <is>
          <t>A 55165-2025</t>
        </is>
      </c>
      <c r="B437" s="1" t="n">
        <v>45968.48194444444</v>
      </c>
      <c r="C437" s="1" t="n">
        <v>46053</v>
      </c>
      <c r="D437" t="inlineStr">
        <is>
          <t>ÖSTERGÖTLANDS LÄN</t>
        </is>
      </c>
      <c r="E437" t="inlineStr">
        <is>
          <t>LINKÖPING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55102-2025</t>
        </is>
      </c>
      <c r="B438" s="1" t="n">
        <v>45968.35410879629</v>
      </c>
      <c r="C438" s="1" t="n">
        <v>46053</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55132-2025</t>
        </is>
      </c>
      <c r="B439" s="1" t="n">
        <v>45968.41912037037</v>
      </c>
      <c r="C439" s="1" t="n">
        <v>46053</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59642-2024</t>
        </is>
      </c>
      <c r="B440" s="1" t="n">
        <v>45639.31511574074</v>
      </c>
      <c r="C440" s="1" t="n">
        <v>46053</v>
      </c>
      <c r="D440" t="inlineStr">
        <is>
          <t>ÖSTERGÖTLANDS LÄN</t>
        </is>
      </c>
      <c r="E440" t="inlineStr">
        <is>
          <t>LINKÖPING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15748-2025</t>
        </is>
      </c>
      <c r="B441" s="1" t="n">
        <v>45748.55282407408</v>
      </c>
      <c r="C441" s="1" t="n">
        <v>46053</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31792-2021</t>
        </is>
      </c>
      <c r="B442" s="1" t="n">
        <v>44369</v>
      </c>
      <c r="C442" s="1" t="n">
        <v>46053</v>
      </c>
      <c r="D442" t="inlineStr">
        <is>
          <t>ÖSTERGÖTLANDS LÄN</t>
        </is>
      </c>
      <c r="E442" t="inlineStr">
        <is>
          <t>LINKÖPING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25097-2023</t>
        </is>
      </c>
      <c r="B443" s="1" t="n">
        <v>45086</v>
      </c>
      <c r="C443" s="1" t="n">
        <v>46053</v>
      </c>
      <c r="D443" t="inlineStr">
        <is>
          <t>ÖSTERGÖTLANDS LÄN</t>
        </is>
      </c>
      <c r="E443" t="inlineStr">
        <is>
          <t>LINKÖPING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35735-2023</t>
        </is>
      </c>
      <c r="B444" s="1" t="n">
        <v>45147</v>
      </c>
      <c r="C444" s="1" t="n">
        <v>46053</v>
      </c>
      <c r="D444" t="inlineStr">
        <is>
          <t>ÖSTERGÖTLANDS LÄN</t>
        </is>
      </c>
      <c r="E444" t="inlineStr">
        <is>
          <t>LINKÖPING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16462-2021</t>
        </is>
      </c>
      <c r="B445" s="1" t="n">
        <v>44293</v>
      </c>
      <c r="C445" s="1" t="n">
        <v>46053</v>
      </c>
      <c r="D445" t="inlineStr">
        <is>
          <t>ÖSTERGÖTLANDS LÄN</t>
        </is>
      </c>
      <c r="E445" t="inlineStr">
        <is>
          <t>LINKÖPING</t>
        </is>
      </c>
      <c r="F445" t="inlineStr">
        <is>
          <t>Allmännings- och besparingsskogar</t>
        </is>
      </c>
      <c r="G445" t="n">
        <v>24.7</v>
      </c>
      <c r="H445" t="n">
        <v>0</v>
      </c>
      <c r="I445" t="n">
        <v>0</v>
      </c>
      <c r="J445" t="n">
        <v>0</v>
      </c>
      <c r="K445" t="n">
        <v>0</v>
      </c>
      <c r="L445" t="n">
        <v>0</v>
      </c>
      <c r="M445" t="n">
        <v>0</v>
      </c>
      <c r="N445" t="n">
        <v>0</v>
      </c>
      <c r="O445" t="n">
        <v>0</v>
      </c>
      <c r="P445" t="n">
        <v>0</v>
      </c>
      <c r="Q445" t="n">
        <v>0</v>
      </c>
      <c r="R445" s="2" t="inlineStr"/>
    </row>
    <row r="446" ht="15" customHeight="1">
      <c r="A446" t="inlineStr">
        <is>
          <t>A 25776-2021</t>
        </is>
      </c>
      <c r="B446" s="1" t="n">
        <v>44343</v>
      </c>
      <c r="C446" s="1" t="n">
        <v>46053</v>
      </c>
      <c r="D446" t="inlineStr">
        <is>
          <t>ÖSTERGÖTLANDS LÄN</t>
        </is>
      </c>
      <c r="E446" t="inlineStr">
        <is>
          <t>LINKÖPING</t>
        </is>
      </c>
      <c r="G446" t="n">
        <v>2.6</v>
      </c>
      <c r="H446" t="n">
        <v>0</v>
      </c>
      <c r="I446" t="n">
        <v>0</v>
      </c>
      <c r="J446" t="n">
        <v>0</v>
      </c>
      <c r="K446" t="n">
        <v>0</v>
      </c>
      <c r="L446" t="n">
        <v>0</v>
      </c>
      <c r="M446" t="n">
        <v>0</v>
      </c>
      <c r="N446" t="n">
        <v>0</v>
      </c>
      <c r="O446" t="n">
        <v>0</v>
      </c>
      <c r="P446" t="n">
        <v>0</v>
      </c>
      <c r="Q446" t="n">
        <v>0</v>
      </c>
      <c r="R446" s="2" t="inlineStr"/>
    </row>
    <row r="447" ht="15" customHeight="1">
      <c r="A447" t="inlineStr">
        <is>
          <t>A 30856-2022</t>
        </is>
      </c>
      <c r="B447" s="1" t="n">
        <v>44767</v>
      </c>
      <c r="C447" s="1" t="n">
        <v>46053</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19187-2021</t>
        </is>
      </c>
      <c r="B448" s="1" t="n">
        <v>44308</v>
      </c>
      <c r="C448" s="1" t="n">
        <v>46053</v>
      </c>
      <c r="D448" t="inlineStr">
        <is>
          <t>ÖSTERGÖTLANDS LÄN</t>
        </is>
      </c>
      <c r="E448" t="inlineStr">
        <is>
          <t>LINKÖPING</t>
        </is>
      </c>
      <c r="F448" t="inlineStr">
        <is>
          <t>Allmännings- och besparingsskogar</t>
        </is>
      </c>
      <c r="G448" t="n">
        <v>20</v>
      </c>
      <c r="H448" t="n">
        <v>0</v>
      </c>
      <c r="I448" t="n">
        <v>0</v>
      </c>
      <c r="J448" t="n">
        <v>0</v>
      </c>
      <c r="K448" t="n">
        <v>0</v>
      </c>
      <c r="L448" t="n">
        <v>0</v>
      </c>
      <c r="M448" t="n">
        <v>0</v>
      </c>
      <c r="N448" t="n">
        <v>0</v>
      </c>
      <c r="O448" t="n">
        <v>0</v>
      </c>
      <c r="P448" t="n">
        <v>0</v>
      </c>
      <c r="Q448" t="n">
        <v>0</v>
      </c>
      <c r="R448" s="2" t="inlineStr"/>
    </row>
    <row r="449" ht="15" customHeight="1">
      <c r="A449" t="inlineStr">
        <is>
          <t>A 37057-2025</t>
        </is>
      </c>
      <c r="B449" s="1" t="n">
        <v>45875.37489583333</v>
      </c>
      <c r="C449" s="1" t="n">
        <v>46053</v>
      </c>
      <c r="D449" t="inlineStr">
        <is>
          <t>ÖSTERGÖTLANDS LÄN</t>
        </is>
      </c>
      <c r="E449" t="inlineStr">
        <is>
          <t>LINKÖPING</t>
        </is>
      </c>
      <c r="G449" t="n">
        <v>3.3</v>
      </c>
      <c r="H449" t="n">
        <v>0</v>
      </c>
      <c r="I449" t="n">
        <v>0</v>
      </c>
      <c r="J449" t="n">
        <v>0</v>
      </c>
      <c r="K449" t="n">
        <v>0</v>
      </c>
      <c r="L449" t="n">
        <v>0</v>
      </c>
      <c r="M449" t="n">
        <v>0</v>
      </c>
      <c r="N449" t="n">
        <v>0</v>
      </c>
      <c r="O449" t="n">
        <v>0</v>
      </c>
      <c r="P449" t="n">
        <v>0</v>
      </c>
      <c r="Q449" t="n">
        <v>0</v>
      </c>
      <c r="R449" s="2" t="inlineStr"/>
    </row>
    <row r="450" ht="15" customHeight="1">
      <c r="A450" t="inlineStr">
        <is>
          <t>A 39219-2021</t>
        </is>
      </c>
      <c r="B450" s="1" t="n">
        <v>44413</v>
      </c>
      <c r="C450" s="1" t="n">
        <v>46053</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39224-2021</t>
        </is>
      </c>
      <c r="B451" s="1" t="n">
        <v>44413</v>
      </c>
      <c r="C451" s="1" t="n">
        <v>46053</v>
      </c>
      <c r="D451" t="inlineStr">
        <is>
          <t>ÖSTERGÖTLANDS LÄN</t>
        </is>
      </c>
      <c r="E451" t="inlineStr">
        <is>
          <t>LINKÖPING</t>
        </is>
      </c>
      <c r="G451" t="n">
        <v>2.1</v>
      </c>
      <c r="H451" t="n">
        <v>0</v>
      </c>
      <c r="I451" t="n">
        <v>0</v>
      </c>
      <c r="J451" t="n">
        <v>0</v>
      </c>
      <c r="K451" t="n">
        <v>0</v>
      </c>
      <c r="L451" t="n">
        <v>0</v>
      </c>
      <c r="M451" t="n">
        <v>0</v>
      </c>
      <c r="N451" t="n">
        <v>0</v>
      </c>
      <c r="O451" t="n">
        <v>0</v>
      </c>
      <c r="P451" t="n">
        <v>0</v>
      </c>
      <c r="Q451" t="n">
        <v>0</v>
      </c>
      <c r="R451" s="2" t="inlineStr"/>
    </row>
    <row r="452" ht="15" customHeight="1">
      <c r="A452" t="inlineStr">
        <is>
          <t>A 43934-2023</t>
        </is>
      </c>
      <c r="B452" s="1" t="n">
        <v>45187</v>
      </c>
      <c r="C452" s="1" t="n">
        <v>46053</v>
      </c>
      <c r="D452" t="inlineStr">
        <is>
          <t>ÖSTERGÖTLANDS LÄN</t>
        </is>
      </c>
      <c r="E452" t="inlineStr">
        <is>
          <t>LINKÖPING</t>
        </is>
      </c>
      <c r="F452" t="inlineStr">
        <is>
          <t>Övriga Aktiebolag</t>
        </is>
      </c>
      <c r="G452" t="n">
        <v>3.8</v>
      </c>
      <c r="H452" t="n">
        <v>0</v>
      </c>
      <c r="I452" t="n">
        <v>0</v>
      </c>
      <c r="J452" t="n">
        <v>0</v>
      </c>
      <c r="K452" t="n">
        <v>0</v>
      </c>
      <c r="L452" t="n">
        <v>0</v>
      </c>
      <c r="M452" t="n">
        <v>0</v>
      </c>
      <c r="N452" t="n">
        <v>0</v>
      </c>
      <c r="O452" t="n">
        <v>0</v>
      </c>
      <c r="P452" t="n">
        <v>0</v>
      </c>
      <c r="Q452" t="n">
        <v>0</v>
      </c>
      <c r="R452" s="2" t="inlineStr"/>
    </row>
    <row r="453" ht="15" customHeight="1">
      <c r="A453" t="inlineStr">
        <is>
          <t>A 25829-2025</t>
        </is>
      </c>
      <c r="B453" s="1" t="n">
        <v>45804.44505787037</v>
      </c>
      <c r="C453" s="1" t="n">
        <v>46053</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56105-2025</t>
        </is>
      </c>
      <c r="B454" s="1" t="n">
        <v>45973.72855324074</v>
      </c>
      <c r="C454" s="1" t="n">
        <v>46053</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46053</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56113-2025</t>
        </is>
      </c>
      <c r="B456" s="1" t="n">
        <v>45973.73924768518</v>
      </c>
      <c r="C456" s="1" t="n">
        <v>46053</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46053</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7354-2025</t>
        </is>
      </c>
      <c r="B458" s="1" t="n">
        <v>45704.41174768518</v>
      </c>
      <c r="C458" s="1" t="n">
        <v>46053</v>
      </c>
      <c r="D458" t="inlineStr">
        <is>
          <t>ÖSTERGÖTLANDS LÄN</t>
        </is>
      </c>
      <c r="E458" t="inlineStr">
        <is>
          <t>LINKÖPING</t>
        </is>
      </c>
      <c r="G458" t="n">
        <v>4.8</v>
      </c>
      <c r="H458" t="n">
        <v>0</v>
      </c>
      <c r="I458" t="n">
        <v>0</v>
      </c>
      <c r="J458" t="n">
        <v>0</v>
      </c>
      <c r="K458" t="n">
        <v>0</v>
      </c>
      <c r="L458" t="n">
        <v>0</v>
      </c>
      <c r="M458" t="n">
        <v>0</v>
      </c>
      <c r="N458" t="n">
        <v>0</v>
      </c>
      <c r="O458" t="n">
        <v>0</v>
      </c>
      <c r="P458" t="n">
        <v>0</v>
      </c>
      <c r="Q458" t="n">
        <v>0</v>
      </c>
      <c r="R458" s="2" t="inlineStr"/>
    </row>
    <row r="459" ht="15" customHeight="1">
      <c r="A459" t="inlineStr">
        <is>
          <t>A 63935-2021</t>
        </is>
      </c>
      <c r="B459" s="1" t="n">
        <v>44509</v>
      </c>
      <c r="C459" s="1" t="n">
        <v>46053</v>
      </c>
      <c r="D459" t="inlineStr">
        <is>
          <t>ÖSTERGÖTLANDS LÄN</t>
        </is>
      </c>
      <c r="E459" t="inlineStr">
        <is>
          <t>LINKÖPING</t>
        </is>
      </c>
      <c r="F459" t="inlineStr">
        <is>
          <t>Övriga statliga verk och myndigheter</t>
        </is>
      </c>
      <c r="G459" t="n">
        <v>2.8</v>
      </c>
      <c r="H459" t="n">
        <v>0</v>
      </c>
      <c r="I459" t="n">
        <v>0</v>
      </c>
      <c r="J459" t="n">
        <v>0</v>
      </c>
      <c r="K459" t="n">
        <v>0</v>
      </c>
      <c r="L459" t="n">
        <v>0</v>
      </c>
      <c r="M459" t="n">
        <v>0</v>
      </c>
      <c r="N459" t="n">
        <v>0</v>
      </c>
      <c r="O459" t="n">
        <v>0</v>
      </c>
      <c r="P459" t="n">
        <v>0</v>
      </c>
      <c r="Q459" t="n">
        <v>0</v>
      </c>
      <c r="R459" s="2" t="inlineStr"/>
    </row>
    <row r="460" ht="15" customHeight="1">
      <c r="A460" t="inlineStr">
        <is>
          <t>A 40810-2022</t>
        </is>
      </c>
      <c r="B460" s="1" t="n">
        <v>44824</v>
      </c>
      <c r="C460" s="1" t="n">
        <v>46053</v>
      </c>
      <c r="D460" t="inlineStr">
        <is>
          <t>ÖSTERGÖTLANDS LÄN</t>
        </is>
      </c>
      <c r="E460" t="inlineStr">
        <is>
          <t>LINKÖPING</t>
        </is>
      </c>
      <c r="G460" t="n">
        <v>2.8</v>
      </c>
      <c r="H460" t="n">
        <v>0</v>
      </c>
      <c r="I460" t="n">
        <v>0</v>
      </c>
      <c r="J460" t="n">
        <v>0</v>
      </c>
      <c r="K460" t="n">
        <v>0</v>
      </c>
      <c r="L460" t="n">
        <v>0</v>
      </c>
      <c r="M460" t="n">
        <v>0</v>
      </c>
      <c r="N460" t="n">
        <v>0</v>
      </c>
      <c r="O460" t="n">
        <v>0</v>
      </c>
      <c r="P460" t="n">
        <v>0</v>
      </c>
      <c r="Q460" t="n">
        <v>0</v>
      </c>
      <c r="R460" s="2" t="inlineStr"/>
    </row>
    <row r="461" ht="15" customHeight="1">
      <c r="A461" t="inlineStr">
        <is>
          <t>A 38046-2025</t>
        </is>
      </c>
      <c r="B461" s="1" t="n">
        <v>45882.39939814815</v>
      </c>
      <c r="C461" s="1" t="n">
        <v>46053</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20298-2025</t>
        </is>
      </c>
      <c r="B462" s="1" t="n">
        <v>45774.75024305555</v>
      </c>
      <c r="C462" s="1" t="n">
        <v>46053</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14576-2023</t>
        </is>
      </c>
      <c r="B463" s="1" t="n">
        <v>45013</v>
      </c>
      <c r="C463" s="1" t="n">
        <v>46053</v>
      </c>
      <c r="D463" t="inlineStr">
        <is>
          <t>ÖSTERGÖTLANDS LÄN</t>
        </is>
      </c>
      <c r="E463" t="inlineStr">
        <is>
          <t>LINKÖPING</t>
        </is>
      </c>
      <c r="G463" t="n">
        <v>3.2</v>
      </c>
      <c r="H463" t="n">
        <v>0</v>
      </c>
      <c r="I463" t="n">
        <v>0</v>
      </c>
      <c r="J463" t="n">
        <v>0</v>
      </c>
      <c r="K463" t="n">
        <v>0</v>
      </c>
      <c r="L463" t="n">
        <v>0</v>
      </c>
      <c r="M463" t="n">
        <v>0</v>
      </c>
      <c r="N463" t="n">
        <v>0</v>
      </c>
      <c r="O463" t="n">
        <v>0</v>
      </c>
      <c r="P463" t="n">
        <v>0</v>
      </c>
      <c r="Q463" t="n">
        <v>0</v>
      </c>
      <c r="R463" s="2" t="inlineStr"/>
    </row>
    <row r="464" ht="15" customHeight="1">
      <c r="A464" t="inlineStr">
        <is>
          <t>A 12089-2025</t>
        </is>
      </c>
      <c r="B464" s="1" t="n">
        <v>45729</v>
      </c>
      <c r="C464" s="1" t="n">
        <v>46053</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62321-2022</t>
        </is>
      </c>
      <c r="B465" s="1" t="n">
        <v>44916</v>
      </c>
      <c r="C465" s="1" t="n">
        <v>46053</v>
      </c>
      <c r="D465" t="inlineStr">
        <is>
          <t>ÖSTERGÖTLANDS LÄN</t>
        </is>
      </c>
      <c r="E465" t="inlineStr">
        <is>
          <t>LINKÖPING</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55004-2025</t>
        </is>
      </c>
      <c r="B466" s="1" t="n">
        <v>45967</v>
      </c>
      <c r="C466" s="1" t="n">
        <v>46053</v>
      </c>
      <c r="D466" t="inlineStr">
        <is>
          <t>ÖSTERGÖTLANDS LÄN</t>
        </is>
      </c>
      <c r="E466" t="inlineStr">
        <is>
          <t>LINKÖPING</t>
        </is>
      </c>
      <c r="G466" t="n">
        <v>2.5</v>
      </c>
      <c r="H466" t="n">
        <v>0</v>
      </c>
      <c r="I466" t="n">
        <v>0</v>
      </c>
      <c r="J466" t="n">
        <v>0</v>
      </c>
      <c r="K466" t="n">
        <v>0</v>
      </c>
      <c r="L466" t="n">
        <v>0</v>
      </c>
      <c r="M466" t="n">
        <v>0</v>
      </c>
      <c r="N466" t="n">
        <v>0</v>
      </c>
      <c r="O466" t="n">
        <v>0</v>
      </c>
      <c r="P466" t="n">
        <v>0</v>
      </c>
      <c r="Q466" t="n">
        <v>0</v>
      </c>
      <c r="R466" s="2" t="inlineStr"/>
    </row>
    <row r="467" ht="15" customHeight="1">
      <c r="A467" t="inlineStr">
        <is>
          <t>A 43475-2024</t>
        </is>
      </c>
      <c r="B467" s="1" t="n">
        <v>45568</v>
      </c>
      <c r="C467" s="1" t="n">
        <v>46053</v>
      </c>
      <c r="D467" t="inlineStr">
        <is>
          <t>ÖSTERGÖTLANDS LÄN</t>
        </is>
      </c>
      <c r="E467" t="inlineStr">
        <is>
          <t>LINKÖPING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17103-2025</t>
        </is>
      </c>
      <c r="B468" s="1" t="n">
        <v>45755.66143518518</v>
      </c>
      <c r="C468" s="1" t="n">
        <v>46053</v>
      </c>
      <c r="D468" t="inlineStr">
        <is>
          <t>ÖSTERGÖTLANDS LÄN</t>
        </is>
      </c>
      <c r="E468" t="inlineStr">
        <is>
          <t>LINKÖPING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30551-2023</t>
        </is>
      </c>
      <c r="B469" s="1" t="n">
        <v>45111</v>
      </c>
      <c r="C469" s="1" t="n">
        <v>46053</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856-2026</t>
        </is>
      </c>
      <c r="B470" s="1" t="n">
        <v>46030.40644675926</v>
      </c>
      <c r="C470" s="1" t="n">
        <v>46053</v>
      </c>
      <c r="D470" t="inlineStr">
        <is>
          <t>ÖSTERGÖTLANDS LÄN</t>
        </is>
      </c>
      <c r="E470" t="inlineStr">
        <is>
          <t>LINKÖPING</t>
        </is>
      </c>
      <c r="G470" t="n">
        <v>6.4</v>
      </c>
      <c r="H470" t="n">
        <v>0</v>
      </c>
      <c r="I470" t="n">
        <v>0</v>
      </c>
      <c r="J470" t="n">
        <v>0</v>
      </c>
      <c r="K470" t="n">
        <v>0</v>
      </c>
      <c r="L470" t="n">
        <v>0</v>
      </c>
      <c r="M470" t="n">
        <v>0</v>
      </c>
      <c r="N470" t="n">
        <v>0</v>
      </c>
      <c r="O470" t="n">
        <v>0</v>
      </c>
      <c r="P470" t="n">
        <v>0</v>
      </c>
      <c r="Q470" t="n">
        <v>0</v>
      </c>
      <c r="R470" s="2" t="inlineStr"/>
    </row>
    <row r="471" ht="15" customHeight="1">
      <c r="A471" t="inlineStr">
        <is>
          <t>A 50784-2022</t>
        </is>
      </c>
      <c r="B471" s="1" t="n">
        <v>44862</v>
      </c>
      <c r="C471" s="1" t="n">
        <v>46053</v>
      </c>
      <c r="D471" t="inlineStr">
        <is>
          <t>ÖSTERGÖTLANDS LÄN</t>
        </is>
      </c>
      <c r="E471" t="inlineStr">
        <is>
          <t>LINKÖPING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22043-2023</t>
        </is>
      </c>
      <c r="B472" s="1" t="n">
        <v>45069.39050925926</v>
      </c>
      <c r="C472" s="1" t="n">
        <v>46053</v>
      </c>
      <c r="D472" t="inlineStr">
        <is>
          <t>ÖSTERGÖTLANDS LÄN</t>
        </is>
      </c>
      <c r="E472" t="inlineStr">
        <is>
          <t>LINKÖPING</t>
        </is>
      </c>
      <c r="G472" t="n">
        <v>5.9</v>
      </c>
      <c r="H472" t="n">
        <v>0</v>
      </c>
      <c r="I472" t="n">
        <v>0</v>
      </c>
      <c r="J472" t="n">
        <v>0</v>
      </c>
      <c r="K472" t="n">
        <v>0</v>
      </c>
      <c r="L472" t="n">
        <v>0</v>
      </c>
      <c r="M472" t="n">
        <v>0</v>
      </c>
      <c r="N472" t="n">
        <v>0</v>
      </c>
      <c r="O472" t="n">
        <v>0</v>
      </c>
      <c r="P472" t="n">
        <v>0</v>
      </c>
      <c r="Q472" t="n">
        <v>0</v>
      </c>
      <c r="R472" s="2" t="inlineStr"/>
    </row>
    <row r="473" ht="15" customHeight="1">
      <c r="A473" t="inlineStr">
        <is>
          <t>A 859-2026</t>
        </is>
      </c>
      <c r="B473" s="1" t="n">
        <v>46030.41450231482</v>
      </c>
      <c r="C473" s="1" t="n">
        <v>46053</v>
      </c>
      <c r="D473" t="inlineStr">
        <is>
          <t>ÖSTERGÖTLANDS LÄN</t>
        </is>
      </c>
      <c r="E473" t="inlineStr">
        <is>
          <t>LINKÖPING</t>
        </is>
      </c>
      <c r="G473" t="n">
        <v>0.2</v>
      </c>
      <c r="H473" t="n">
        <v>0</v>
      </c>
      <c r="I473" t="n">
        <v>0</v>
      </c>
      <c r="J473" t="n">
        <v>0</v>
      </c>
      <c r="K473" t="n">
        <v>0</v>
      </c>
      <c r="L473" t="n">
        <v>0</v>
      </c>
      <c r="M473" t="n">
        <v>0</v>
      </c>
      <c r="N473" t="n">
        <v>0</v>
      </c>
      <c r="O473" t="n">
        <v>0</v>
      </c>
      <c r="P473" t="n">
        <v>0</v>
      </c>
      <c r="Q473" t="n">
        <v>0</v>
      </c>
      <c r="R473" s="2" t="inlineStr"/>
    </row>
    <row r="474" ht="15" customHeight="1">
      <c r="A474" t="inlineStr">
        <is>
          <t>A 49656-2021</t>
        </is>
      </c>
      <c r="B474" s="1" t="n">
        <v>44454</v>
      </c>
      <c r="C474" s="1" t="n">
        <v>46053</v>
      </c>
      <c r="D474" t="inlineStr">
        <is>
          <t>ÖSTERGÖTLANDS LÄN</t>
        </is>
      </c>
      <c r="E474" t="inlineStr">
        <is>
          <t>LINKÖPING</t>
        </is>
      </c>
      <c r="G474" t="n">
        <v>2.3</v>
      </c>
      <c r="H474" t="n">
        <v>0</v>
      </c>
      <c r="I474" t="n">
        <v>0</v>
      </c>
      <c r="J474" t="n">
        <v>0</v>
      </c>
      <c r="K474" t="n">
        <v>0</v>
      </c>
      <c r="L474" t="n">
        <v>0</v>
      </c>
      <c r="M474" t="n">
        <v>0</v>
      </c>
      <c r="N474" t="n">
        <v>0</v>
      </c>
      <c r="O474" t="n">
        <v>0</v>
      </c>
      <c r="P474" t="n">
        <v>0</v>
      </c>
      <c r="Q474" t="n">
        <v>0</v>
      </c>
      <c r="R474" s="2" t="inlineStr"/>
    </row>
    <row r="475" ht="15" customHeight="1">
      <c r="A475" t="inlineStr">
        <is>
          <t>A 59205-2025</t>
        </is>
      </c>
      <c r="B475" s="1" t="n">
        <v>45988.60721064815</v>
      </c>
      <c r="C475" s="1" t="n">
        <v>46053</v>
      </c>
      <c r="D475" t="inlineStr">
        <is>
          <t>ÖSTERGÖTLANDS LÄN</t>
        </is>
      </c>
      <c r="E475" t="inlineStr">
        <is>
          <t>LINKÖPING</t>
        </is>
      </c>
      <c r="F475" t="inlineStr">
        <is>
          <t>Sveaskog</t>
        </is>
      </c>
      <c r="G475" t="n">
        <v>11.3</v>
      </c>
      <c r="H475" t="n">
        <v>0</v>
      </c>
      <c r="I475" t="n">
        <v>0</v>
      </c>
      <c r="J475" t="n">
        <v>0</v>
      </c>
      <c r="K475" t="n">
        <v>0</v>
      </c>
      <c r="L475" t="n">
        <v>0</v>
      </c>
      <c r="M475" t="n">
        <v>0</v>
      </c>
      <c r="N475" t="n">
        <v>0</v>
      </c>
      <c r="O475" t="n">
        <v>0</v>
      </c>
      <c r="P475" t="n">
        <v>0</v>
      </c>
      <c r="Q475" t="n">
        <v>0</v>
      </c>
      <c r="R475" s="2" t="inlineStr"/>
    </row>
    <row r="476" ht="15" customHeight="1">
      <c r="A476" t="inlineStr">
        <is>
          <t>A 873-2026</t>
        </is>
      </c>
      <c r="B476" s="1" t="n">
        <v>46030.43818287037</v>
      </c>
      <c r="C476" s="1" t="n">
        <v>46053</v>
      </c>
      <c r="D476" t="inlineStr">
        <is>
          <t>ÖSTERGÖTLANDS LÄN</t>
        </is>
      </c>
      <c r="E476" t="inlineStr">
        <is>
          <t>LINKÖPING</t>
        </is>
      </c>
      <c r="G476" t="n">
        <v>4.1</v>
      </c>
      <c r="H476" t="n">
        <v>0</v>
      </c>
      <c r="I476" t="n">
        <v>0</v>
      </c>
      <c r="J476" t="n">
        <v>0</v>
      </c>
      <c r="K476" t="n">
        <v>0</v>
      </c>
      <c r="L476" t="n">
        <v>0</v>
      </c>
      <c r="M476" t="n">
        <v>0</v>
      </c>
      <c r="N476" t="n">
        <v>0</v>
      </c>
      <c r="O476" t="n">
        <v>0</v>
      </c>
      <c r="P476" t="n">
        <v>0</v>
      </c>
      <c r="Q476" t="n">
        <v>0</v>
      </c>
      <c r="R476" s="2" t="inlineStr"/>
    </row>
    <row r="477" ht="15" customHeight="1">
      <c r="A477" t="inlineStr">
        <is>
          <t>A 30465-2023</t>
        </is>
      </c>
      <c r="B477" s="1" t="n">
        <v>45111</v>
      </c>
      <c r="C477" s="1" t="n">
        <v>46053</v>
      </c>
      <c r="D477" t="inlineStr">
        <is>
          <t>ÖSTERGÖTLANDS LÄN</t>
        </is>
      </c>
      <c r="E477" t="inlineStr">
        <is>
          <t>LINKÖPING</t>
        </is>
      </c>
      <c r="F477" t="inlineStr">
        <is>
          <t>Övriga Aktiebolag</t>
        </is>
      </c>
      <c r="G477" t="n">
        <v>0.7</v>
      </c>
      <c r="H477" t="n">
        <v>0</v>
      </c>
      <c r="I477" t="n">
        <v>0</v>
      </c>
      <c r="J477" t="n">
        <v>0</v>
      </c>
      <c r="K477" t="n">
        <v>0</v>
      </c>
      <c r="L477" t="n">
        <v>0</v>
      </c>
      <c r="M477" t="n">
        <v>0</v>
      </c>
      <c r="N477" t="n">
        <v>0</v>
      </c>
      <c r="O477" t="n">
        <v>0</v>
      </c>
      <c r="P477" t="n">
        <v>0</v>
      </c>
      <c r="Q477" t="n">
        <v>0</v>
      </c>
      <c r="R477" s="2" t="inlineStr"/>
    </row>
    <row r="478" ht="15" customHeight="1">
      <c r="A478" t="inlineStr">
        <is>
          <t>A 30521-2024</t>
        </is>
      </c>
      <c r="B478" s="1" t="n">
        <v>45492</v>
      </c>
      <c r="C478" s="1" t="n">
        <v>46053</v>
      </c>
      <c r="D478" t="inlineStr">
        <is>
          <t>ÖSTERGÖTLANDS LÄN</t>
        </is>
      </c>
      <c r="E478" t="inlineStr">
        <is>
          <t>LINKÖPING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58802-2025</t>
        </is>
      </c>
      <c r="B479" s="1" t="n">
        <v>45986.8768287037</v>
      </c>
      <c r="C479" s="1" t="n">
        <v>46053</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858-2026</t>
        </is>
      </c>
      <c r="B480" s="1" t="n">
        <v>46030.41200231481</v>
      </c>
      <c r="C480" s="1" t="n">
        <v>46053</v>
      </c>
      <c r="D480" t="inlineStr">
        <is>
          <t>ÖSTERGÖTLANDS LÄN</t>
        </is>
      </c>
      <c r="E480" t="inlineStr">
        <is>
          <t>LINKÖPING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860-2026</t>
        </is>
      </c>
      <c r="B481" s="1" t="n">
        <v>46030.41974537037</v>
      </c>
      <c r="C481" s="1" t="n">
        <v>46053</v>
      </c>
      <c r="D481" t="inlineStr">
        <is>
          <t>ÖSTERGÖTLANDS LÄN</t>
        </is>
      </c>
      <c r="E481" t="inlineStr">
        <is>
          <t>LINKÖPING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940-2026</t>
        </is>
      </c>
      <c r="B482" s="1" t="n">
        <v>46030.53052083333</v>
      </c>
      <c r="C482" s="1" t="n">
        <v>46053</v>
      </c>
      <c r="D482" t="inlineStr">
        <is>
          <t>ÖSTERGÖTLANDS LÄN</t>
        </is>
      </c>
      <c r="E482" t="inlineStr">
        <is>
          <t>LINKÖPING</t>
        </is>
      </c>
      <c r="F482" t="inlineStr">
        <is>
          <t>Allmännings- och besparingsskogar</t>
        </is>
      </c>
      <c r="G482" t="n">
        <v>2.9</v>
      </c>
      <c r="H482" t="n">
        <v>0</v>
      </c>
      <c r="I482" t="n">
        <v>0</v>
      </c>
      <c r="J482" t="n">
        <v>0</v>
      </c>
      <c r="K482" t="n">
        <v>0</v>
      </c>
      <c r="L482" t="n">
        <v>0</v>
      </c>
      <c r="M482" t="n">
        <v>0</v>
      </c>
      <c r="N482" t="n">
        <v>0</v>
      </c>
      <c r="O482" t="n">
        <v>0</v>
      </c>
      <c r="P482" t="n">
        <v>0</v>
      </c>
      <c r="Q482" t="n">
        <v>0</v>
      </c>
      <c r="R482" s="2" t="inlineStr"/>
    </row>
    <row r="483" ht="15" customHeight="1">
      <c r="A483" t="inlineStr">
        <is>
          <t>A 944-2026</t>
        </is>
      </c>
      <c r="B483" s="1" t="n">
        <v>46030.53461805556</v>
      </c>
      <c r="C483" s="1" t="n">
        <v>46053</v>
      </c>
      <c r="D483" t="inlineStr">
        <is>
          <t>ÖSTERGÖTLANDS LÄN</t>
        </is>
      </c>
      <c r="E483" t="inlineStr">
        <is>
          <t>LINKÖPING</t>
        </is>
      </c>
      <c r="F483" t="inlineStr">
        <is>
          <t>Allmännings- och besparingsskogar</t>
        </is>
      </c>
      <c r="G483" t="n">
        <v>0.9</v>
      </c>
      <c r="H483" t="n">
        <v>0</v>
      </c>
      <c r="I483" t="n">
        <v>0</v>
      </c>
      <c r="J483" t="n">
        <v>0</v>
      </c>
      <c r="K483" t="n">
        <v>0</v>
      </c>
      <c r="L483" t="n">
        <v>0</v>
      </c>
      <c r="M483" t="n">
        <v>0</v>
      </c>
      <c r="N483" t="n">
        <v>0</v>
      </c>
      <c r="O483" t="n">
        <v>0</v>
      </c>
      <c r="P483" t="n">
        <v>0</v>
      </c>
      <c r="Q483" t="n">
        <v>0</v>
      </c>
      <c r="R483" s="2" t="inlineStr"/>
    </row>
    <row r="484" ht="15" customHeight="1">
      <c r="A484" t="inlineStr">
        <is>
          <t>A 40618-2021</t>
        </is>
      </c>
      <c r="B484" s="1" t="n">
        <v>44420.49575231481</v>
      </c>
      <c r="C484" s="1" t="n">
        <v>46053</v>
      </c>
      <c r="D484" t="inlineStr">
        <is>
          <t>ÖSTERGÖTLANDS LÄN</t>
        </is>
      </c>
      <c r="E484" t="inlineStr">
        <is>
          <t>LINKÖPING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23735-2023</t>
        </is>
      </c>
      <c r="B485" s="1" t="n">
        <v>45077</v>
      </c>
      <c r="C485" s="1" t="n">
        <v>46053</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350-2022</t>
        </is>
      </c>
      <c r="B486" s="1" t="n">
        <v>44565</v>
      </c>
      <c r="C486" s="1" t="n">
        <v>46053</v>
      </c>
      <c r="D486" t="inlineStr">
        <is>
          <t>ÖSTERGÖTLANDS LÄN</t>
        </is>
      </c>
      <c r="E486" t="inlineStr">
        <is>
          <t>LINKÖPING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59472-2025</t>
        </is>
      </c>
      <c r="B487" s="1" t="n">
        <v>45989.58321759259</v>
      </c>
      <c r="C487" s="1" t="n">
        <v>46053</v>
      </c>
      <c r="D487" t="inlineStr">
        <is>
          <t>ÖSTERGÖTLANDS LÄN</t>
        </is>
      </c>
      <c r="E487" t="inlineStr">
        <is>
          <t>LINKÖPING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4256-2022</t>
        </is>
      </c>
      <c r="B488" s="1" t="n">
        <v>44588</v>
      </c>
      <c r="C488" s="1" t="n">
        <v>46053</v>
      </c>
      <c r="D488" t="inlineStr">
        <is>
          <t>ÖSTERGÖTLANDS LÄN</t>
        </is>
      </c>
      <c r="E488" t="inlineStr">
        <is>
          <t>LINKÖPING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25948-2023</t>
        </is>
      </c>
      <c r="B489" s="1" t="n">
        <v>45090</v>
      </c>
      <c r="C489" s="1" t="n">
        <v>46053</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33867-2023</t>
        </is>
      </c>
      <c r="B490" s="1" t="n">
        <v>45133.94640046296</v>
      </c>
      <c r="C490" s="1" t="n">
        <v>46053</v>
      </c>
      <c r="D490" t="inlineStr">
        <is>
          <t>ÖSTERGÖTLANDS LÄN</t>
        </is>
      </c>
      <c r="E490" t="inlineStr">
        <is>
          <t>LINKÖPING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24462-2023</t>
        </is>
      </c>
      <c r="B491" s="1" t="n">
        <v>45082</v>
      </c>
      <c r="C491" s="1" t="n">
        <v>46053</v>
      </c>
      <c r="D491" t="inlineStr">
        <is>
          <t>ÖSTERGÖTLANDS LÄN</t>
        </is>
      </c>
      <c r="E491" t="inlineStr">
        <is>
          <t>LINKÖPING</t>
        </is>
      </c>
      <c r="G491" t="n">
        <v>3.5</v>
      </c>
      <c r="H491" t="n">
        <v>0</v>
      </c>
      <c r="I491" t="n">
        <v>0</v>
      </c>
      <c r="J491" t="n">
        <v>0</v>
      </c>
      <c r="K491" t="n">
        <v>0</v>
      </c>
      <c r="L491" t="n">
        <v>0</v>
      </c>
      <c r="M491" t="n">
        <v>0</v>
      </c>
      <c r="N491" t="n">
        <v>0</v>
      </c>
      <c r="O491" t="n">
        <v>0</v>
      </c>
      <c r="P491" t="n">
        <v>0</v>
      </c>
      <c r="Q491" t="n">
        <v>0</v>
      </c>
      <c r="R491" s="2" t="inlineStr"/>
    </row>
    <row r="492" ht="15" customHeight="1">
      <c r="A492" t="inlineStr">
        <is>
          <t>A 48829-2023</t>
        </is>
      </c>
      <c r="B492" s="1" t="n">
        <v>45209.38177083333</v>
      </c>
      <c r="C492" s="1" t="n">
        <v>46053</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38231-2022</t>
        </is>
      </c>
      <c r="B493" s="1" t="n">
        <v>44812</v>
      </c>
      <c r="C493" s="1" t="n">
        <v>46053</v>
      </c>
      <c r="D493" t="inlineStr">
        <is>
          <t>ÖSTERGÖTLANDS LÄN</t>
        </is>
      </c>
      <c r="E493" t="inlineStr">
        <is>
          <t>LINKÖPING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50799-2022</t>
        </is>
      </c>
      <c r="B494" s="1" t="n">
        <v>44862</v>
      </c>
      <c r="C494" s="1" t="n">
        <v>46053</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1223-2026</t>
        </is>
      </c>
      <c r="B495" s="1" t="n">
        <v>46031.40233796297</v>
      </c>
      <c r="C495" s="1" t="n">
        <v>46053</v>
      </c>
      <c r="D495" t="inlineStr">
        <is>
          <t>ÖSTERGÖTLANDS LÄN</t>
        </is>
      </c>
      <c r="E495" t="inlineStr">
        <is>
          <t>LINKÖPING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40431-2024</t>
        </is>
      </c>
      <c r="B496" s="1" t="n">
        <v>45555.47070601852</v>
      </c>
      <c r="C496" s="1" t="n">
        <v>46053</v>
      </c>
      <c r="D496" t="inlineStr">
        <is>
          <t>ÖSTERGÖTLANDS LÄN</t>
        </is>
      </c>
      <c r="E496" t="inlineStr">
        <is>
          <t>LINKÖPING</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267-2023</t>
        </is>
      </c>
      <c r="B497" s="1" t="n">
        <v>44928.80907407407</v>
      </c>
      <c r="C497" s="1" t="n">
        <v>46053</v>
      </c>
      <c r="D497" t="inlineStr">
        <is>
          <t>ÖSTERGÖTLANDS LÄN</t>
        </is>
      </c>
      <c r="E497" t="inlineStr">
        <is>
          <t>LINKÖPING</t>
        </is>
      </c>
      <c r="G497" t="n">
        <v>2.7</v>
      </c>
      <c r="H497" t="n">
        <v>0</v>
      </c>
      <c r="I497" t="n">
        <v>0</v>
      </c>
      <c r="J497" t="n">
        <v>0</v>
      </c>
      <c r="K497" t="n">
        <v>0</v>
      </c>
      <c r="L497" t="n">
        <v>0</v>
      </c>
      <c r="M497" t="n">
        <v>0</v>
      </c>
      <c r="N497" t="n">
        <v>0</v>
      </c>
      <c r="O497" t="n">
        <v>0</v>
      </c>
      <c r="P497" t="n">
        <v>0</v>
      </c>
      <c r="Q497" t="n">
        <v>0</v>
      </c>
      <c r="R497" s="2" t="inlineStr"/>
    </row>
    <row r="498" ht="15" customHeight="1">
      <c r="A498" t="inlineStr">
        <is>
          <t>A 26618-2023</t>
        </is>
      </c>
      <c r="B498" s="1" t="n">
        <v>45092.70306712963</v>
      </c>
      <c r="C498" s="1" t="n">
        <v>46053</v>
      </c>
      <c r="D498" t="inlineStr">
        <is>
          <t>ÖSTERGÖTLANDS LÄN</t>
        </is>
      </c>
      <c r="E498" t="inlineStr">
        <is>
          <t>LINKÖPING</t>
        </is>
      </c>
      <c r="G498" t="n">
        <v>6.9</v>
      </c>
      <c r="H498" t="n">
        <v>0</v>
      </c>
      <c r="I498" t="n">
        <v>0</v>
      </c>
      <c r="J498" t="n">
        <v>0</v>
      </c>
      <c r="K498" t="n">
        <v>0</v>
      </c>
      <c r="L498" t="n">
        <v>0</v>
      </c>
      <c r="M498" t="n">
        <v>0</v>
      </c>
      <c r="N498" t="n">
        <v>0</v>
      </c>
      <c r="O498" t="n">
        <v>0</v>
      </c>
      <c r="P498" t="n">
        <v>0</v>
      </c>
      <c r="Q498" t="n">
        <v>0</v>
      </c>
      <c r="R498" s="2" t="inlineStr"/>
    </row>
    <row r="499" ht="15" customHeight="1">
      <c r="A499" t="inlineStr">
        <is>
          <t>A 63665-2023</t>
        </is>
      </c>
      <c r="B499" s="1" t="n">
        <v>45275</v>
      </c>
      <c r="C499" s="1" t="n">
        <v>46053</v>
      </c>
      <c r="D499" t="inlineStr">
        <is>
          <t>ÖSTERGÖTLANDS LÄN</t>
        </is>
      </c>
      <c r="E499" t="inlineStr">
        <is>
          <t>LINKÖPING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60087-2025</t>
        </is>
      </c>
      <c r="B500" s="1" t="n">
        <v>45993.71726851852</v>
      </c>
      <c r="C500" s="1" t="n">
        <v>46053</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30429-2024</t>
        </is>
      </c>
      <c r="B501" s="1" t="n">
        <v>45491.68972222223</v>
      </c>
      <c r="C501" s="1" t="n">
        <v>46053</v>
      </c>
      <c r="D501" t="inlineStr">
        <is>
          <t>ÖSTERGÖTLANDS LÄN</t>
        </is>
      </c>
      <c r="E501" t="inlineStr">
        <is>
          <t>LINKÖPING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60284-2025</t>
        </is>
      </c>
      <c r="B502" s="1" t="n">
        <v>45994.64373842593</v>
      </c>
      <c r="C502" s="1" t="n">
        <v>46053</v>
      </c>
      <c r="D502" t="inlineStr">
        <is>
          <t>ÖSTERGÖTLANDS LÄN</t>
        </is>
      </c>
      <c r="E502" t="inlineStr">
        <is>
          <t>LINKÖPING</t>
        </is>
      </c>
      <c r="G502" t="n">
        <v>3.5</v>
      </c>
      <c r="H502" t="n">
        <v>0</v>
      </c>
      <c r="I502" t="n">
        <v>0</v>
      </c>
      <c r="J502" t="n">
        <v>0</v>
      </c>
      <c r="K502" t="n">
        <v>0</v>
      </c>
      <c r="L502" t="n">
        <v>0</v>
      </c>
      <c r="M502" t="n">
        <v>0</v>
      </c>
      <c r="N502" t="n">
        <v>0</v>
      </c>
      <c r="O502" t="n">
        <v>0</v>
      </c>
      <c r="P502" t="n">
        <v>0</v>
      </c>
      <c r="Q502" t="n">
        <v>0</v>
      </c>
      <c r="R502" s="2" t="inlineStr"/>
    </row>
    <row r="503" ht="15" customHeight="1">
      <c r="A503" t="inlineStr">
        <is>
          <t>A 30435-2024</t>
        </is>
      </c>
      <c r="B503" s="1" t="n">
        <v>45491.69962962963</v>
      </c>
      <c r="C503" s="1" t="n">
        <v>46053</v>
      </c>
      <c r="D503" t="inlineStr">
        <is>
          <t>ÖSTERGÖTLANDS LÄN</t>
        </is>
      </c>
      <c r="E503" t="inlineStr">
        <is>
          <t>LINKÖPING</t>
        </is>
      </c>
      <c r="G503" t="n">
        <v>1.9</v>
      </c>
      <c r="H503" t="n">
        <v>0</v>
      </c>
      <c r="I503" t="n">
        <v>0</v>
      </c>
      <c r="J503" t="n">
        <v>0</v>
      </c>
      <c r="K503" t="n">
        <v>0</v>
      </c>
      <c r="L503" t="n">
        <v>0</v>
      </c>
      <c r="M503" t="n">
        <v>0</v>
      </c>
      <c r="N503" t="n">
        <v>0</v>
      </c>
      <c r="O503" t="n">
        <v>0</v>
      </c>
      <c r="P503" t="n">
        <v>0</v>
      </c>
      <c r="Q503" t="n">
        <v>0</v>
      </c>
      <c r="R503" s="2" t="inlineStr"/>
    </row>
    <row r="504" ht="15" customHeight="1">
      <c r="A504" t="inlineStr">
        <is>
          <t>A 53816-2023</t>
        </is>
      </c>
      <c r="B504" s="1" t="n">
        <v>45231.40012731482</v>
      </c>
      <c r="C504" s="1" t="n">
        <v>46053</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36557-2023</t>
        </is>
      </c>
      <c r="B505" s="1" t="n">
        <v>45153</v>
      </c>
      <c r="C505" s="1" t="n">
        <v>46053</v>
      </c>
      <c r="D505" t="inlineStr">
        <is>
          <t>ÖSTERGÖTLANDS LÄN</t>
        </is>
      </c>
      <c r="E505" t="inlineStr">
        <is>
          <t>LINKÖPING</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6599-2023</t>
        </is>
      </c>
      <c r="B506" s="1" t="n">
        <v>44966.52603009259</v>
      </c>
      <c r="C506" s="1" t="n">
        <v>46053</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43473-2024</t>
        </is>
      </c>
      <c r="B507" s="1" t="n">
        <v>45568</v>
      </c>
      <c r="C507" s="1" t="n">
        <v>46053</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60306-2025</t>
        </is>
      </c>
      <c r="B508" s="1" t="n">
        <v>45994.68326388889</v>
      </c>
      <c r="C508" s="1" t="n">
        <v>46053</v>
      </c>
      <c r="D508" t="inlineStr">
        <is>
          <t>ÖSTERGÖTLANDS LÄN</t>
        </is>
      </c>
      <c r="E508" t="inlineStr">
        <is>
          <t>LINKÖPING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2030-2026</t>
        </is>
      </c>
      <c r="B509" s="1" t="n">
        <v>46035.73590277778</v>
      </c>
      <c r="C509" s="1" t="n">
        <v>46053</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2031-2026</t>
        </is>
      </c>
      <c r="B510" s="1" t="n">
        <v>46035.74182870371</v>
      </c>
      <c r="C510" s="1" t="n">
        <v>46053</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3044-2026</t>
        </is>
      </c>
      <c r="B511" s="1" t="n">
        <v>46038.73855324074</v>
      </c>
      <c r="C511" s="1" t="n">
        <v>46053</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3045-2026</t>
        </is>
      </c>
      <c r="B512" s="1" t="n">
        <v>46038.74047453704</v>
      </c>
      <c r="C512" s="1" t="n">
        <v>46053</v>
      </c>
      <c r="D512" t="inlineStr">
        <is>
          <t>ÖSTERGÖTLANDS LÄN</t>
        </is>
      </c>
      <c r="E512" t="inlineStr">
        <is>
          <t>LINKÖPING</t>
        </is>
      </c>
      <c r="G512" t="n">
        <v>2</v>
      </c>
      <c r="H512" t="n">
        <v>0</v>
      </c>
      <c r="I512" t="n">
        <v>0</v>
      </c>
      <c r="J512" t="n">
        <v>0</v>
      </c>
      <c r="K512" t="n">
        <v>0</v>
      </c>
      <c r="L512" t="n">
        <v>0</v>
      </c>
      <c r="M512" t="n">
        <v>0</v>
      </c>
      <c r="N512" t="n">
        <v>0</v>
      </c>
      <c r="O512" t="n">
        <v>0</v>
      </c>
      <c r="P512" t="n">
        <v>0</v>
      </c>
      <c r="Q512" t="n">
        <v>0</v>
      </c>
      <c r="R512" s="2" t="inlineStr"/>
    </row>
    <row r="513" ht="15" customHeight="1">
      <c r="A513" t="inlineStr">
        <is>
          <t>A 61532-2021</t>
        </is>
      </c>
      <c r="B513" s="1" t="n">
        <v>44501</v>
      </c>
      <c r="C513" s="1" t="n">
        <v>46053</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3374-2023</t>
        </is>
      </c>
      <c r="B514" s="1" t="n">
        <v>44949</v>
      </c>
      <c r="C514" s="1" t="n">
        <v>46053</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224-2024</t>
        </is>
      </c>
      <c r="B515" s="1" t="n">
        <v>45294</v>
      </c>
      <c r="C515" s="1" t="n">
        <v>46053</v>
      </c>
      <c r="D515" t="inlineStr">
        <is>
          <t>ÖSTERGÖTLANDS LÄN</t>
        </is>
      </c>
      <c r="E515" t="inlineStr">
        <is>
          <t>LINKÖPING</t>
        </is>
      </c>
      <c r="G515" t="n">
        <v>2.8</v>
      </c>
      <c r="H515" t="n">
        <v>0</v>
      </c>
      <c r="I515" t="n">
        <v>0</v>
      </c>
      <c r="J515" t="n">
        <v>0</v>
      </c>
      <c r="K515" t="n">
        <v>0</v>
      </c>
      <c r="L515" t="n">
        <v>0</v>
      </c>
      <c r="M515" t="n">
        <v>0</v>
      </c>
      <c r="N515" t="n">
        <v>0</v>
      </c>
      <c r="O515" t="n">
        <v>0</v>
      </c>
      <c r="P515" t="n">
        <v>0</v>
      </c>
      <c r="Q515" t="n">
        <v>0</v>
      </c>
      <c r="R515" s="2" t="inlineStr"/>
    </row>
    <row r="516" ht="15" customHeight="1">
      <c r="A516" t="inlineStr">
        <is>
          <t>A 6726-2024</t>
        </is>
      </c>
      <c r="B516" s="1" t="n">
        <v>45341</v>
      </c>
      <c r="C516" s="1" t="n">
        <v>46053</v>
      </c>
      <c r="D516" t="inlineStr">
        <is>
          <t>ÖSTERGÖTLANDS LÄN</t>
        </is>
      </c>
      <c r="E516" t="inlineStr">
        <is>
          <t>LINKÖPING</t>
        </is>
      </c>
      <c r="G516" t="n">
        <v>2.7</v>
      </c>
      <c r="H516" t="n">
        <v>0</v>
      </c>
      <c r="I516" t="n">
        <v>0</v>
      </c>
      <c r="J516" t="n">
        <v>0</v>
      </c>
      <c r="K516" t="n">
        <v>0</v>
      </c>
      <c r="L516" t="n">
        <v>0</v>
      </c>
      <c r="M516" t="n">
        <v>0</v>
      </c>
      <c r="N516" t="n">
        <v>0</v>
      </c>
      <c r="O516" t="n">
        <v>0</v>
      </c>
      <c r="P516" t="n">
        <v>0</v>
      </c>
      <c r="Q516" t="n">
        <v>0</v>
      </c>
      <c r="R516" s="2" t="inlineStr"/>
    </row>
    <row r="517" ht="15" customHeight="1">
      <c r="A517" t="inlineStr">
        <is>
          <t>A 60703-2025</t>
        </is>
      </c>
      <c r="B517" s="1" t="n">
        <v>45996.6052662037</v>
      </c>
      <c r="C517" s="1" t="n">
        <v>46053</v>
      </c>
      <c r="D517" t="inlineStr">
        <is>
          <t>ÖSTERGÖTLANDS LÄN</t>
        </is>
      </c>
      <c r="E517" t="inlineStr">
        <is>
          <t>LINKÖPING</t>
        </is>
      </c>
      <c r="F517" t="inlineStr">
        <is>
          <t>Övriga Aktiebolag</t>
        </is>
      </c>
      <c r="G517" t="n">
        <v>1.3</v>
      </c>
      <c r="H517" t="n">
        <v>0</v>
      </c>
      <c r="I517" t="n">
        <v>0</v>
      </c>
      <c r="J517" t="n">
        <v>0</v>
      </c>
      <c r="K517" t="n">
        <v>0</v>
      </c>
      <c r="L517" t="n">
        <v>0</v>
      </c>
      <c r="M517" t="n">
        <v>0</v>
      </c>
      <c r="N517" t="n">
        <v>0</v>
      </c>
      <c r="O517" t="n">
        <v>0</v>
      </c>
      <c r="P517" t="n">
        <v>0</v>
      </c>
      <c r="Q517" t="n">
        <v>0</v>
      </c>
      <c r="R517" s="2" t="inlineStr"/>
    </row>
    <row r="518" ht="15" customHeight="1">
      <c r="A518" t="inlineStr">
        <is>
          <t>A 3043-2026</t>
        </is>
      </c>
      <c r="B518" s="1" t="n">
        <v>46038.73675925926</v>
      </c>
      <c r="C518" s="1" t="n">
        <v>46053</v>
      </c>
      <c r="D518" t="inlineStr">
        <is>
          <t>ÖSTERGÖTLANDS LÄN</t>
        </is>
      </c>
      <c r="E518" t="inlineStr">
        <is>
          <t>LINKÖPING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3046-2026</t>
        </is>
      </c>
      <c r="B519" s="1" t="n">
        <v>46038.74182870371</v>
      </c>
      <c r="C519" s="1" t="n">
        <v>46053</v>
      </c>
      <c r="D519" t="inlineStr">
        <is>
          <t>ÖSTERGÖTLANDS LÄN</t>
        </is>
      </c>
      <c r="E519" t="inlineStr">
        <is>
          <t>LINKÖPING</t>
        </is>
      </c>
      <c r="G519" t="n">
        <v>1.9</v>
      </c>
      <c r="H519" t="n">
        <v>0</v>
      </c>
      <c r="I519" t="n">
        <v>0</v>
      </c>
      <c r="J519" t="n">
        <v>0</v>
      </c>
      <c r="K519" t="n">
        <v>0</v>
      </c>
      <c r="L519" t="n">
        <v>0</v>
      </c>
      <c r="M519" t="n">
        <v>0</v>
      </c>
      <c r="N519" t="n">
        <v>0</v>
      </c>
      <c r="O519" t="n">
        <v>0</v>
      </c>
      <c r="P519" t="n">
        <v>0</v>
      </c>
      <c r="Q519" t="n">
        <v>0</v>
      </c>
      <c r="R519" s="2" t="inlineStr"/>
    </row>
    <row r="520" ht="15" customHeight="1">
      <c r="A520" t="inlineStr">
        <is>
          <t>A 53814-2023</t>
        </is>
      </c>
      <c r="B520" s="1" t="n">
        <v>45231</v>
      </c>
      <c r="C520" s="1" t="n">
        <v>46053</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60004-2022</t>
        </is>
      </c>
      <c r="B521" s="1" t="n">
        <v>44909.47206018519</v>
      </c>
      <c r="C521" s="1" t="n">
        <v>46053</v>
      </c>
      <c r="D521" t="inlineStr">
        <is>
          <t>ÖSTERGÖTLANDS LÄN</t>
        </is>
      </c>
      <c r="E521" t="inlineStr">
        <is>
          <t>LINKÖPING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52796-2023</t>
        </is>
      </c>
      <c r="B522" s="1" t="n">
        <v>45219</v>
      </c>
      <c r="C522" s="1" t="n">
        <v>46053</v>
      </c>
      <c r="D522" t="inlineStr">
        <is>
          <t>ÖSTERGÖTLANDS LÄN</t>
        </is>
      </c>
      <c r="E522" t="inlineStr">
        <is>
          <t>LINKÖPING</t>
        </is>
      </c>
      <c r="F522" t="inlineStr">
        <is>
          <t>Övriga statliga verk och myndigheter</t>
        </is>
      </c>
      <c r="G522" t="n">
        <v>3.9</v>
      </c>
      <c r="H522" t="n">
        <v>0</v>
      </c>
      <c r="I522" t="n">
        <v>0</v>
      </c>
      <c r="J522" t="n">
        <v>0</v>
      </c>
      <c r="K522" t="n">
        <v>0</v>
      </c>
      <c r="L522" t="n">
        <v>0</v>
      </c>
      <c r="M522" t="n">
        <v>0</v>
      </c>
      <c r="N522" t="n">
        <v>0</v>
      </c>
      <c r="O522" t="n">
        <v>0</v>
      </c>
      <c r="P522" t="n">
        <v>0</v>
      </c>
      <c r="Q522" t="n">
        <v>0</v>
      </c>
      <c r="R522" s="2" t="inlineStr"/>
    </row>
    <row r="523" ht="15" customHeight="1">
      <c r="A523" t="inlineStr">
        <is>
          <t>A 50743-2023</t>
        </is>
      </c>
      <c r="B523" s="1" t="n">
        <v>45217</v>
      </c>
      <c r="C523" s="1" t="n">
        <v>46053</v>
      </c>
      <c r="D523" t="inlineStr">
        <is>
          <t>ÖSTERGÖTLANDS LÄN</t>
        </is>
      </c>
      <c r="E523" t="inlineStr">
        <is>
          <t>LINKÖPING</t>
        </is>
      </c>
      <c r="G523" t="n">
        <v>2.7</v>
      </c>
      <c r="H523" t="n">
        <v>0</v>
      </c>
      <c r="I523" t="n">
        <v>0</v>
      </c>
      <c r="J523" t="n">
        <v>0</v>
      </c>
      <c r="K523" t="n">
        <v>0</v>
      </c>
      <c r="L523" t="n">
        <v>0</v>
      </c>
      <c r="M523" t="n">
        <v>0</v>
      </c>
      <c r="N523" t="n">
        <v>0</v>
      </c>
      <c r="O523" t="n">
        <v>0</v>
      </c>
      <c r="P523" t="n">
        <v>0</v>
      </c>
      <c r="Q523" t="n">
        <v>0</v>
      </c>
      <c r="R523" s="2" t="inlineStr"/>
    </row>
    <row r="524" ht="15" customHeight="1">
      <c r="A524" t="inlineStr">
        <is>
          <t>A 45771-2023</t>
        </is>
      </c>
      <c r="B524" s="1" t="n">
        <v>45195.4384375</v>
      </c>
      <c r="C524" s="1" t="n">
        <v>46053</v>
      </c>
      <c r="D524" t="inlineStr">
        <is>
          <t>ÖSTERGÖTLANDS LÄN</t>
        </is>
      </c>
      <c r="E524" t="inlineStr">
        <is>
          <t>LINKÖPING</t>
        </is>
      </c>
      <c r="G524" t="n">
        <v>0.7</v>
      </c>
      <c r="H524" t="n">
        <v>0</v>
      </c>
      <c r="I524" t="n">
        <v>0</v>
      </c>
      <c r="J524" t="n">
        <v>0</v>
      </c>
      <c r="K524" t="n">
        <v>0</v>
      </c>
      <c r="L524" t="n">
        <v>0</v>
      </c>
      <c r="M524" t="n">
        <v>0</v>
      </c>
      <c r="N524" t="n">
        <v>0</v>
      </c>
      <c r="O524" t="n">
        <v>0</v>
      </c>
      <c r="P524" t="n">
        <v>0</v>
      </c>
      <c r="Q524" t="n">
        <v>0</v>
      </c>
      <c r="R524" s="2" t="inlineStr"/>
    </row>
    <row r="525" ht="15" customHeight="1">
      <c r="A525" t="inlineStr">
        <is>
          <t>A 61230-2025</t>
        </is>
      </c>
      <c r="B525" s="1" t="n">
        <v>46000.63111111111</v>
      </c>
      <c r="C525" s="1" t="n">
        <v>46053</v>
      </c>
      <c r="D525" t="inlineStr">
        <is>
          <t>ÖSTERGÖTLANDS LÄN</t>
        </is>
      </c>
      <c r="E525" t="inlineStr">
        <is>
          <t>LINKÖPING</t>
        </is>
      </c>
      <c r="F525" t="inlineStr">
        <is>
          <t>Kyrkan</t>
        </is>
      </c>
      <c r="G525" t="n">
        <v>2.1</v>
      </c>
      <c r="H525" t="n">
        <v>0</v>
      </c>
      <c r="I525" t="n">
        <v>0</v>
      </c>
      <c r="J525" t="n">
        <v>0</v>
      </c>
      <c r="K525" t="n">
        <v>0</v>
      </c>
      <c r="L525" t="n">
        <v>0</v>
      </c>
      <c r="M525" t="n">
        <v>0</v>
      </c>
      <c r="N525" t="n">
        <v>0</v>
      </c>
      <c r="O525" t="n">
        <v>0</v>
      </c>
      <c r="P525" t="n">
        <v>0</v>
      </c>
      <c r="Q525" t="n">
        <v>0</v>
      </c>
      <c r="R525" s="2" t="inlineStr"/>
    </row>
    <row r="526" ht="15" customHeight="1">
      <c r="A526" t="inlineStr">
        <is>
          <t>A 63554-2023</t>
        </is>
      </c>
      <c r="B526" s="1" t="n">
        <v>45275</v>
      </c>
      <c r="C526" s="1" t="n">
        <v>46053</v>
      </c>
      <c r="D526" t="inlineStr">
        <is>
          <t>ÖSTERGÖTLANDS LÄN</t>
        </is>
      </c>
      <c r="E526" t="inlineStr">
        <is>
          <t>LINKÖPING</t>
        </is>
      </c>
      <c r="G526" t="n">
        <v>4.3</v>
      </c>
      <c r="H526" t="n">
        <v>0</v>
      </c>
      <c r="I526" t="n">
        <v>0</v>
      </c>
      <c r="J526" t="n">
        <v>0</v>
      </c>
      <c r="K526" t="n">
        <v>0</v>
      </c>
      <c r="L526" t="n">
        <v>0</v>
      </c>
      <c r="M526" t="n">
        <v>0</v>
      </c>
      <c r="N526" t="n">
        <v>0</v>
      </c>
      <c r="O526" t="n">
        <v>0</v>
      </c>
      <c r="P526" t="n">
        <v>0</v>
      </c>
      <c r="Q526" t="n">
        <v>0</v>
      </c>
      <c r="R526" s="2" t="inlineStr"/>
    </row>
    <row r="527" ht="15" customHeight="1">
      <c r="A527" t="inlineStr">
        <is>
          <t>A 60866-2025</t>
        </is>
      </c>
      <c r="B527" s="1" t="n">
        <v>45999</v>
      </c>
      <c r="C527" s="1" t="n">
        <v>46053</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30111-2024</t>
        </is>
      </c>
      <c r="B528" s="1" t="n">
        <v>45489.46947916667</v>
      </c>
      <c r="C528" s="1" t="n">
        <v>46053</v>
      </c>
      <c r="D528" t="inlineStr">
        <is>
          <t>ÖSTERGÖTLANDS LÄN</t>
        </is>
      </c>
      <c r="E528" t="inlineStr">
        <is>
          <t>LINKÖPING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30119-2024</t>
        </is>
      </c>
      <c r="B529" s="1" t="n">
        <v>45489</v>
      </c>
      <c r="C529" s="1" t="n">
        <v>46053</v>
      </c>
      <c r="D529" t="inlineStr">
        <is>
          <t>ÖSTERGÖTLANDS LÄN</t>
        </is>
      </c>
      <c r="E529" t="inlineStr">
        <is>
          <t>LINKÖPING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6206-2024</t>
        </is>
      </c>
      <c r="B530" s="1" t="n">
        <v>45337.5977662037</v>
      </c>
      <c r="C530" s="1" t="n">
        <v>46053</v>
      </c>
      <c r="D530" t="inlineStr">
        <is>
          <t>ÖSTERGÖTLANDS LÄN</t>
        </is>
      </c>
      <c r="E530" t="inlineStr">
        <is>
          <t>LINKÖPING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15714-2024</t>
        </is>
      </c>
      <c r="B531" s="1" t="n">
        <v>45404.48288194444</v>
      </c>
      <c r="C531" s="1" t="n">
        <v>46053</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30481-2023</t>
        </is>
      </c>
      <c r="B532" s="1" t="n">
        <v>45111</v>
      </c>
      <c r="C532" s="1" t="n">
        <v>46053</v>
      </c>
      <c r="D532" t="inlineStr">
        <is>
          <t>ÖSTERGÖTLANDS LÄN</t>
        </is>
      </c>
      <c r="E532" t="inlineStr">
        <is>
          <t>LINKÖPING</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74160-2021</t>
        </is>
      </c>
      <c r="B533" s="1" t="n">
        <v>44558</v>
      </c>
      <c r="C533" s="1" t="n">
        <v>46053</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63559-2023</t>
        </is>
      </c>
      <c r="B534" s="1" t="n">
        <v>45275.35924768518</v>
      </c>
      <c r="C534" s="1" t="n">
        <v>46053</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61643-2025</t>
        </is>
      </c>
      <c r="B535" s="1" t="n">
        <v>46002.43575231481</v>
      </c>
      <c r="C535" s="1" t="n">
        <v>46053</v>
      </c>
      <c r="D535" t="inlineStr">
        <is>
          <t>ÖSTERGÖTLANDS LÄN</t>
        </is>
      </c>
      <c r="E535" t="inlineStr">
        <is>
          <t>LINKÖPING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23491-2024</t>
        </is>
      </c>
      <c r="B536" s="1" t="n">
        <v>45453</v>
      </c>
      <c r="C536" s="1" t="n">
        <v>46053</v>
      </c>
      <c r="D536" t="inlineStr">
        <is>
          <t>ÖSTERGÖTLANDS LÄN</t>
        </is>
      </c>
      <c r="E536" t="inlineStr">
        <is>
          <t>LINKÖPING</t>
        </is>
      </c>
      <c r="G536" t="n">
        <v>2.2</v>
      </c>
      <c r="H536" t="n">
        <v>0</v>
      </c>
      <c r="I536" t="n">
        <v>0</v>
      </c>
      <c r="J536" t="n">
        <v>0</v>
      </c>
      <c r="K536" t="n">
        <v>0</v>
      </c>
      <c r="L536" t="n">
        <v>0</v>
      </c>
      <c r="M536" t="n">
        <v>0</v>
      </c>
      <c r="N536" t="n">
        <v>0</v>
      </c>
      <c r="O536" t="n">
        <v>0</v>
      </c>
      <c r="P536" t="n">
        <v>0</v>
      </c>
      <c r="Q536" t="n">
        <v>0</v>
      </c>
      <c r="R536" s="2" t="inlineStr"/>
    </row>
    <row r="537" ht="15" customHeight="1">
      <c r="A537" t="inlineStr">
        <is>
          <t>A 29309-2024</t>
        </is>
      </c>
      <c r="B537" s="1" t="n">
        <v>45483</v>
      </c>
      <c r="C537" s="1" t="n">
        <v>46053</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29411-2023</t>
        </is>
      </c>
      <c r="B538" s="1" t="n">
        <v>45106.46225694445</v>
      </c>
      <c r="C538" s="1" t="n">
        <v>46053</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29412-2023</t>
        </is>
      </c>
      <c r="B539" s="1" t="n">
        <v>45106.46359953703</v>
      </c>
      <c r="C539" s="1" t="n">
        <v>46053</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29413-2023</t>
        </is>
      </c>
      <c r="B540" s="1" t="n">
        <v>45106.46465277778</v>
      </c>
      <c r="C540" s="1" t="n">
        <v>46053</v>
      </c>
      <c r="D540" t="inlineStr">
        <is>
          <t>ÖSTERGÖTLANDS LÄN</t>
        </is>
      </c>
      <c r="E540" t="inlineStr">
        <is>
          <t>LINKÖPING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24151-2024</t>
        </is>
      </c>
      <c r="B541" s="1" t="n">
        <v>45456.67717592593</v>
      </c>
      <c r="C541" s="1" t="n">
        <v>46053</v>
      </c>
      <c r="D541" t="inlineStr">
        <is>
          <t>ÖSTERGÖTLANDS LÄN</t>
        </is>
      </c>
      <c r="E541" t="inlineStr">
        <is>
          <t>LINKÖPING</t>
        </is>
      </c>
      <c r="G541" t="n">
        <v>2.1</v>
      </c>
      <c r="H541" t="n">
        <v>0</v>
      </c>
      <c r="I541" t="n">
        <v>0</v>
      </c>
      <c r="J541" t="n">
        <v>0</v>
      </c>
      <c r="K541" t="n">
        <v>0</v>
      </c>
      <c r="L541" t="n">
        <v>0</v>
      </c>
      <c r="M541" t="n">
        <v>0</v>
      </c>
      <c r="N541" t="n">
        <v>0</v>
      </c>
      <c r="O541" t="n">
        <v>0</v>
      </c>
      <c r="P541" t="n">
        <v>0</v>
      </c>
      <c r="Q541" t="n">
        <v>0</v>
      </c>
      <c r="R541" s="2" t="inlineStr"/>
    </row>
    <row r="542" ht="15" customHeight="1">
      <c r="A542" t="inlineStr">
        <is>
          <t>A 61447-2025</t>
        </is>
      </c>
      <c r="B542" s="1" t="n">
        <v>46001.57554398148</v>
      </c>
      <c r="C542" s="1" t="n">
        <v>46053</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63845-2021</t>
        </is>
      </c>
      <c r="B543" s="1" t="n">
        <v>44509</v>
      </c>
      <c r="C543" s="1" t="n">
        <v>46053</v>
      </c>
      <c r="D543" t="inlineStr">
        <is>
          <t>ÖSTERGÖTLANDS LÄN</t>
        </is>
      </c>
      <c r="E543" t="inlineStr">
        <is>
          <t>LINKÖPING</t>
        </is>
      </c>
      <c r="G543" t="n">
        <v>5</v>
      </c>
      <c r="H543" t="n">
        <v>0</v>
      </c>
      <c r="I543" t="n">
        <v>0</v>
      </c>
      <c r="J543" t="n">
        <v>0</v>
      </c>
      <c r="K543" t="n">
        <v>0</v>
      </c>
      <c r="L543" t="n">
        <v>0</v>
      </c>
      <c r="M543" t="n">
        <v>0</v>
      </c>
      <c r="N543" t="n">
        <v>0</v>
      </c>
      <c r="O543" t="n">
        <v>0</v>
      </c>
      <c r="P543" t="n">
        <v>0</v>
      </c>
      <c r="Q543" t="n">
        <v>0</v>
      </c>
      <c r="R543" s="2" t="inlineStr"/>
    </row>
    <row r="544" ht="15" customHeight="1">
      <c r="A544" t="inlineStr">
        <is>
          <t>A 61645-2025</t>
        </is>
      </c>
      <c r="B544" s="1" t="n">
        <v>46002.43697916667</v>
      </c>
      <c r="C544" s="1" t="n">
        <v>46053</v>
      </c>
      <c r="D544" t="inlineStr">
        <is>
          <t>ÖSTERGÖTLANDS LÄN</t>
        </is>
      </c>
      <c r="E544" t="inlineStr">
        <is>
          <t>LINKÖPING</t>
        </is>
      </c>
      <c r="G544" t="n">
        <v>1.9</v>
      </c>
      <c r="H544" t="n">
        <v>0</v>
      </c>
      <c r="I544" t="n">
        <v>0</v>
      </c>
      <c r="J544" t="n">
        <v>0</v>
      </c>
      <c r="K544" t="n">
        <v>0</v>
      </c>
      <c r="L544" t="n">
        <v>0</v>
      </c>
      <c r="M544" t="n">
        <v>0</v>
      </c>
      <c r="N544" t="n">
        <v>0</v>
      </c>
      <c r="O544" t="n">
        <v>0</v>
      </c>
      <c r="P544" t="n">
        <v>0</v>
      </c>
      <c r="Q544" t="n">
        <v>0</v>
      </c>
      <c r="R544" s="2" t="inlineStr"/>
    </row>
    <row r="545" ht="15" customHeight="1">
      <c r="A545" t="inlineStr">
        <is>
          <t>A 17785-2023</t>
        </is>
      </c>
      <c r="B545" s="1" t="n">
        <v>45037.55094907407</v>
      </c>
      <c r="C545" s="1" t="n">
        <v>46053</v>
      </c>
      <c r="D545" t="inlineStr">
        <is>
          <t>ÖSTERGÖTLANDS LÄN</t>
        </is>
      </c>
      <c r="E545" t="inlineStr">
        <is>
          <t>LINKÖPING</t>
        </is>
      </c>
      <c r="F545" t="inlineStr">
        <is>
          <t>Allmännings- och besparingsskogar</t>
        </is>
      </c>
      <c r="G545" t="n">
        <v>3.1</v>
      </c>
      <c r="H545" t="n">
        <v>0</v>
      </c>
      <c r="I545" t="n">
        <v>0</v>
      </c>
      <c r="J545" t="n">
        <v>0</v>
      </c>
      <c r="K545" t="n">
        <v>0</v>
      </c>
      <c r="L545" t="n">
        <v>0</v>
      </c>
      <c r="M545" t="n">
        <v>0</v>
      </c>
      <c r="N545" t="n">
        <v>0</v>
      </c>
      <c r="O545" t="n">
        <v>0</v>
      </c>
      <c r="P545" t="n">
        <v>0</v>
      </c>
      <c r="Q545" t="n">
        <v>0</v>
      </c>
      <c r="R545" s="2" t="inlineStr"/>
    </row>
    <row r="546" ht="15" customHeight="1">
      <c r="A546" t="inlineStr">
        <is>
          <t>A 32346-2023</t>
        </is>
      </c>
      <c r="B546" s="1" t="n">
        <v>45120</v>
      </c>
      <c r="C546" s="1" t="n">
        <v>46053</v>
      </c>
      <c r="D546" t="inlineStr">
        <is>
          <t>ÖSTERGÖTLANDS LÄN</t>
        </is>
      </c>
      <c r="E546" t="inlineStr">
        <is>
          <t>LINKÖPING</t>
        </is>
      </c>
      <c r="G546" t="n">
        <v>0.7</v>
      </c>
      <c r="H546" t="n">
        <v>0</v>
      </c>
      <c r="I546" t="n">
        <v>0</v>
      </c>
      <c r="J546" t="n">
        <v>0</v>
      </c>
      <c r="K546" t="n">
        <v>0</v>
      </c>
      <c r="L546" t="n">
        <v>0</v>
      </c>
      <c r="M546" t="n">
        <v>0</v>
      </c>
      <c r="N546" t="n">
        <v>0</v>
      </c>
      <c r="O546" t="n">
        <v>0</v>
      </c>
      <c r="P546" t="n">
        <v>0</v>
      </c>
      <c r="Q546" t="n">
        <v>0</v>
      </c>
      <c r="R546" s="2" t="inlineStr"/>
    </row>
    <row r="547" ht="15" customHeight="1">
      <c r="A547" t="inlineStr">
        <is>
          <t>A 1627-2023</t>
        </is>
      </c>
      <c r="B547" s="1" t="n">
        <v>44937</v>
      </c>
      <c r="C547" s="1" t="n">
        <v>46053</v>
      </c>
      <c r="D547" t="inlineStr">
        <is>
          <t>ÖSTERGÖTLANDS LÄN</t>
        </is>
      </c>
      <c r="E547" t="inlineStr">
        <is>
          <t>LINKÖPING</t>
        </is>
      </c>
      <c r="G547" t="n">
        <v>10.8</v>
      </c>
      <c r="H547" t="n">
        <v>0</v>
      </c>
      <c r="I547" t="n">
        <v>0</v>
      </c>
      <c r="J547" t="n">
        <v>0</v>
      </c>
      <c r="K547" t="n">
        <v>0</v>
      </c>
      <c r="L547" t="n">
        <v>0</v>
      </c>
      <c r="M547" t="n">
        <v>0</v>
      </c>
      <c r="N547" t="n">
        <v>0</v>
      </c>
      <c r="O547" t="n">
        <v>0</v>
      </c>
      <c r="P547" t="n">
        <v>0</v>
      </c>
      <c r="Q547" t="n">
        <v>0</v>
      </c>
      <c r="R547" s="2" t="inlineStr"/>
    </row>
    <row r="548" ht="15" customHeight="1">
      <c r="A548" t="inlineStr">
        <is>
          <t>A 16665-2023</t>
        </is>
      </c>
      <c r="B548" s="1" t="n">
        <v>45030.5583912037</v>
      </c>
      <c r="C548" s="1" t="n">
        <v>46053</v>
      </c>
      <c r="D548" t="inlineStr">
        <is>
          <t>ÖSTERGÖTLANDS LÄN</t>
        </is>
      </c>
      <c r="E548" t="inlineStr">
        <is>
          <t>LINKÖPING</t>
        </is>
      </c>
      <c r="G548" t="n">
        <v>1.2</v>
      </c>
      <c r="H548" t="n">
        <v>0</v>
      </c>
      <c r="I548" t="n">
        <v>0</v>
      </c>
      <c r="J548" t="n">
        <v>0</v>
      </c>
      <c r="K548" t="n">
        <v>0</v>
      </c>
      <c r="L548" t="n">
        <v>0</v>
      </c>
      <c r="M548" t="n">
        <v>0</v>
      </c>
      <c r="N548" t="n">
        <v>0</v>
      </c>
      <c r="O548" t="n">
        <v>0</v>
      </c>
      <c r="P548" t="n">
        <v>0</v>
      </c>
      <c r="Q548" t="n">
        <v>0</v>
      </c>
      <c r="R548" s="2" t="inlineStr"/>
    </row>
    <row r="549" ht="15" customHeight="1">
      <c r="A549" t="inlineStr">
        <is>
          <t>A 60860-2024</t>
        </is>
      </c>
      <c r="B549" s="1" t="n">
        <v>45644.6893287037</v>
      </c>
      <c r="C549" s="1" t="n">
        <v>46053</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31640-2023</t>
        </is>
      </c>
      <c r="B550" s="1" t="n">
        <v>45117</v>
      </c>
      <c r="C550" s="1" t="n">
        <v>46053</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16213-2025</t>
        </is>
      </c>
      <c r="B551" s="1" t="n">
        <v>45750.62740740741</v>
      </c>
      <c r="C551" s="1" t="n">
        <v>46053</v>
      </c>
      <c r="D551" t="inlineStr">
        <is>
          <t>ÖSTERGÖTLANDS LÄN</t>
        </is>
      </c>
      <c r="E551" t="inlineStr">
        <is>
          <t>LINKÖPING</t>
        </is>
      </c>
      <c r="G551" t="n">
        <v>3.4</v>
      </c>
      <c r="H551" t="n">
        <v>0</v>
      </c>
      <c r="I551" t="n">
        <v>0</v>
      </c>
      <c r="J551" t="n">
        <v>0</v>
      </c>
      <c r="K551" t="n">
        <v>0</v>
      </c>
      <c r="L551" t="n">
        <v>0</v>
      </c>
      <c r="M551" t="n">
        <v>0</v>
      </c>
      <c r="N551" t="n">
        <v>0</v>
      </c>
      <c r="O551" t="n">
        <v>0</v>
      </c>
      <c r="P551" t="n">
        <v>0</v>
      </c>
      <c r="Q551" t="n">
        <v>0</v>
      </c>
      <c r="R551" s="2" t="inlineStr"/>
    </row>
    <row r="552" ht="15" customHeight="1">
      <c r="A552" t="inlineStr">
        <is>
          <t>A 4469-2026</t>
        </is>
      </c>
      <c r="B552" s="1" t="n">
        <v>46045.65662037037</v>
      </c>
      <c r="C552" s="1" t="n">
        <v>46053</v>
      </c>
      <c r="D552" t="inlineStr">
        <is>
          <t>ÖSTERGÖTLANDS LÄN</t>
        </is>
      </c>
      <c r="E552" t="inlineStr">
        <is>
          <t>LINKÖPING</t>
        </is>
      </c>
      <c r="F552" t="inlineStr">
        <is>
          <t>Övriga Aktiebolag</t>
        </is>
      </c>
      <c r="G552" t="n">
        <v>3.8</v>
      </c>
      <c r="H552" t="n">
        <v>0</v>
      </c>
      <c r="I552" t="n">
        <v>0</v>
      </c>
      <c r="J552" t="n">
        <v>0</v>
      </c>
      <c r="K552" t="n">
        <v>0</v>
      </c>
      <c r="L552" t="n">
        <v>0</v>
      </c>
      <c r="M552" t="n">
        <v>0</v>
      </c>
      <c r="N552" t="n">
        <v>0</v>
      </c>
      <c r="O552" t="n">
        <v>0</v>
      </c>
      <c r="P552" t="n">
        <v>0</v>
      </c>
      <c r="Q552" t="n">
        <v>0</v>
      </c>
      <c r="R552" s="2" t="inlineStr"/>
    </row>
    <row r="553" ht="15" customHeight="1">
      <c r="A553" t="inlineStr">
        <is>
          <t>A 34872-2023</t>
        </is>
      </c>
      <c r="B553" s="1" t="n">
        <v>45140</v>
      </c>
      <c r="C553" s="1" t="n">
        <v>46053</v>
      </c>
      <c r="D553" t="inlineStr">
        <is>
          <t>ÖSTERGÖTLANDS LÄN</t>
        </is>
      </c>
      <c r="E553" t="inlineStr">
        <is>
          <t>LINKÖPING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33000-2023</t>
        </is>
      </c>
      <c r="B554" s="1" t="n">
        <v>45125</v>
      </c>
      <c r="C554" s="1" t="n">
        <v>46053</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2997-2025</t>
        </is>
      </c>
      <c r="B555" s="1" t="n">
        <v>45678.54631944445</v>
      </c>
      <c r="C555" s="1" t="n">
        <v>46053</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31534-2023</t>
        </is>
      </c>
      <c r="B556" s="1" t="n">
        <v>45116</v>
      </c>
      <c r="C556" s="1" t="n">
        <v>46053</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26803-2024</t>
        </is>
      </c>
      <c r="B557" s="1" t="n">
        <v>45470</v>
      </c>
      <c r="C557" s="1" t="n">
        <v>46053</v>
      </c>
      <c r="D557" t="inlineStr">
        <is>
          <t>ÖSTERGÖTLANDS LÄN</t>
        </is>
      </c>
      <c r="E557" t="inlineStr">
        <is>
          <t>LINKÖPING</t>
        </is>
      </c>
      <c r="F557" t="inlineStr">
        <is>
          <t>Allmännings- och besparingsskogar</t>
        </is>
      </c>
      <c r="G557" t="n">
        <v>4.5</v>
      </c>
      <c r="H557" t="n">
        <v>0</v>
      </c>
      <c r="I557" t="n">
        <v>0</v>
      </c>
      <c r="J557" t="n">
        <v>0</v>
      </c>
      <c r="K557" t="n">
        <v>0</v>
      </c>
      <c r="L557" t="n">
        <v>0</v>
      </c>
      <c r="M557" t="n">
        <v>0</v>
      </c>
      <c r="N557" t="n">
        <v>0</v>
      </c>
      <c r="O557" t="n">
        <v>0</v>
      </c>
      <c r="P557" t="n">
        <v>0</v>
      </c>
      <c r="Q557" t="n">
        <v>0</v>
      </c>
      <c r="R557" s="2" t="inlineStr"/>
    </row>
    <row r="558" ht="15" customHeight="1">
      <c r="A558" t="inlineStr">
        <is>
          <t>A 61899-2025</t>
        </is>
      </c>
      <c r="B558" s="1" t="n">
        <v>46003.46635416667</v>
      </c>
      <c r="C558" s="1" t="n">
        <v>46053</v>
      </c>
      <c r="D558" t="inlineStr">
        <is>
          <t>ÖSTERGÖTLANDS LÄN</t>
        </is>
      </c>
      <c r="E558" t="inlineStr">
        <is>
          <t>LINKÖPING</t>
        </is>
      </c>
      <c r="G558" t="n">
        <v>2.4</v>
      </c>
      <c r="H558" t="n">
        <v>0</v>
      </c>
      <c r="I558" t="n">
        <v>0</v>
      </c>
      <c r="J558" t="n">
        <v>0</v>
      </c>
      <c r="K558" t="n">
        <v>0</v>
      </c>
      <c r="L558" t="n">
        <v>0</v>
      </c>
      <c r="M558" t="n">
        <v>0</v>
      </c>
      <c r="N558" t="n">
        <v>0</v>
      </c>
      <c r="O558" t="n">
        <v>0</v>
      </c>
      <c r="P558" t="n">
        <v>0</v>
      </c>
      <c r="Q558" t="n">
        <v>0</v>
      </c>
      <c r="R558" s="2" t="inlineStr"/>
    </row>
    <row r="559" ht="15" customHeight="1">
      <c r="A559" t="inlineStr">
        <is>
          <t>A 45806-2024</t>
        </is>
      </c>
      <c r="B559" s="1" t="n">
        <v>45579.69619212963</v>
      </c>
      <c r="C559" s="1" t="n">
        <v>46053</v>
      </c>
      <c r="D559" t="inlineStr">
        <is>
          <t>ÖSTERGÖTLANDS LÄN</t>
        </is>
      </c>
      <c r="E559" t="inlineStr">
        <is>
          <t>LINKÖPING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62791-2025</t>
        </is>
      </c>
      <c r="B560" s="1" t="n">
        <v>46008.63266203704</v>
      </c>
      <c r="C560" s="1" t="n">
        <v>46053</v>
      </c>
      <c r="D560" t="inlineStr">
        <is>
          <t>ÖSTERGÖTLANDS LÄN</t>
        </is>
      </c>
      <c r="E560" t="inlineStr">
        <is>
          <t>LINKÖPING</t>
        </is>
      </c>
      <c r="G560" t="n">
        <v>2.4</v>
      </c>
      <c r="H560" t="n">
        <v>0</v>
      </c>
      <c r="I560" t="n">
        <v>0</v>
      </c>
      <c r="J560" t="n">
        <v>0</v>
      </c>
      <c r="K560" t="n">
        <v>0</v>
      </c>
      <c r="L560" t="n">
        <v>0</v>
      </c>
      <c r="M560" t="n">
        <v>0</v>
      </c>
      <c r="N560" t="n">
        <v>0</v>
      </c>
      <c r="O560" t="n">
        <v>0</v>
      </c>
      <c r="P560" t="n">
        <v>0</v>
      </c>
      <c r="Q560" t="n">
        <v>0</v>
      </c>
      <c r="R560" s="2" t="inlineStr"/>
    </row>
    <row r="561" ht="15" customHeight="1">
      <c r="A561" t="inlineStr">
        <is>
          <t>A 5099-2026</t>
        </is>
      </c>
      <c r="B561" s="1" t="n">
        <v>46049.56158564815</v>
      </c>
      <c r="C561" s="1" t="n">
        <v>46053</v>
      </c>
      <c r="D561" t="inlineStr">
        <is>
          <t>ÖSTERGÖTLANDS LÄN</t>
        </is>
      </c>
      <c r="E561" t="inlineStr">
        <is>
          <t>LINKÖPING</t>
        </is>
      </c>
      <c r="G561" t="n">
        <v>5</v>
      </c>
      <c r="H561" t="n">
        <v>0</v>
      </c>
      <c r="I561" t="n">
        <v>0</v>
      </c>
      <c r="J561" t="n">
        <v>0</v>
      </c>
      <c r="K561" t="n">
        <v>0</v>
      </c>
      <c r="L561" t="n">
        <v>0</v>
      </c>
      <c r="M561" t="n">
        <v>0</v>
      </c>
      <c r="N561" t="n">
        <v>0</v>
      </c>
      <c r="O561" t="n">
        <v>0</v>
      </c>
      <c r="P561" t="n">
        <v>0</v>
      </c>
      <c r="Q561" t="n">
        <v>0</v>
      </c>
      <c r="R561" s="2" t="inlineStr"/>
    </row>
    <row r="562" ht="15" customHeight="1">
      <c r="A562" t="inlineStr">
        <is>
          <t>A 37154-2023</t>
        </is>
      </c>
      <c r="B562" s="1" t="n">
        <v>45155</v>
      </c>
      <c r="C562" s="1" t="n">
        <v>46053</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11330-2023</t>
        </is>
      </c>
      <c r="B563" s="1" t="n">
        <v>44993.24648148148</v>
      </c>
      <c r="C563" s="1" t="n">
        <v>46053</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42000-2023</t>
        </is>
      </c>
      <c r="B564" s="1" t="n">
        <v>45177</v>
      </c>
      <c r="C564" s="1" t="n">
        <v>46053</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62686-2025</t>
        </is>
      </c>
      <c r="B565" s="1" t="n">
        <v>46008.46769675926</v>
      </c>
      <c r="C565" s="1" t="n">
        <v>46053</v>
      </c>
      <c r="D565" t="inlineStr">
        <is>
          <t>ÖSTERGÖTLANDS LÄN</t>
        </is>
      </c>
      <c r="E565" t="inlineStr">
        <is>
          <t>LINKÖPING</t>
        </is>
      </c>
      <c r="G565" t="n">
        <v>7.6</v>
      </c>
      <c r="H565" t="n">
        <v>0</v>
      </c>
      <c r="I565" t="n">
        <v>0</v>
      </c>
      <c r="J565" t="n">
        <v>0</v>
      </c>
      <c r="K565" t="n">
        <v>0</v>
      </c>
      <c r="L565" t="n">
        <v>0</v>
      </c>
      <c r="M565" t="n">
        <v>0</v>
      </c>
      <c r="N565" t="n">
        <v>0</v>
      </c>
      <c r="O565" t="n">
        <v>0</v>
      </c>
      <c r="P565" t="n">
        <v>0</v>
      </c>
      <c r="Q565" t="n">
        <v>0</v>
      </c>
      <c r="R565" s="2" t="inlineStr"/>
    </row>
    <row r="566" ht="15" customHeight="1">
      <c r="A566" t="inlineStr">
        <is>
          <t>A 32602-2022</t>
        </is>
      </c>
      <c r="B566" s="1" t="n">
        <v>44783.43192129629</v>
      </c>
      <c r="C566" s="1" t="n">
        <v>46053</v>
      </c>
      <c r="D566" t="inlineStr">
        <is>
          <t>ÖSTERGÖTLANDS LÄN</t>
        </is>
      </c>
      <c r="E566" t="inlineStr">
        <is>
          <t>LINKÖPING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62515-2025</t>
        </is>
      </c>
      <c r="B567" s="1" t="n">
        <v>46007.60548611111</v>
      </c>
      <c r="C567" s="1" t="n">
        <v>46053</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927-2026</t>
        </is>
      </c>
      <c r="B568" s="1" t="n">
        <v>46030.50560185185</v>
      </c>
      <c r="C568" s="1" t="n">
        <v>46053</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5545-2026</t>
        </is>
      </c>
      <c r="B569" s="1" t="n">
        <v>46050.70089120371</v>
      </c>
      <c r="C569" s="1" t="n">
        <v>46053</v>
      </c>
      <c r="D569" t="inlineStr">
        <is>
          <t>ÖSTERGÖTLANDS LÄN</t>
        </is>
      </c>
      <c r="E569" t="inlineStr">
        <is>
          <t>LINKÖPING</t>
        </is>
      </c>
      <c r="G569" t="n">
        <v>1.4</v>
      </c>
      <c r="H569" t="n">
        <v>0</v>
      </c>
      <c r="I569" t="n">
        <v>0</v>
      </c>
      <c r="J569" t="n">
        <v>0</v>
      </c>
      <c r="K569" t="n">
        <v>0</v>
      </c>
      <c r="L569" t="n">
        <v>0</v>
      </c>
      <c r="M569" t="n">
        <v>0</v>
      </c>
      <c r="N569" t="n">
        <v>0</v>
      </c>
      <c r="O569" t="n">
        <v>0</v>
      </c>
      <c r="P569" t="n">
        <v>0</v>
      </c>
      <c r="Q569" t="n">
        <v>0</v>
      </c>
      <c r="R569" s="2" t="inlineStr"/>
    </row>
    <row r="570" ht="15" customHeight="1">
      <c r="A570" t="inlineStr">
        <is>
          <t>A 63147-2025</t>
        </is>
      </c>
      <c r="B570" s="1" t="n">
        <v>46010.35003472222</v>
      </c>
      <c r="C570" s="1" t="n">
        <v>46053</v>
      </c>
      <c r="D570" t="inlineStr">
        <is>
          <t>ÖSTERGÖTLANDS LÄN</t>
        </is>
      </c>
      <c r="E570" t="inlineStr">
        <is>
          <t>LINKÖPING</t>
        </is>
      </c>
      <c r="G570" t="n">
        <v>4</v>
      </c>
      <c r="H570" t="n">
        <v>0</v>
      </c>
      <c r="I570" t="n">
        <v>0</v>
      </c>
      <c r="J570" t="n">
        <v>0</v>
      </c>
      <c r="K570" t="n">
        <v>0</v>
      </c>
      <c r="L570" t="n">
        <v>0</v>
      </c>
      <c r="M570" t="n">
        <v>0</v>
      </c>
      <c r="N570" t="n">
        <v>0</v>
      </c>
      <c r="O570" t="n">
        <v>0</v>
      </c>
      <c r="P570" t="n">
        <v>0</v>
      </c>
      <c r="Q570" t="n">
        <v>0</v>
      </c>
      <c r="R570" s="2" t="inlineStr"/>
    </row>
    <row r="571" ht="15" customHeight="1">
      <c r="A571" t="inlineStr">
        <is>
          <t>A 63144-2025</t>
        </is>
      </c>
      <c r="B571" s="1" t="n">
        <v>46010.34716435185</v>
      </c>
      <c r="C571" s="1" t="n">
        <v>46053</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13413-2023</t>
        </is>
      </c>
      <c r="B572" s="1" t="n">
        <v>45005.58341435185</v>
      </c>
      <c r="C572" s="1" t="n">
        <v>46053</v>
      </c>
      <c r="D572" t="inlineStr">
        <is>
          <t>ÖSTERGÖTLANDS LÄN</t>
        </is>
      </c>
      <c r="E572" t="inlineStr">
        <is>
          <t>LINKÖPING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63528-2023</t>
        </is>
      </c>
      <c r="B573" s="1" t="n">
        <v>45274.94810185185</v>
      </c>
      <c r="C573" s="1" t="n">
        <v>46053</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63638-2023</t>
        </is>
      </c>
      <c r="B574" s="1" t="n">
        <v>45275</v>
      </c>
      <c r="C574" s="1" t="n">
        <v>46053</v>
      </c>
      <c r="D574" t="inlineStr">
        <is>
          <t>ÖSTERGÖTLANDS LÄN</t>
        </is>
      </c>
      <c r="E574" t="inlineStr">
        <is>
          <t>LINKÖPING</t>
        </is>
      </c>
      <c r="F574" t="inlineStr">
        <is>
          <t>Övriga Aktiebolag</t>
        </is>
      </c>
      <c r="G574" t="n">
        <v>2.4</v>
      </c>
      <c r="H574" t="n">
        <v>0</v>
      </c>
      <c r="I574" t="n">
        <v>0</v>
      </c>
      <c r="J574" t="n">
        <v>0</v>
      </c>
      <c r="K574" t="n">
        <v>0</v>
      </c>
      <c r="L574" t="n">
        <v>0</v>
      </c>
      <c r="M574" t="n">
        <v>0</v>
      </c>
      <c r="N574" t="n">
        <v>0</v>
      </c>
      <c r="O574" t="n">
        <v>0</v>
      </c>
      <c r="P574" t="n">
        <v>0</v>
      </c>
      <c r="Q574" t="n">
        <v>0</v>
      </c>
      <c r="R574" s="2" t="inlineStr"/>
    </row>
    <row r="575" ht="15" customHeight="1">
      <c r="A575" t="inlineStr">
        <is>
          <t>A 63658-2023</t>
        </is>
      </c>
      <c r="B575" s="1" t="n">
        <v>45275</v>
      </c>
      <c r="C575" s="1" t="n">
        <v>46053</v>
      </c>
      <c r="D575" t="inlineStr">
        <is>
          <t>ÖSTERGÖTLANDS LÄN</t>
        </is>
      </c>
      <c r="E575" t="inlineStr">
        <is>
          <t>LINKÖPING</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7808-2022</t>
        </is>
      </c>
      <c r="B576" s="1" t="n">
        <v>44608</v>
      </c>
      <c r="C576" s="1" t="n">
        <v>46053</v>
      </c>
      <c r="D576" t="inlineStr">
        <is>
          <t>ÖSTERGÖTLANDS LÄN</t>
        </is>
      </c>
      <c r="E576" t="inlineStr">
        <is>
          <t>LINKÖPING</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36336-2023</t>
        </is>
      </c>
      <c r="B577" s="1" t="n">
        <v>45152.45078703704</v>
      </c>
      <c r="C577" s="1" t="n">
        <v>46053</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56623-2024</t>
        </is>
      </c>
      <c r="B578" s="1" t="n">
        <v>45625</v>
      </c>
      <c r="C578" s="1" t="n">
        <v>46053</v>
      </c>
      <c r="D578" t="inlineStr">
        <is>
          <t>ÖSTERGÖTLANDS LÄN</t>
        </is>
      </c>
      <c r="E578" t="inlineStr">
        <is>
          <t>LINKÖPING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13011-2022</t>
        </is>
      </c>
      <c r="B579" s="1" t="n">
        <v>44643</v>
      </c>
      <c r="C579" s="1" t="n">
        <v>46053</v>
      </c>
      <c r="D579" t="inlineStr">
        <is>
          <t>ÖSTERGÖTLANDS LÄN</t>
        </is>
      </c>
      <c r="E579" t="inlineStr">
        <is>
          <t>LINKÖPING</t>
        </is>
      </c>
      <c r="G579" t="n">
        <v>3.7</v>
      </c>
      <c r="H579" t="n">
        <v>0</v>
      </c>
      <c r="I579" t="n">
        <v>0</v>
      </c>
      <c r="J579" t="n">
        <v>0</v>
      </c>
      <c r="K579" t="n">
        <v>0</v>
      </c>
      <c r="L579" t="n">
        <v>0</v>
      </c>
      <c r="M579" t="n">
        <v>0</v>
      </c>
      <c r="N579" t="n">
        <v>0</v>
      </c>
      <c r="O579" t="n">
        <v>0</v>
      </c>
      <c r="P579" t="n">
        <v>0</v>
      </c>
      <c r="Q579" t="n">
        <v>0</v>
      </c>
      <c r="R579" s="2" t="inlineStr"/>
    </row>
    <row r="580" ht="15" customHeight="1">
      <c r="A580" t="inlineStr">
        <is>
          <t>A 11595-2025</t>
        </is>
      </c>
      <c r="B580" s="1" t="n">
        <v>45727.41893518518</v>
      </c>
      <c r="C580" s="1" t="n">
        <v>46053</v>
      </c>
      <c r="D580" t="inlineStr">
        <is>
          <t>ÖSTERGÖTLANDS LÄN</t>
        </is>
      </c>
      <c r="E580" t="inlineStr">
        <is>
          <t>LINKÖPING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50508-2024</t>
        </is>
      </c>
      <c r="B581" s="1" t="n">
        <v>45601.53907407408</v>
      </c>
      <c r="C581" s="1" t="n">
        <v>46053</v>
      </c>
      <c r="D581" t="inlineStr">
        <is>
          <t>ÖSTERGÖTLANDS LÄN</t>
        </is>
      </c>
      <c r="E581" t="inlineStr">
        <is>
          <t>LINKÖPING</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36336-2022</t>
        </is>
      </c>
      <c r="B582" s="1" t="n">
        <v>44803</v>
      </c>
      <c r="C582" s="1" t="n">
        <v>46053</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48839-2022</t>
        </is>
      </c>
      <c r="B583" s="1" t="n">
        <v>44859</v>
      </c>
      <c r="C583" s="1" t="n">
        <v>46053</v>
      </c>
      <c r="D583" t="inlineStr">
        <is>
          <t>ÖSTERGÖTLANDS LÄN</t>
        </is>
      </c>
      <c r="E583" t="inlineStr">
        <is>
          <t>LINKÖPING</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46053</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46053</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46053</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46053</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52413-2023</t>
        </is>
      </c>
      <c r="B588" s="1" t="n">
        <v>45225.27950231481</v>
      </c>
      <c r="C588" s="1" t="n">
        <v>46053</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42054-2022</t>
        </is>
      </c>
      <c r="B589" s="1" t="n">
        <v>44830</v>
      </c>
      <c r="C589" s="1" t="n">
        <v>46053</v>
      </c>
      <c r="D589" t="inlineStr">
        <is>
          <t>ÖSTERGÖTLANDS LÄN</t>
        </is>
      </c>
      <c r="E589" t="inlineStr">
        <is>
          <t>LINKÖPING</t>
        </is>
      </c>
      <c r="G589" t="n">
        <v>1.7</v>
      </c>
      <c r="H589" t="n">
        <v>0</v>
      </c>
      <c r="I589" t="n">
        <v>0</v>
      </c>
      <c r="J589" t="n">
        <v>0</v>
      </c>
      <c r="K589" t="n">
        <v>0</v>
      </c>
      <c r="L589" t="n">
        <v>0</v>
      </c>
      <c r="M589" t="n">
        <v>0</v>
      </c>
      <c r="N589" t="n">
        <v>0</v>
      </c>
      <c r="O589" t="n">
        <v>0</v>
      </c>
      <c r="P589" t="n">
        <v>0</v>
      </c>
      <c r="Q589" t="n">
        <v>0</v>
      </c>
      <c r="R589" s="2" t="inlineStr"/>
    </row>
    <row r="590" ht="15" customHeight="1">
      <c r="A590" t="inlineStr">
        <is>
          <t>A 53797-2023</t>
        </is>
      </c>
      <c r="B590" s="1" t="n">
        <v>45230</v>
      </c>
      <c r="C590" s="1" t="n">
        <v>46053</v>
      </c>
      <c r="D590" t="inlineStr">
        <is>
          <t>ÖSTERGÖTLANDS LÄN</t>
        </is>
      </c>
      <c r="E590" t="inlineStr">
        <is>
          <t>LINKÖPING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22833-2023</t>
        </is>
      </c>
      <c r="B591" s="1" t="n">
        <v>45071</v>
      </c>
      <c r="C591" s="1" t="n">
        <v>46053</v>
      </c>
      <c r="D591" t="inlineStr">
        <is>
          <t>ÖSTERGÖTLANDS LÄN</t>
        </is>
      </c>
      <c r="E591" t="inlineStr">
        <is>
          <t>LINKÖPING</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17898-2022</t>
        </is>
      </c>
      <c r="B592" s="1" t="n">
        <v>44683</v>
      </c>
      <c r="C592" s="1" t="n">
        <v>46053</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62017-2024</t>
        </is>
      </c>
      <c r="B593" s="1" t="n">
        <v>45655.81140046296</v>
      </c>
      <c r="C593" s="1" t="n">
        <v>46053</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12411-2022</t>
        </is>
      </c>
      <c r="B594" s="1" t="n">
        <v>44638.21601851852</v>
      </c>
      <c r="C594" s="1" t="n">
        <v>46053</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10492-2022</t>
        </is>
      </c>
      <c r="B595" s="1" t="n">
        <v>44623.6377199074</v>
      </c>
      <c r="C595" s="1" t="n">
        <v>46053</v>
      </c>
      <c r="D595" t="inlineStr">
        <is>
          <t>ÖSTERGÖTLANDS LÄN</t>
        </is>
      </c>
      <c r="E595" t="inlineStr">
        <is>
          <t>LINKÖPING</t>
        </is>
      </c>
      <c r="G595" t="n">
        <v>2.1</v>
      </c>
      <c r="H595" t="n">
        <v>0</v>
      </c>
      <c r="I595" t="n">
        <v>0</v>
      </c>
      <c r="J595" t="n">
        <v>0</v>
      </c>
      <c r="K595" t="n">
        <v>0</v>
      </c>
      <c r="L595" t="n">
        <v>0</v>
      </c>
      <c r="M595" t="n">
        <v>0</v>
      </c>
      <c r="N595" t="n">
        <v>0</v>
      </c>
      <c r="O595" t="n">
        <v>0</v>
      </c>
      <c r="P595" t="n">
        <v>0</v>
      </c>
      <c r="Q595" t="n">
        <v>0</v>
      </c>
      <c r="R595" s="2" t="inlineStr"/>
    </row>
    <row r="596" ht="15" customHeight="1">
      <c r="A596" t="inlineStr">
        <is>
          <t>A 7343-2025</t>
        </is>
      </c>
      <c r="B596" s="1" t="n">
        <v>45703.67853009259</v>
      </c>
      <c r="C596" s="1" t="n">
        <v>46053</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8967-2025</t>
        </is>
      </c>
      <c r="B597" s="1" t="n">
        <v>45712</v>
      </c>
      <c r="C597" s="1" t="n">
        <v>46053</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35427-2023</t>
        </is>
      </c>
      <c r="B598" s="1" t="n">
        <v>45146</v>
      </c>
      <c r="C598" s="1" t="n">
        <v>46053</v>
      </c>
      <c r="D598" t="inlineStr">
        <is>
          <t>ÖSTERGÖTLANDS LÄN</t>
        </is>
      </c>
      <c r="E598" t="inlineStr">
        <is>
          <t>LINKÖPING</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30468-2023</t>
        </is>
      </c>
      <c r="B599" s="1" t="n">
        <v>45111.58732638889</v>
      </c>
      <c r="C599" s="1" t="n">
        <v>46053</v>
      </c>
      <c r="D599" t="inlineStr">
        <is>
          <t>ÖSTERGÖTLANDS LÄN</t>
        </is>
      </c>
      <c r="E599" t="inlineStr">
        <is>
          <t>LINKÖPING</t>
        </is>
      </c>
      <c r="G599" t="n">
        <v>10.1</v>
      </c>
      <c r="H599" t="n">
        <v>0</v>
      </c>
      <c r="I599" t="n">
        <v>0</v>
      </c>
      <c r="J599" t="n">
        <v>0</v>
      </c>
      <c r="K599" t="n">
        <v>0</v>
      </c>
      <c r="L599" t="n">
        <v>0</v>
      </c>
      <c r="M599" t="n">
        <v>0</v>
      </c>
      <c r="N599" t="n">
        <v>0</v>
      </c>
      <c r="O599" t="n">
        <v>0</v>
      </c>
      <c r="P599" t="n">
        <v>0</v>
      </c>
      <c r="Q599" t="n">
        <v>0</v>
      </c>
      <c r="R599" s="2" t="inlineStr"/>
    </row>
    <row r="600" ht="15" customHeight="1">
      <c r="A600" t="inlineStr">
        <is>
          <t>A 20296-2025</t>
        </is>
      </c>
      <c r="B600" s="1" t="n">
        <v>45774.74922453704</v>
      </c>
      <c r="C600" s="1" t="n">
        <v>46053</v>
      </c>
      <c r="D600" t="inlineStr">
        <is>
          <t>ÖSTERGÖTLANDS LÄN</t>
        </is>
      </c>
      <c r="E600" t="inlineStr">
        <is>
          <t>LINKÖPING</t>
        </is>
      </c>
      <c r="G600" t="n">
        <v>2.2</v>
      </c>
      <c r="H600" t="n">
        <v>0</v>
      </c>
      <c r="I600" t="n">
        <v>0</v>
      </c>
      <c r="J600" t="n">
        <v>0</v>
      </c>
      <c r="K600" t="n">
        <v>0</v>
      </c>
      <c r="L600" t="n">
        <v>0</v>
      </c>
      <c r="M600" t="n">
        <v>0</v>
      </c>
      <c r="N600" t="n">
        <v>0</v>
      </c>
      <c r="O600" t="n">
        <v>0</v>
      </c>
      <c r="P600" t="n">
        <v>0</v>
      </c>
      <c r="Q600" t="n">
        <v>0</v>
      </c>
      <c r="R600" s="2" t="inlineStr"/>
    </row>
    <row r="601" ht="15" customHeight="1">
      <c r="A601" t="inlineStr">
        <is>
          <t>A 56841-2023</t>
        </is>
      </c>
      <c r="B601" s="1" t="n">
        <v>45244</v>
      </c>
      <c r="C601" s="1" t="n">
        <v>46053</v>
      </c>
      <c r="D601" t="inlineStr">
        <is>
          <t>ÖSTERGÖTLANDS LÄN</t>
        </is>
      </c>
      <c r="E601" t="inlineStr">
        <is>
          <t>LINKÖPING</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53812-2023</t>
        </is>
      </c>
      <c r="B602" s="1" t="n">
        <v>45231.39583333334</v>
      </c>
      <c r="C602" s="1" t="n">
        <v>46053</v>
      </c>
      <c r="D602" t="inlineStr">
        <is>
          <t>ÖSTERGÖTLANDS LÄN</t>
        </is>
      </c>
      <c r="E602" t="inlineStr">
        <is>
          <t>LINKÖPING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53830-2023</t>
        </is>
      </c>
      <c r="B603" s="1" t="n">
        <v>45230</v>
      </c>
      <c r="C603" s="1" t="n">
        <v>46053</v>
      </c>
      <c r="D603" t="inlineStr">
        <is>
          <t>ÖSTERGÖTLANDS LÄN</t>
        </is>
      </c>
      <c r="E603" t="inlineStr">
        <is>
          <t>LINKÖPING</t>
        </is>
      </c>
      <c r="G603" t="n">
        <v>1.5</v>
      </c>
      <c r="H603" t="n">
        <v>0</v>
      </c>
      <c r="I603" t="n">
        <v>0</v>
      </c>
      <c r="J603" t="n">
        <v>0</v>
      </c>
      <c r="K603" t="n">
        <v>0</v>
      </c>
      <c r="L603" t="n">
        <v>0</v>
      </c>
      <c r="M603" t="n">
        <v>0</v>
      </c>
      <c r="N603" t="n">
        <v>0</v>
      </c>
      <c r="O603" t="n">
        <v>0</v>
      </c>
      <c r="P603" t="n">
        <v>0</v>
      </c>
      <c r="Q603" t="n">
        <v>0</v>
      </c>
      <c r="R603" s="2" t="inlineStr"/>
    </row>
    <row r="604" ht="15" customHeight="1">
      <c r="A604" t="inlineStr">
        <is>
          <t>A 38715-2023</t>
        </is>
      </c>
      <c r="B604" s="1" t="n">
        <v>45160</v>
      </c>
      <c r="C604" s="1" t="n">
        <v>46053</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27766-2022</t>
        </is>
      </c>
      <c r="B605" s="1" t="n">
        <v>44743.53112268518</v>
      </c>
      <c r="C605" s="1" t="n">
        <v>46053</v>
      </c>
      <c r="D605" t="inlineStr">
        <is>
          <t>ÖSTERGÖTLANDS LÄN</t>
        </is>
      </c>
      <c r="E605" t="inlineStr">
        <is>
          <t>LINKÖPING</t>
        </is>
      </c>
      <c r="G605" t="n">
        <v>2</v>
      </c>
      <c r="H605" t="n">
        <v>0</v>
      </c>
      <c r="I605" t="n">
        <v>0</v>
      </c>
      <c r="J605" t="n">
        <v>0</v>
      </c>
      <c r="K605" t="n">
        <v>0</v>
      </c>
      <c r="L605" t="n">
        <v>0</v>
      </c>
      <c r="M605" t="n">
        <v>0</v>
      </c>
      <c r="N605" t="n">
        <v>0</v>
      </c>
      <c r="O605" t="n">
        <v>0</v>
      </c>
      <c r="P605" t="n">
        <v>0</v>
      </c>
      <c r="Q605" t="n">
        <v>0</v>
      </c>
      <c r="R605" s="2" t="inlineStr"/>
    </row>
    <row r="606" ht="15" customHeight="1">
      <c r="A606" t="inlineStr">
        <is>
          <t>A 48271-2023</t>
        </is>
      </c>
      <c r="B606" s="1" t="n">
        <v>45205</v>
      </c>
      <c r="C606" s="1" t="n">
        <v>46053</v>
      </c>
      <c r="D606" t="inlineStr">
        <is>
          <t>ÖSTERGÖTLANDS LÄN</t>
        </is>
      </c>
      <c r="E606" t="inlineStr">
        <is>
          <t>LINKÖPING</t>
        </is>
      </c>
      <c r="G606" t="n">
        <v>3</v>
      </c>
      <c r="H606" t="n">
        <v>0</v>
      </c>
      <c r="I606" t="n">
        <v>0</v>
      </c>
      <c r="J606" t="n">
        <v>0</v>
      </c>
      <c r="K606" t="n">
        <v>0</v>
      </c>
      <c r="L606" t="n">
        <v>0</v>
      </c>
      <c r="M606" t="n">
        <v>0</v>
      </c>
      <c r="N606" t="n">
        <v>0</v>
      </c>
      <c r="O606" t="n">
        <v>0</v>
      </c>
      <c r="P606" t="n">
        <v>0</v>
      </c>
      <c r="Q606" t="n">
        <v>0</v>
      </c>
      <c r="R606" s="2" t="inlineStr"/>
    </row>
    <row r="607" ht="15" customHeight="1">
      <c r="A607" t="inlineStr">
        <is>
          <t>A 13266-2025</t>
        </is>
      </c>
      <c r="B607" s="1" t="n">
        <v>45735.53318287037</v>
      </c>
      <c r="C607" s="1" t="n">
        <v>46053</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60001-2022</t>
        </is>
      </c>
      <c r="B608" s="1" t="n">
        <v>44909.47087962963</v>
      </c>
      <c r="C608" s="1" t="n">
        <v>46053</v>
      </c>
      <c r="D608" t="inlineStr">
        <is>
          <t>ÖSTERGÖTLANDS LÄN</t>
        </is>
      </c>
      <c r="E608" t="inlineStr">
        <is>
          <t>LINKÖPING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1657-2024</t>
        </is>
      </c>
      <c r="B609" s="1" t="n">
        <v>45306.82501157407</v>
      </c>
      <c r="C609" s="1" t="n">
        <v>46053</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30976-2022</t>
        </is>
      </c>
      <c r="B610" s="1" t="n">
        <v>44768</v>
      </c>
      <c r="C610" s="1" t="n">
        <v>46053</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30860-2022</t>
        </is>
      </c>
      <c r="B611" s="1" t="n">
        <v>44767</v>
      </c>
      <c r="C611" s="1" t="n">
        <v>46053</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48186-2022</t>
        </is>
      </c>
      <c r="B612" s="1" t="n">
        <v>44858</v>
      </c>
      <c r="C612" s="1" t="n">
        <v>46053</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28266-2024</t>
        </is>
      </c>
      <c r="B613" s="1" t="n">
        <v>45477.43600694444</v>
      </c>
      <c r="C613" s="1" t="n">
        <v>46053</v>
      </c>
      <c r="D613" t="inlineStr">
        <is>
          <t>ÖSTERGÖTLANDS LÄN</t>
        </is>
      </c>
      <c r="E613" t="inlineStr">
        <is>
          <t>LINKÖPING</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31548-2022</t>
        </is>
      </c>
      <c r="B614" s="1" t="n">
        <v>44775.39832175926</v>
      </c>
      <c r="C614" s="1" t="n">
        <v>46053</v>
      </c>
      <c r="D614" t="inlineStr">
        <is>
          <t>ÖSTERGÖTLANDS LÄN</t>
        </is>
      </c>
      <c r="E614" t="inlineStr">
        <is>
          <t>LINKÖPING</t>
        </is>
      </c>
      <c r="G614" t="n">
        <v>0.9</v>
      </c>
      <c r="H614" t="n">
        <v>0</v>
      </c>
      <c r="I614" t="n">
        <v>0</v>
      </c>
      <c r="J614" t="n">
        <v>0</v>
      </c>
      <c r="K614" t="n">
        <v>0</v>
      </c>
      <c r="L614" t="n">
        <v>0</v>
      </c>
      <c r="M614" t="n">
        <v>0</v>
      </c>
      <c r="N614" t="n">
        <v>0</v>
      </c>
      <c r="O614" t="n">
        <v>0</v>
      </c>
      <c r="P614" t="n">
        <v>0</v>
      </c>
      <c r="Q614" t="n">
        <v>0</v>
      </c>
      <c r="R614" s="2" t="inlineStr"/>
    </row>
    <row r="615" ht="15" customHeight="1">
      <c r="A615" t="inlineStr">
        <is>
          <t>A 1211-2023</t>
        </is>
      </c>
      <c r="B615" s="1" t="n">
        <v>44930</v>
      </c>
      <c r="C615" s="1" t="n">
        <v>46053</v>
      </c>
      <c r="D615" t="inlineStr">
        <is>
          <t>ÖSTERGÖTLANDS LÄN</t>
        </is>
      </c>
      <c r="E615" t="inlineStr">
        <is>
          <t>LINKÖPING</t>
        </is>
      </c>
      <c r="F615" t="inlineStr">
        <is>
          <t>Övriga statliga verk och myndigheter</t>
        </is>
      </c>
      <c r="G615" t="n">
        <v>7.9</v>
      </c>
      <c r="H615" t="n">
        <v>0</v>
      </c>
      <c r="I615" t="n">
        <v>0</v>
      </c>
      <c r="J615" t="n">
        <v>0</v>
      </c>
      <c r="K615" t="n">
        <v>0</v>
      </c>
      <c r="L615" t="n">
        <v>0</v>
      </c>
      <c r="M615" t="n">
        <v>0</v>
      </c>
      <c r="N615" t="n">
        <v>0</v>
      </c>
      <c r="O615" t="n">
        <v>0</v>
      </c>
      <c r="P615" t="n">
        <v>0</v>
      </c>
      <c r="Q615" t="n">
        <v>0</v>
      </c>
      <c r="R615" s="2" t="inlineStr"/>
    </row>
    <row r="616" ht="15" customHeight="1">
      <c r="A616" t="inlineStr">
        <is>
          <t>A 51191-2022</t>
        </is>
      </c>
      <c r="B616" s="1" t="n">
        <v>44865</v>
      </c>
      <c r="C616" s="1" t="n">
        <v>46053</v>
      </c>
      <c r="D616" t="inlineStr">
        <is>
          <t>ÖSTERGÖTLANDS LÄN</t>
        </is>
      </c>
      <c r="E616" t="inlineStr">
        <is>
          <t>LINKÖPING</t>
        </is>
      </c>
      <c r="G616" t="n">
        <v>2.2</v>
      </c>
      <c r="H616" t="n">
        <v>0</v>
      </c>
      <c r="I616" t="n">
        <v>0</v>
      </c>
      <c r="J616" t="n">
        <v>0</v>
      </c>
      <c r="K616" t="n">
        <v>0</v>
      </c>
      <c r="L616" t="n">
        <v>0</v>
      </c>
      <c r="M616" t="n">
        <v>0</v>
      </c>
      <c r="N616" t="n">
        <v>0</v>
      </c>
      <c r="O616" t="n">
        <v>0</v>
      </c>
      <c r="P616" t="n">
        <v>0</v>
      </c>
      <c r="Q616" t="n">
        <v>0</v>
      </c>
      <c r="R616" s="2" t="inlineStr"/>
    </row>
    <row r="617" ht="15" customHeight="1">
      <c r="A617" t="inlineStr">
        <is>
          <t>A 55632-2022</t>
        </is>
      </c>
      <c r="B617" s="1" t="n">
        <v>44888</v>
      </c>
      <c r="C617" s="1" t="n">
        <v>46053</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63669-2023</t>
        </is>
      </c>
      <c r="B618" s="1" t="n">
        <v>45275</v>
      </c>
      <c r="C618" s="1" t="n">
        <v>46053</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12289-2025</t>
        </is>
      </c>
      <c r="B619" s="1" t="n">
        <v>45729</v>
      </c>
      <c r="C619" s="1" t="n">
        <v>46053</v>
      </c>
      <c r="D619" t="inlineStr">
        <is>
          <t>ÖSTERGÖTLANDS LÄN</t>
        </is>
      </c>
      <c r="E619" t="inlineStr">
        <is>
          <t>LINKÖPING</t>
        </is>
      </c>
      <c r="F619" t="inlineStr">
        <is>
          <t>Övriga statliga verk och myndigheter</t>
        </is>
      </c>
      <c r="G619" t="n">
        <v>6.5</v>
      </c>
      <c r="H619" t="n">
        <v>0</v>
      </c>
      <c r="I619" t="n">
        <v>0</v>
      </c>
      <c r="J619" t="n">
        <v>0</v>
      </c>
      <c r="K619" t="n">
        <v>0</v>
      </c>
      <c r="L619" t="n">
        <v>0</v>
      </c>
      <c r="M619" t="n">
        <v>0</v>
      </c>
      <c r="N619" t="n">
        <v>0</v>
      </c>
      <c r="O619" t="n">
        <v>0</v>
      </c>
      <c r="P619" t="n">
        <v>0</v>
      </c>
      <c r="Q619" t="n">
        <v>0</v>
      </c>
      <c r="R619" s="2" t="inlineStr"/>
    </row>
    <row r="620" ht="15" customHeight="1">
      <c r="A620" t="inlineStr">
        <is>
          <t>A 36657-2023</t>
        </is>
      </c>
      <c r="B620" s="1" t="n">
        <v>45153.5702662037</v>
      </c>
      <c r="C620" s="1" t="n">
        <v>46053</v>
      </c>
      <c r="D620" t="inlineStr">
        <is>
          <t>ÖSTERGÖTLANDS LÄN</t>
        </is>
      </c>
      <c r="E620" t="inlineStr">
        <is>
          <t>LINKÖPING</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19169-2023</t>
        </is>
      </c>
      <c r="B621" s="1" t="n">
        <v>45044</v>
      </c>
      <c r="C621" s="1" t="n">
        <v>46053</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1209-2023</t>
        </is>
      </c>
      <c r="B622" s="1" t="n">
        <v>44930</v>
      </c>
      <c r="C622" s="1" t="n">
        <v>46053</v>
      </c>
      <c r="D622" t="inlineStr">
        <is>
          <t>ÖSTERGÖTLANDS LÄN</t>
        </is>
      </c>
      <c r="E622" t="inlineStr">
        <is>
          <t>LINKÖPING</t>
        </is>
      </c>
      <c r="F622" t="inlineStr">
        <is>
          <t>Övriga statliga verk och myndigheter</t>
        </is>
      </c>
      <c r="G622" t="n">
        <v>25.8</v>
      </c>
      <c r="H622" t="n">
        <v>0</v>
      </c>
      <c r="I622" t="n">
        <v>0</v>
      </c>
      <c r="J622" t="n">
        <v>0</v>
      </c>
      <c r="K622" t="n">
        <v>0</v>
      </c>
      <c r="L622" t="n">
        <v>0</v>
      </c>
      <c r="M622" t="n">
        <v>0</v>
      </c>
      <c r="N622" t="n">
        <v>0</v>
      </c>
      <c r="O622" t="n">
        <v>0</v>
      </c>
      <c r="P622" t="n">
        <v>0</v>
      </c>
      <c r="Q622" t="n">
        <v>0</v>
      </c>
      <c r="R622" s="2" t="inlineStr"/>
    </row>
    <row r="623" ht="15" customHeight="1">
      <c r="A623" t="inlineStr">
        <is>
          <t>A 2085-2024</t>
        </is>
      </c>
      <c r="B623" s="1" t="n">
        <v>45309</v>
      </c>
      <c r="C623" s="1" t="n">
        <v>46053</v>
      </c>
      <c r="D623" t="inlineStr">
        <is>
          <t>ÖSTERGÖTLANDS LÄN</t>
        </is>
      </c>
      <c r="E623" t="inlineStr">
        <is>
          <t>LINKÖPING</t>
        </is>
      </c>
      <c r="G623" t="n">
        <v>4.5</v>
      </c>
      <c r="H623" t="n">
        <v>0</v>
      </c>
      <c r="I623" t="n">
        <v>0</v>
      </c>
      <c r="J623" t="n">
        <v>0</v>
      </c>
      <c r="K623" t="n">
        <v>0</v>
      </c>
      <c r="L623" t="n">
        <v>0</v>
      </c>
      <c r="M623" t="n">
        <v>0</v>
      </c>
      <c r="N623" t="n">
        <v>0</v>
      </c>
      <c r="O623" t="n">
        <v>0</v>
      </c>
      <c r="P623" t="n">
        <v>0</v>
      </c>
      <c r="Q623" t="n">
        <v>0</v>
      </c>
      <c r="R623" s="2" t="inlineStr"/>
    </row>
    <row r="624" ht="15" customHeight="1">
      <c r="A624" t="inlineStr">
        <is>
          <t>A 48-2024</t>
        </is>
      </c>
      <c r="B624" s="1" t="n">
        <v>45293</v>
      </c>
      <c r="C624" s="1" t="n">
        <v>46053</v>
      </c>
      <c r="D624" t="inlineStr">
        <is>
          <t>ÖSTERGÖTLANDS LÄN</t>
        </is>
      </c>
      <c r="E624" t="inlineStr">
        <is>
          <t>LINKÖPING</t>
        </is>
      </c>
      <c r="G624" t="n">
        <v>4.6</v>
      </c>
      <c r="H624" t="n">
        <v>0</v>
      </c>
      <c r="I624" t="n">
        <v>0</v>
      </c>
      <c r="J624" t="n">
        <v>0</v>
      </c>
      <c r="K624" t="n">
        <v>0</v>
      </c>
      <c r="L624" t="n">
        <v>0</v>
      </c>
      <c r="M624" t="n">
        <v>0</v>
      </c>
      <c r="N624" t="n">
        <v>0</v>
      </c>
      <c r="O624" t="n">
        <v>0</v>
      </c>
      <c r="P624" t="n">
        <v>0</v>
      </c>
      <c r="Q624" t="n">
        <v>0</v>
      </c>
      <c r="R624" s="2" t="inlineStr"/>
    </row>
    <row r="625" ht="15" customHeight="1">
      <c r="A625" t="inlineStr">
        <is>
          <t>A 56560-2023</t>
        </is>
      </c>
      <c r="B625" s="1" t="n">
        <v>45238</v>
      </c>
      <c r="C625" s="1" t="n">
        <v>46053</v>
      </c>
      <c r="D625" t="inlineStr">
        <is>
          <t>ÖSTERGÖTLANDS LÄN</t>
        </is>
      </c>
      <c r="E625" t="inlineStr">
        <is>
          <t>LINKÖPING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19132-2023</t>
        </is>
      </c>
      <c r="B626" s="1" t="n">
        <v>45048.54754629629</v>
      </c>
      <c r="C626" s="1" t="n">
        <v>46053</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52412-2023</t>
        </is>
      </c>
      <c r="B627" s="1" t="n">
        <v>45225.27888888889</v>
      </c>
      <c r="C627" s="1" t="n">
        <v>46053</v>
      </c>
      <c r="D627" t="inlineStr">
        <is>
          <t>ÖSTERGÖTLANDS LÄN</t>
        </is>
      </c>
      <c r="E627" t="inlineStr">
        <is>
          <t>LINKÖPING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62492-2023</t>
        </is>
      </c>
      <c r="B628" s="1" t="n">
        <v>45268.58987268519</v>
      </c>
      <c r="C628" s="1" t="n">
        <v>46053</v>
      </c>
      <c r="D628" t="inlineStr">
        <is>
          <t>ÖSTERGÖTLANDS LÄN</t>
        </is>
      </c>
      <c r="E628" t="inlineStr">
        <is>
          <t>LINKÖPING</t>
        </is>
      </c>
      <c r="G628" t="n">
        <v>1.8</v>
      </c>
      <c r="H628" t="n">
        <v>0</v>
      </c>
      <c r="I628" t="n">
        <v>0</v>
      </c>
      <c r="J628" t="n">
        <v>0</v>
      </c>
      <c r="K628" t="n">
        <v>0</v>
      </c>
      <c r="L628" t="n">
        <v>0</v>
      </c>
      <c r="M628" t="n">
        <v>0</v>
      </c>
      <c r="N628" t="n">
        <v>0</v>
      </c>
      <c r="O628" t="n">
        <v>0</v>
      </c>
      <c r="P628" t="n">
        <v>0</v>
      </c>
      <c r="Q628" t="n">
        <v>0</v>
      </c>
      <c r="R628" s="2" t="inlineStr"/>
    </row>
    <row r="629" ht="15" customHeight="1">
      <c r="A629" t="inlineStr">
        <is>
          <t>A 38230-2023</t>
        </is>
      </c>
      <c r="B629" s="1" t="n">
        <v>45161.55373842592</v>
      </c>
      <c r="C629" s="1" t="n">
        <v>46053</v>
      </c>
      <c r="D629" t="inlineStr">
        <is>
          <t>ÖSTERGÖTLANDS LÄN</t>
        </is>
      </c>
      <c r="E629" t="inlineStr">
        <is>
          <t>LINKÖPING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56756-2023</t>
        </is>
      </c>
      <c r="B630" s="1" t="n">
        <v>45244</v>
      </c>
      <c r="C630" s="1" t="n">
        <v>46053</v>
      </c>
      <c r="D630" t="inlineStr">
        <is>
          <t>ÖSTERGÖTLANDS LÄN</t>
        </is>
      </c>
      <c r="E630" t="inlineStr">
        <is>
          <t>LINKÖPING</t>
        </is>
      </c>
      <c r="F630" t="inlineStr">
        <is>
          <t>Övriga Aktiebolag</t>
        </is>
      </c>
      <c r="G630" t="n">
        <v>0.8</v>
      </c>
      <c r="H630" t="n">
        <v>0</v>
      </c>
      <c r="I630" t="n">
        <v>0</v>
      </c>
      <c r="J630" t="n">
        <v>0</v>
      </c>
      <c r="K630" t="n">
        <v>0</v>
      </c>
      <c r="L630" t="n">
        <v>0</v>
      </c>
      <c r="M630" t="n">
        <v>0</v>
      </c>
      <c r="N630" t="n">
        <v>0</v>
      </c>
      <c r="O630" t="n">
        <v>0</v>
      </c>
      <c r="P630" t="n">
        <v>0</v>
      </c>
      <c r="Q630" t="n">
        <v>0</v>
      </c>
      <c r="R630" s="2" t="inlineStr"/>
    </row>
    <row r="631" ht="15" customHeight="1">
      <c r="A631" t="inlineStr">
        <is>
          <t>A 38886-2024</t>
        </is>
      </c>
      <c r="B631" s="1" t="n">
        <v>45547.66443287037</v>
      </c>
      <c r="C631" s="1" t="n">
        <v>46053</v>
      </c>
      <c r="D631" t="inlineStr">
        <is>
          <t>ÖSTERGÖTLANDS LÄN</t>
        </is>
      </c>
      <c r="E631" t="inlineStr">
        <is>
          <t>LINKÖPING</t>
        </is>
      </c>
      <c r="G631" t="n">
        <v>5.3</v>
      </c>
      <c r="H631" t="n">
        <v>0</v>
      </c>
      <c r="I631" t="n">
        <v>0</v>
      </c>
      <c r="J631" t="n">
        <v>0</v>
      </c>
      <c r="K631" t="n">
        <v>0</v>
      </c>
      <c r="L631" t="n">
        <v>0</v>
      </c>
      <c r="M631" t="n">
        <v>0</v>
      </c>
      <c r="N631" t="n">
        <v>0</v>
      </c>
      <c r="O631" t="n">
        <v>0</v>
      </c>
      <c r="P631" t="n">
        <v>0</v>
      </c>
      <c r="Q631" t="n">
        <v>0</v>
      </c>
      <c r="R631" s="2" t="inlineStr"/>
    </row>
    <row r="632" ht="15" customHeight="1">
      <c r="A632" t="inlineStr">
        <is>
          <t>A 11590-2023</t>
        </is>
      </c>
      <c r="B632" s="1" t="n">
        <v>44994.36689814815</v>
      </c>
      <c r="C632" s="1" t="n">
        <v>46053</v>
      </c>
      <c r="D632" t="inlineStr">
        <is>
          <t>ÖSTERGÖTLANDS LÄN</t>
        </is>
      </c>
      <c r="E632" t="inlineStr">
        <is>
          <t>LINKÖPING</t>
        </is>
      </c>
      <c r="G632" t="n">
        <v>3.1</v>
      </c>
      <c r="H632" t="n">
        <v>0</v>
      </c>
      <c r="I632" t="n">
        <v>0</v>
      </c>
      <c r="J632" t="n">
        <v>0</v>
      </c>
      <c r="K632" t="n">
        <v>0</v>
      </c>
      <c r="L632" t="n">
        <v>0</v>
      </c>
      <c r="M632" t="n">
        <v>0</v>
      </c>
      <c r="N632" t="n">
        <v>0</v>
      </c>
      <c r="O632" t="n">
        <v>0</v>
      </c>
      <c r="P632" t="n">
        <v>0</v>
      </c>
      <c r="Q632" t="n">
        <v>0</v>
      </c>
      <c r="R632" s="2" t="inlineStr"/>
    </row>
    <row r="633" ht="15" customHeight="1">
      <c r="A633" t="inlineStr">
        <is>
          <t>A 10461-2023</t>
        </is>
      </c>
      <c r="B633" s="1" t="n">
        <v>44987.5969212963</v>
      </c>
      <c r="C633" s="1" t="n">
        <v>46053</v>
      </c>
      <c r="D633" t="inlineStr">
        <is>
          <t>ÖSTERGÖTLANDS LÄN</t>
        </is>
      </c>
      <c r="E633" t="inlineStr">
        <is>
          <t>LINKÖPING</t>
        </is>
      </c>
      <c r="G633" t="n">
        <v>7.8</v>
      </c>
      <c r="H633" t="n">
        <v>0</v>
      </c>
      <c r="I633" t="n">
        <v>0</v>
      </c>
      <c r="J633" t="n">
        <v>0</v>
      </c>
      <c r="K633" t="n">
        <v>0</v>
      </c>
      <c r="L633" t="n">
        <v>0</v>
      </c>
      <c r="M633" t="n">
        <v>0</v>
      </c>
      <c r="N633" t="n">
        <v>0</v>
      </c>
      <c r="O633" t="n">
        <v>0</v>
      </c>
      <c r="P633" t="n">
        <v>0</v>
      </c>
      <c r="Q633" t="n">
        <v>0</v>
      </c>
      <c r="R633" s="2" t="inlineStr"/>
    </row>
    <row r="634" ht="15" customHeight="1">
      <c r="A634" t="inlineStr">
        <is>
          <t>A 41345-2021</t>
        </is>
      </c>
      <c r="B634" s="1" t="n">
        <v>44424.61851851852</v>
      </c>
      <c r="C634" s="1" t="n">
        <v>46053</v>
      </c>
      <c r="D634" t="inlineStr">
        <is>
          <t>ÖSTERGÖTLANDS LÄN</t>
        </is>
      </c>
      <c r="E634" t="inlineStr">
        <is>
          <t>LINKÖPING</t>
        </is>
      </c>
      <c r="F634" t="inlineStr">
        <is>
          <t>Sveaskog</t>
        </is>
      </c>
      <c r="G634" t="n">
        <v>6.3</v>
      </c>
      <c r="H634" t="n">
        <v>0</v>
      </c>
      <c r="I634" t="n">
        <v>0</v>
      </c>
      <c r="J634" t="n">
        <v>0</v>
      </c>
      <c r="K634" t="n">
        <v>0</v>
      </c>
      <c r="L634" t="n">
        <v>0</v>
      </c>
      <c r="M634" t="n">
        <v>0</v>
      </c>
      <c r="N634" t="n">
        <v>0</v>
      </c>
      <c r="O634" t="n">
        <v>0</v>
      </c>
      <c r="P634" t="n">
        <v>0</v>
      </c>
      <c r="Q634" t="n">
        <v>0</v>
      </c>
      <c r="R634" s="2" t="inlineStr"/>
    </row>
    <row r="635" ht="15" customHeight="1">
      <c r="A635" t="inlineStr">
        <is>
          <t>A 61307-2021</t>
        </is>
      </c>
      <c r="B635" s="1" t="n">
        <v>44498.63928240741</v>
      </c>
      <c r="C635" s="1" t="n">
        <v>46053</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61325-2021</t>
        </is>
      </c>
      <c r="B636" s="1" t="n">
        <v>44498.66814814815</v>
      </c>
      <c r="C636" s="1" t="n">
        <v>46053</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60010-2022</t>
        </is>
      </c>
      <c r="B637" s="1" t="n">
        <v>44909.4740625</v>
      </c>
      <c r="C637" s="1" t="n">
        <v>46053</v>
      </c>
      <c r="D637" t="inlineStr">
        <is>
          <t>ÖSTERGÖTLANDS LÄN</t>
        </is>
      </c>
      <c r="E637" t="inlineStr">
        <is>
          <t>LINKÖPING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30518-2024</t>
        </is>
      </c>
      <c r="B638" s="1" t="n">
        <v>45492</v>
      </c>
      <c r="C638" s="1" t="n">
        <v>46053</v>
      </c>
      <c r="D638" t="inlineStr">
        <is>
          <t>ÖSTERGÖTLANDS LÄN</t>
        </is>
      </c>
      <c r="E638" t="inlineStr">
        <is>
          <t>LINKÖPING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4908-2023</t>
        </is>
      </c>
      <c r="B639" s="1" t="n">
        <v>44958</v>
      </c>
      <c r="C639" s="1" t="n">
        <v>46053</v>
      </c>
      <c r="D639" t="inlineStr">
        <is>
          <t>ÖSTERGÖTLANDS LÄN</t>
        </is>
      </c>
      <c r="E639" t="inlineStr">
        <is>
          <t>LINKÖPING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37715-2022</t>
        </is>
      </c>
      <c r="B640" s="1" t="n">
        <v>44810</v>
      </c>
      <c r="C640" s="1" t="n">
        <v>46053</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3011-2023</t>
        </is>
      </c>
      <c r="B641" s="1" t="n">
        <v>44945</v>
      </c>
      <c r="C641" s="1" t="n">
        <v>46053</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45442-2024</t>
        </is>
      </c>
      <c r="B642" s="1" t="n">
        <v>45576.64189814815</v>
      </c>
      <c r="C642" s="1" t="n">
        <v>46053</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3432-2023</t>
        </is>
      </c>
      <c r="B643" s="1" t="n">
        <v>44949</v>
      </c>
      <c r="C643" s="1" t="n">
        <v>46053</v>
      </c>
      <c r="D643" t="inlineStr">
        <is>
          <t>ÖSTERGÖTLANDS LÄN</t>
        </is>
      </c>
      <c r="E643" t="inlineStr">
        <is>
          <t>LINKÖPING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60472-2022</t>
        </is>
      </c>
      <c r="B644" s="1" t="n">
        <v>44911.41037037037</v>
      </c>
      <c r="C644" s="1" t="n">
        <v>46053</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12720-2022</t>
        </is>
      </c>
      <c r="B645" s="1" t="n">
        <v>44641</v>
      </c>
      <c r="C645" s="1" t="n">
        <v>46053</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45831-2024</t>
        </is>
      </c>
      <c r="B646" s="1" t="n">
        <v>45579.90508101852</v>
      </c>
      <c r="C646" s="1" t="n">
        <v>46053</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57396-2021</t>
        </is>
      </c>
      <c r="B647" s="1" t="n">
        <v>44483.56151620371</v>
      </c>
      <c r="C647" s="1" t="n">
        <v>46053</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22842-2023</t>
        </is>
      </c>
      <c r="B648" s="1" t="n">
        <v>45071</v>
      </c>
      <c r="C648" s="1" t="n">
        <v>46053</v>
      </c>
      <c r="D648" t="inlineStr">
        <is>
          <t>ÖSTERGÖTLANDS LÄN</t>
        </is>
      </c>
      <c r="E648" t="inlineStr">
        <is>
          <t>LINKÖPING</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50386-2021</t>
        </is>
      </c>
      <c r="B649" s="1" t="n">
        <v>44459</v>
      </c>
      <c r="C649" s="1" t="n">
        <v>46053</v>
      </c>
      <c r="D649" t="inlineStr">
        <is>
          <t>ÖSTERGÖTLANDS LÄN</t>
        </is>
      </c>
      <c r="E649" t="inlineStr">
        <is>
          <t>LINKÖPING</t>
        </is>
      </c>
      <c r="G649" t="n">
        <v>2.3</v>
      </c>
      <c r="H649" t="n">
        <v>0</v>
      </c>
      <c r="I649" t="n">
        <v>0</v>
      </c>
      <c r="J649" t="n">
        <v>0</v>
      </c>
      <c r="K649" t="n">
        <v>0</v>
      </c>
      <c r="L649" t="n">
        <v>0</v>
      </c>
      <c r="M649" t="n">
        <v>0</v>
      </c>
      <c r="N649" t="n">
        <v>0</v>
      </c>
      <c r="O649" t="n">
        <v>0</v>
      </c>
      <c r="P649" t="n">
        <v>0</v>
      </c>
      <c r="Q649" t="n">
        <v>0</v>
      </c>
      <c r="R649" s="2" t="inlineStr"/>
    </row>
    <row r="650" ht="15" customHeight="1">
      <c r="A650" t="inlineStr">
        <is>
          <t>A 35781-2023</t>
        </is>
      </c>
      <c r="B650" s="1" t="n">
        <v>45147</v>
      </c>
      <c r="C650" s="1" t="n">
        <v>46053</v>
      </c>
      <c r="D650" t="inlineStr">
        <is>
          <t>ÖSTERGÖTLANDS LÄN</t>
        </is>
      </c>
      <c r="E650" t="inlineStr">
        <is>
          <t>LINKÖPING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22770-2024</t>
        </is>
      </c>
      <c r="B651" s="1" t="n">
        <v>45448.4634375</v>
      </c>
      <c r="C651" s="1" t="n">
        <v>46053</v>
      </c>
      <c r="D651" t="inlineStr">
        <is>
          <t>ÖSTERGÖTLANDS LÄN</t>
        </is>
      </c>
      <c r="E651" t="inlineStr">
        <is>
          <t>LINKÖPING</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11671-2023</t>
        </is>
      </c>
      <c r="B652" s="1" t="n">
        <v>44994.48125</v>
      </c>
      <c r="C652" s="1" t="n">
        <v>46053</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54425-2022</t>
        </is>
      </c>
      <c r="B653" s="1" t="n">
        <v>44882.57453703704</v>
      </c>
      <c r="C653" s="1" t="n">
        <v>46053</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4927-2021</t>
        </is>
      </c>
      <c r="B654" s="1" t="n">
        <v>44227.57215277778</v>
      </c>
      <c r="C654" s="1" t="n">
        <v>46053</v>
      </c>
      <c r="D654" t="inlineStr">
        <is>
          <t>ÖSTERGÖTLANDS LÄN</t>
        </is>
      </c>
      <c r="E654" t="inlineStr">
        <is>
          <t>LINKÖPING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30547-2023</t>
        </is>
      </c>
      <c r="B655" s="1" t="n">
        <v>45111.75905092592</v>
      </c>
      <c r="C655" s="1" t="n">
        <v>46053</v>
      </c>
      <c r="D655" t="inlineStr">
        <is>
          <t>ÖSTERGÖTLANDS LÄN</t>
        </is>
      </c>
      <c r="E655" t="inlineStr">
        <is>
          <t>LINKÖPING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24904-2024</t>
        </is>
      </c>
      <c r="B656" s="1" t="n">
        <v>45461</v>
      </c>
      <c r="C656" s="1" t="n">
        <v>46053</v>
      </c>
      <c r="D656" t="inlineStr">
        <is>
          <t>ÖSTERGÖTLANDS LÄN</t>
        </is>
      </c>
      <c r="E656" t="inlineStr">
        <is>
          <t>LINKÖPING</t>
        </is>
      </c>
      <c r="G656" t="n">
        <v>3.8</v>
      </c>
      <c r="H656" t="n">
        <v>0</v>
      </c>
      <c r="I656" t="n">
        <v>0</v>
      </c>
      <c r="J656" t="n">
        <v>0</v>
      </c>
      <c r="K656" t="n">
        <v>0</v>
      </c>
      <c r="L656" t="n">
        <v>0</v>
      </c>
      <c r="M656" t="n">
        <v>0</v>
      </c>
      <c r="N656" t="n">
        <v>0</v>
      </c>
      <c r="O656" t="n">
        <v>0</v>
      </c>
      <c r="P656" t="n">
        <v>0</v>
      </c>
      <c r="Q656" t="n">
        <v>0</v>
      </c>
      <c r="R656" s="2" t="inlineStr"/>
    </row>
    <row r="657" ht="15" customHeight="1">
      <c r="A657" t="inlineStr">
        <is>
          <t>A 26788-2022</t>
        </is>
      </c>
      <c r="B657" s="1" t="n">
        <v>44740</v>
      </c>
      <c r="C657" s="1" t="n">
        <v>46053</v>
      </c>
      <c r="D657" t="inlineStr">
        <is>
          <t>ÖSTERGÖTLANDS LÄN</t>
        </is>
      </c>
      <c r="E657" t="inlineStr">
        <is>
          <t>LINKÖPING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15121-2022</t>
        </is>
      </c>
      <c r="B658" s="1" t="n">
        <v>44658</v>
      </c>
      <c r="C658" s="1" t="n">
        <v>46053</v>
      </c>
      <c r="D658" t="inlineStr">
        <is>
          <t>ÖSTERGÖTLANDS LÄN</t>
        </is>
      </c>
      <c r="E658" t="inlineStr">
        <is>
          <t>LINKÖPING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51919-2024</t>
        </is>
      </c>
      <c r="B659" s="1" t="n">
        <v>45607.60791666667</v>
      </c>
      <c r="C659" s="1" t="n">
        <v>46053</v>
      </c>
      <c r="D659" t="inlineStr">
        <is>
          <t>ÖSTERGÖTLANDS LÄN</t>
        </is>
      </c>
      <c r="E659" t="inlineStr">
        <is>
          <t>LINKÖPING</t>
        </is>
      </c>
      <c r="G659" t="n">
        <v>2.5</v>
      </c>
      <c r="H659" t="n">
        <v>0</v>
      </c>
      <c r="I659" t="n">
        <v>0</v>
      </c>
      <c r="J659" t="n">
        <v>0</v>
      </c>
      <c r="K659" t="n">
        <v>0</v>
      </c>
      <c r="L659" t="n">
        <v>0</v>
      </c>
      <c r="M659" t="n">
        <v>0</v>
      </c>
      <c r="N659" t="n">
        <v>0</v>
      </c>
      <c r="O659" t="n">
        <v>0</v>
      </c>
      <c r="P659" t="n">
        <v>0</v>
      </c>
      <c r="Q659" t="n">
        <v>0</v>
      </c>
      <c r="R659" s="2" t="inlineStr"/>
    </row>
    <row r="660" ht="15" customHeight="1">
      <c r="A660" t="inlineStr">
        <is>
          <t>A 55009-2023</t>
        </is>
      </c>
      <c r="B660" s="1" t="n">
        <v>45237</v>
      </c>
      <c r="C660" s="1" t="n">
        <v>46053</v>
      </c>
      <c r="D660" t="inlineStr">
        <is>
          <t>ÖSTERGÖTLANDS LÄN</t>
        </is>
      </c>
      <c r="E660" t="inlineStr">
        <is>
          <t>LINKÖPING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20291-2025</t>
        </is>
      </c>
      <c r="B661" s="1" t="n">
        <v>45774.74288194445</v>
      </c>
      <c r="C661" s="1" t="n">
        <v>46053</v>
      </c>
      <c r="D661" t="inlineStr">
        <is>
          <t>ÖSTERGÖTLANDS LÄN</t>
        </is>
      </c>
      <c r="E661" t="inlineStr">
        <is>
          <t>LINKÖPING</t>
        </is>
      </c>
      <c r="G661" t="n">
        <v>2.3</v>
      </c>
      <c r="H661" t="n">
        <v>0</v>
      </c>
      <c r="I661" t="n">
        <v>0</v>
      </c>
      <c r="J661" t="n">
        <v>0</v>
      </c>
      <c r="K661" t="n">
        <v>0</v>
      </c>
      <c r="L661" t="n">
        <v>0</v>
      </c>
      <c r="M661" t="n">
        <v>0</v>
      </c>
      <c r="N661" t="n">
        <v>0</v>
      </c>
      <c r="O661" t="n">
        <v>0</v>
      </c>
      <c r="P661" t="n">
        <v>0</v>
      </c>
      <c r="Q661" t="n">
        <v>0</v>
      </c>
      <c r="R661" s="2" t="inlineStr"/>
    </row>
    <row r="662" ht="15" customHeight="1">
      <c r="A662" t="inlineStr">
        <is>
          <t>A 20293-2025</t>
        </is>
      </c>
      <c r="B662" s="1" t="n">
        <v>45774.74611111111</v>
      </c>
      <c r="C662" s="1" t="n">
        <v>46053</v>
      </c>
      <c r="D662" t="inlineStr">
        <is>
          <t>ÖSTERGÖTLANDS LÄN</t>
        </is>
      </c>
      <c r="E662" t="inlineStr">
        <is>
          <t>LINKÖPING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660-2023</t>
        </is>
      </c>
      <c r="B663" s="1" t="n">
        <v>44930</v>
      </c>
      <c r="C663" s="1" t="n">
        <v>46053</v>
      </c>
      <c r="D663" t="inlineStr">
        <is>
          <t>ÖSTERGÖTLANDS LÄN</t>
        </is>
      </c>
      <c r="E663" t="inlineStr">
        <is>
          <t>LINKÖPING</t>
        </is>
      </c>
      <c r="F663" t="inlineStr">
        <is>
          <t>Kyrkan</t>
        </is>
      </c>
      <c r="G663" t="n">
        <v>1.6</v>
      </c>
      <c r="H663" t="n">
        <v>0</v>
      </c>
      <c r="I663" t="n">
        <v>0</v>
      </c>
      <c r="J663" t="n">
        <v>0</v>
      </c>
      <c r="K663" t="n">
        <v>0</v>
      </c>
      <c r="L663" t="n">
        <v>0</v>
      </c>
      <c r="M663" t="n">
        <v>0</v>
      </c>
      <c r="N663" t="n">
        <v>0</v>
      </c>
      <c r="O663" t="n">
        <v>0</v>
      </c>
      <c r="P663" t="n">
        <v>0</v>
      </c>
      <c r="Q663" t="n">
        <v>0</v>
      </c>
      <c r="R663" s="2" t="inlineStr"/>
    </row>
    <row r="664" ht="15" customHeight="1">
      <c r="A664" t="inlineStr">
        <is>
          <t>A 64694-2023</t>
        </is>
      </c>
      <c r="B664" s="1" t="n">
        <v>45281</v>
      </c>
      <c r="C664" s="1" t="n">
        <v>46053</v>
      </c>
      <c r="D664" t="inlineStr">
        <is>
          <t>ÖSTERGÖTLANDS LÄN</t>
        </is>
      </c>
      <c r="E664" t="inlineStr">
        <is>
          <t>LINKÖPING</t>
        </is>
      </c>
      <c r="F664" t="inlineStr">
        <is>
          <t>Övriga statliga verk och myndigheter</t>
        </is>
      </c>
      <c r="G664" t="n">
        <v>4.9</v>
      </c>
      <c r="H664" t="n">
        <v>0</v>
      </c>
      <c r="I664" t="n">
        <v>0</v>
      </c>
      <c r="J664" t="n">
        <v>0</v>
      </c>
      <c r="K664" t="n">
        <v>0</v>
      </c>
      <c r="L664" t="n">
        <v>0</v>
      </c>
      <c r="M664" t="n">
        <v>0</v>
      </c>
      <c r="N664" t="n">
        <v>0</v>
      </c>
      <c r="O664" t="n">
        <v>0</v>
      </c>
      <c r="P664" t="n">
        <v>0</v>
      </c>
      <c r="Q664" t="n">
        <v>0</v>
      </c>
      <c r="R664" s="2" t="inlineStr"/>
    </row>
    <row r="665" ht="15" customHeight="1">
      <c r="A665" t="inlineStr">
        <is>
          <t>A 63487-2023</t>
        </is>
      </c>
      <c r="B665" s="1" t="n">
        <v>45274.66712962963</v>
      </c>
      <c r="C665" s="1" t="n">
        <v>46053</v>
      </c>
      <c r="D665" t="inlineStr">
        <is>
          <t>ÖSTERGÖTLANDS LÄN</t>
        </is>
      </c>
      <c r="E665" t="inlineStr">
        <is>
          <t>LINKÖPING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20455-2024</t>
        </is>
      </c>
      <c r="B666" s="1" t="n">
        <v>45435.65314814815</v>
      </c>
      <c r="C666" s="1" t="n">
        <v>46053</v>
      </c>
      <c r="D666" t="inlineStr">
        <is>
          <t>ÖSTERGÖTLANDS LÄN</t>
        </is>
      </c>
      <c r="E666" t="inlineStr">
        <is>
          <t>LINKÖPING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30471-2023</t>
        </is>
      </c>
      <c r="B667" s="1" t="n">
        <v>45111.58931712963</v>
      </c>
      <c r="C667" s="1" t="n">
        <v>46053</v>
      </c>
      <c r="D667" t="inlineStr">
        <is>
          <t>ÖSTERGÖTLANDS LÄN</t>
        </is>
      </c>
      <c r="E667" t="inlineStr">
        <is>
          <t>LINKÖPING</t>
        </is>
      </c>
      <c r="G667" t="n">
        <v>2.9</v>
      </c>
      <c r="H667" t="n">
        <v>0</v>
      </c>
      <c r="I667" t="n">
        <v>0</v>
      </c>
      <c r="J667" t="n">
        <v>0</v>
      </c>
      <c r="K667" t="n">
        <v>0</v>
      </c>
      <c r="L667" t="n">
        <v>0</v>
      </c>
      <c r="M667" t="n">
        <v>0</v>
      </c>
      <c r="N667" t="n">
        <v>0</v>
      </c>
      <c r="O667" t="n">
        <v>0</v>
      </c>
      <c r="P667" t="n">
        <v>0</v>
      </c>
      <c r="Q667" t="n">
        <v>0</v>
      </c>
      <c r="R667" s="2" t="inlineStr"/>
    </row>
    <row r="668" ht="15" customHeight="1">
      <c r="A668" t="inlineStr">
        <is>
          <t>A 14093-2024</t>
        </is>
      </c>
      <c r="B668" s="1" t="n">
        <v>45392.60278935185</v>
      </c>
      <c r="C668" s="1" t="n">
        <v>46053</v>
      </c>
      <c r="D668" t="inlineStr">
        <is>
          <t>ÖSTERGÖTLANDS LÄN</t>
        </is>
      </c>
      <c r="E668" t="inlineStr">
        <is>
          <t>LINKÖPING</t>
        </is>
      </c>
      <c r="F668" t="inlineStr">
        <is>
          <t>Övriga Aktiebolag</t>
        </is>
      </c>
      <c r="G668" t="n">
        <v>0.6</v>
      </c>
      <c r="H668" t="n">
        <v>0</v>
      </c>
      <c r="I668" t="n">
        <v>0</v>
      </c>
      <c r="J668" t="n">
        <v>0</v>
      </c>
      <c r="K668" t="n">
        <v>0</v>
      </c>
      <c r="L668" t="n">
        <v>0</v>
      </c>
      <c r="M668" t="n">
        <v>0</v>
      </c>
      <c r="N668" t="n">
        <v>0</v>
      </c>
      <c r="O668" t="n">
        <v>0</v>
      </c>
      <c r="P668" t="n">
        <v>0</v>
      </c>
      <c r="Q668" t="n">
        <v>0</v>
      </c>
      <c r="R668" s="2" t="inlineStr"/>
    </row>
    <row r="669" ht="15" customHeight="1">
      <c r="A669" t="inlineStr">
        <is>
          <t>A 63304-2021</t>
        </is>
      </c>
      <c r="B669" s="1" t="n">
        <v>44508.4396412037</v>
      </c>
      <c r="C669" s="1" t="n">
        <v>46053</v>
      </c>
      <c r="D669" t="inlineStr">
        <is>
          <t>ÖSTERGÖTLANDS LÄN</t>
        </is>
      </c>
      <c r="E669" t="inlineStr">
        <is>
          <t>LINKÖPING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19362-2023</t>
        </is>
      </c>
      <c r="B670" s="1" t="n">
        <v>45049</v>
      </c>
      <c r="C670" s="1" t="n">
        <v>46053</v>
      </c>
      <c r="D670" t="inlineStr">
        <is>
          <t>ÖSTERGÖTLANDS LÄN</t>
        </is>
      </c>
      <c r="E670" t="inlineStr">
        <is>
          <t>LINKÖPING</t>
        </is>
      </c>
      <c r="G670" t="n">
        <v>0.1</v>
      </c>
      <c r="H670" t="n">
        <v>0</v>
      </c>
      <c r="I670" t="n">
        <v>0</v>
      </c>
      <c r="J670" t="n">
        <v>0</v>
      </c>
      <c r="K670" t="n">
        <v>0</v>
      </c>
      <c r="L670" t="n">
        <v>0</v>
      </c>
      <c r="M670" t="n">
        <v>0</v>
      </c>
      <c r="N670" t="n">
        <v>0</v>
      </c>
      <c r="O670" t="n">
        <v>0</v>
      </c>
      <c r="P670" t="n">
        <v>0</v>
      </c>
      <c r="Q670" t="n">
        <v>0</v>
      </c>
      <c r="R670" s="2" t="inlineStr"/>
    </row>
    <row r="671" ht="15" customHeight="1">
      <c r="A671" t="inlineStr">
        <is>
          <t>A 35463-2023</t>
        </is>
      </c>
      <c r="B671" s="1" t="n">
        <v>45146</v>
      </c>
      <c r="C671" s="1" t="n">
        <v>46053</v>
      </c>
      <c r="D671" t="inlineStr">
        <is>
          <t>ÖSTERGÖTLANDS LÄN</t>
        </is>
      </c>
      <c r="E671" t="inlineStr">
        <is>
          <t>LINKÖPING</t>
        </is>
      </c>
      <c r="F671" t="inlineStr">
        <is>
          <t>Övriga Aktiebolag</t>
        </is>
      </c>
      <c r="G671" t="n">
        <v>1.8</v>
      </c>
      <c r="H671" t="n">
        <v>0</v>
      </c>
      <c r="I671" t="n">
        <v>0</v>
      </c>
      <c r="J671" t="n">
        <v>0</v>
      </c>
      <c r="K671" t="n">
        <v>0</v>
      </c>
      <c r="L671" t="n">
        <v>0</v>
      </c>
      <c r="M671" t="n">
        <v>0</v>
      </c>
      <c r="N671" t="n">
        <v>0</v>
      </c>
      <c r="O671" t="n">
        <v>0</v>
      </c>
      <c r="P671" t="n">
        <v>0</v>
      </c>
      <c r="Q671" t="n">
        <v>0</v>
      </c>
      <c r="R671" s="2" t="inlineStr"/>
    </row>
    <row r="672" ht="15" customHeight="1">
      <c r="A672" t="inlineStr">
        <is>
          <t>A 16111-2022</t>
        </is>
      </c>
      <c r="B672" s="1" t="n">
        <v>44665</v>
      </c>
      <c r="C672" s="1" t="n">
        <v>46053</v>
      </c>
      <c r="D672" t="inlineStr">
        <is>
          <t>ÖSTERGÖTLANDS LÄN</t>
        </is>
      </c>
      <c r="E672" t="inlineStr">
        <is>
          <t>LINKÖPING</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31635-2023</t>
        </is>
      </c>
      <c r="B673" s="1" t="n">
        <v>45105</v>
      </c>
      <c r="C673" s="1" t="n">
        <v>46053</v>
      </c>
      <c r="D673" t="inlineStr">
        <is>
          <t>ÖSTERGÖTLANDS LÄN</t>
        </is>
      </c>
      <c r="E673" t="inlineStr">
        <is>
          <t>LINKÖPING</t>
        </is>
      </c>
      <c r="F673" t="inlineStr">
        <is>
          <t>Övriga statliga verk och myndigheter</t>
        </is>
      </c>
      <c r="G673" t="n">
        <v>4.6</v>
      </c>
      <c r="H673" t="n">
        <v>0</v>
      </c>
      <c r="I673" t="n">
        <v>0</v>
      </c>
      <c r="J673" t="n">
        <v>0</v>
      </c>
      <c r="K673" t="n">
        <v>0</v>
      </c>
      <c r="L673" t="n">
        <v>0</v>
      </c>
      <c r="M673" t="n">
        <v>0</v>
      </c>
      <c r="N673" t="n">
        <v>0</v>
      </c>
      <c r="O673" t="n">
        <v>0</v>
      </c>
      <c r="P673" t="n">
        <v>0</v>
      </c>
      <c r="Q673" t="n">
        <v>0</v>
      </c>
      <c r="R673" s="2" t="inlineStr"/>
    </row>
    <row r="674" ht="15" customHeight="1">
      <c r="A674" t="inlineStr">
        <is>
          <t>A 49928-2024</t>
        </is>
      </c>
      <c r="B674" s="1" t="n">
        <v>45597.57811342592</v>
      </c>
      <c r="C674" s="1" t="n">
        <v>46053</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54845-2023</t>
        </is>
      </c>
      <c r="B675" s="1" t="n">
        <v>45236</v>
      </c>
      <c r="C675" s="1" t="n">
        <v>46053</v>
      </c>
      <c r="D675" t="inlineStr">
        <is>
          <t>ÖSTERGÖTLANDS LÄN</t>
        </is>
      </c>
      <c r="E675" t="inlineStr">
        <is>
          <t>LINKÖPING</t>
        </is>
      </c>
      <c r="F675" t="inlineStr">
        <is>
          <t>Övriga Aktiebolag</t>
        </is>
      </c>
      <c r="G675" t="n">
        <v>5.7</v>
      </c>
      <c r="H675" t="n">
        <v>0</v>
      </c>
      <c r="I675" t="n">
        <v>0</v>
      </c>
      <c r="J675" t="n">
        <v>0</v>
      </c>
      <c r="K675" t="n">
        <v>0</v>
      </c>
      <c r="L675" t="n">
        <v>0</v>
      </c>
      <c r="M675" t="n">
        <v>0</v>
      </c>
      <c r="N675" t="n">
        <v>0</v>
      </c>
      <c r="O675" t="n">
        <v>0</v>
      </c>
      <c r="P675" t="n">
        <v>0</v>
      </c>
      <c r="Q675" t="n">
        <v>0</v>
      </c>
      <c r="R675" s="2" t="inlineStr"/>
    </row>
    <row r="676" ht="15" customHeight="1">
      <c r="A676" t="inlineStr">
        <is>
          <t>A 46687-2021</t>
        </is>
      </c>
      <c r="B676" s="1" t="n">
        <v>44445</v>
      </c>
      <c r="C676" s="1" t="n">
        <v>46053</v>
      </c>
      <c r="D676" t="inlineStr">
        <is>
          <t>ÖSTERGÖTLANDS LÄN</t>
        </is>
      </c>
      <c r="E676" t="inlineStr">
        <is>
          <t>LINKÖPING</t>
        </is>
      </c>
      <c r="F676" t="inlineStr">
        <is>
          <t>Övriga statliga verk och myndigheter</t>
        </is>
      </c>
      <c r="G676" t="n">
        <v>2.3</v>
      </c>
      <c r="H676" t="n">
        <v>0</v>
      </c>
      <c r="I676" t="n">
        <v>0</v>
      </c>
      <c r="J676" t="n">
        <v>0</v>
      </c>
      <c r="K676" t="n">
        <v>0</v>
      </c>
      <c r="L676" t="n">
        <v>0</v>
      </c>
      <c r="M676" t="n">
        <v>0</v>
      </c>
      <c r="N676" t="n">
        <v>0</v>
      </c>
      <c r="O676" t="n">
        <v>0</v>
      </c>
      <c r="P676" t="n">
        <v>0</v>
      </c>
      <c r="Q676" t="n">
        <v>0</v>
      </c>
      <c r="R676" s="2" t="inlineStr"/>
    </row>
    <row r="677" ht="15" customHeight="1">
      <c r="A677" t="inlineStr">
        <is>
          <t>A 30855-2022</t>
        </is>
      </c>
      <c r="B677" s="1" t="n">
        <v>44767</v>
      </c>
      <c r="C677" s="1" t="n">
        <v>46053</v>
      </c>
      <c r="D677" t="inlineStr">
        <is>
          <t>ÖSTERGÖTLANDS LÄN</t>
        </is>
      </c>
      <c r="E677" t="inlineStr">
        <is>
          <t>LINKÖPING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1355-2023</t>
        </is>
      </c>
      <c r="B678" s="1" t="n">
        <v>44931</v>
      </c>
      <c r="C678" s="1" t="n">
        <v>46053</v>
      </c>
      <c r="D678" t="inlineStr">
        <is>
          <t>ÖSTERGÖTLANDS LÄN</t>
        </is>
      </c>
      <c r="E678" t="inlineStr">
        <is>
          <t>LINKÖPING</t>
        </is>
      </c>
      <c r="G678" t="n">
        <v>4</v>
      </c>
      <c r="H678" t="n">
        <v>0</v>
      </c>
      <c r="I678" t="n">
        <v>0</v>
      </c>
      <c r="J678" t="n">
        <v>0</v>
      </c>
      <c r="K678" t="n">
        <v>0</v>
      </c>
      <c r="L678" t="n">
        <v>0</v>
      </c>
      <c r="M678" t="n">
        <v>0</v>
      </c>
      <c r="N678" t="n">
        <v>0</v>
      </c>
      <c r="O678" t="n">
        <v>0</v>
      </c>
      <c r="P678" t="n">
        <v>0</v>
      </c>
      <c r="Q678" t="n">
        <v>0</v>
      </c>
      <c r="R678" s="2" t="inlineStr"/>
    </row>
    <row r="679" ht="15" customHeight="1">
      <c r="A679" t="inlineStr">
        <is>
          <t>A 27844-2024</t>
        </is>
      </c>
      <c r="B679" s="1" t="n">
        <v>45475.63047453704</v>
      </c>
      <c r="C679" s="1" t="n">
        <v>46053</v>
      </c>
      <c r="D679" t="inlineStr">
        <is>
          <t>ÖSTERGÖTLANDS LÄN</t>
        </is>
      </c>
      <c r="E679" t="inlineStr">
        <is>
          <t>LINKÖPING</t>
        </is>
      </c>
      <c r="G679" t="n">
        <v>1.2</v>
      </c>
      <c r="H679" t="n">
        <v>0</v>
      </c>
      <c r="I679" t="n">
        <v>0</v>
      </c>
      <c r="J679" t="n">
        <v>0</v>
      </c>
      <c r="K679" t="n">
        <v>0</v>
      </c>
      <c r="L679" t="n">
        <v>0</v>
      </c>
      <c r="M679" t="n">
        <v>0</v>
      </c>
      <c r="N679" t="n">
        <v>0</v>
      </c>
      <c r="O679" t="n">
        <v>0</v>
      </c>
      <c r="P679" t="n">
        <v>0</v>
      </c>
      <c r="Q679" t="n">
        <v>0</v>
      </c>
      <c r="R679" s="2" t="inlineStr"/>
    </row>
    <row r="680" ht="15" customHeight="1">
      <c r="A680" t="inlineStr">
        <is>
          <t>A 10741-2023</t>
        </is>
      </c>
      <c r="B680" s="1" t="n">
        <v>44988.70084490741</v>
      </c>
      <c r="C680" s="1" t="n">
        <v>46053</v>
      </c>
      <c r="D680" t="inlineStr">
        <is>
          <t>ÖSTERGÖTLANDS LÄN</t>
        </is>
      </c>
      <c r="E680" t="inlineStr">
        <is>
          <t>LINKÖPING</t>
        </is>
      </c>
      <c r="F680" t="inlineStr">
        <is>
          <t>Allmännings- och besparingsskogar</t>
        </is>
      </c>
      <c r="G680" t="n">
        <v>11.2</v>
      </c>
      <c r="H680" t="n">
        <v>0</v>
      </c>
      <c r="I680" t="n">
        <v>0</v>
      </c>
      <c r="J680" t="n">
        <v>0</v>
      </c>
      <c r="K680" t="n">
        <v>0</v>
      </c>
      <c r="L680" t="n">
        <v>0</v>
      </c>
      <c r="M680" t="n">
        <v>0</v>
      </c>
      <c r="N680" t="n">
        <v>0</v>
      </c>
      <c r="O680" t="n">
        <v>0</v>
      </c>
      <c r="P680" t="n">
        <v>0</v>
      </c>
      <c r="Q680" t="n">
        <v>0</v>
      </c>
      <c r="R680" s="2" t="inlineStr"/>
    </row>
    <row r="681" ht="15" customHeight="1">
      <c r="A681" t="inlineStr">
        <is>
          <t>A 50963-2021</t>
        </is>
      </c>
      <c r="B681" s="1" t="n">
        <v>44460</v>
      </c>
      <c r="C681" s="1" t="n">
        <v>46053</v>
      </c>
      <c r="D681" t="inlineStr">
        <is>
          <t>ÖSTERGÖTLANDS LÄN</t>
        </is>
      </c>
      <c r="E681" t="inlineStr">
        <is>
          <t>LINKÖPING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45821-2024</t>
        </is>
      </c>
      <c r="B682" s="1" t="n">
        <v>45579.75803240741</v>
      </c>
      <c r="C682" s="1" t="n">
        <v>46053</v>
      </c>
      <c r="D682" t="inlineStr">
        <is>
          <t>ÖSTERGÖTLANDS LÄN</t>
        </is>
      </c>
      <c r="E682" t="inlineStr">
        <is>
          <t>LINKÖPING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61936-2023</t>
        </is>
      </c>
      <c r="B683" s="1" t="n">
        <v>45266.54534722222</v>
      </c>
      <c r="C683" s="1" t="n">
        <v>46053</v>
      </c>
      <c r="D683" t="inlineStr">
        <is>
          <t>ÖSTERGÖTLANDS LÄN</t>
        </is>
      </c>
      <c r="E683" t="inlineStr">
        <is>
          <t>LINKÖPING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1263-2024</t>
        </is>
      </c>
      <c r="B684" s="1" t="n">
        <v>45302</v>
      </c>
      <c r="C684" s="1" t="n">
        <v>46053</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24464-2023</t>
        </is>
      </c>
      <c r="B685" s="1" t="n">
        <v>45082.58068287037</v>
      </c>
      <c r="C685" s="1" t="n">
        <v>46053</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48389-2024</t>
        </is>
      </c>
      <c r="B686" s="1" t="n">
        <v>45590.59991898148</v>
      </c>
      <c r="C686" s="1" t="n">
        <v>46053</v>
      </c>
      <c r="D686" t="inlineStr">
        <is>
          <t>ÖSTERGÖTLANDS LÄN</t>
        </is>
      </c>
      <c r="E686" t="inlineStr">
        <is>
          <t>LINKÖPING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61281-2021</t>
        </is>
      </c>
      <c r="B687" s="1" t="n">
        <v>44498.60736111111</v>
      </c>
      <c r="C687" s="1" t="n">
        <v>46053</v>
      </c>
      <c r="D687" t="inlineStr">
        <is>
          <t>ÖSTERGÖTLANDS LÄN</t>
        </is>
      </c>
      <c r="E687" t="inlineStr">
        <is>
          <t>LINKÖPING</t>
        </is>
      </c>
      <c r="G687" t="n">
        <v>4.5</v>
      </c>
      <c r="H687" t="n">
        <v>0</v>
      </c>
      <c r="I687" t="n">
        <v>0</v>
      </c>
      <c r="J687" t="n">
        <v>0</v>
      </c>
      <c r="K687" t="n">
        <v>0</v>
      </c>
      <c r="L687" t="n">
        <v>0</v>
      </c>
      <c r="M687" t="n">
        <v>0</v>
      </c>
      <c r="N687" t="n">
        <v>0</v>
      </c>
      <c r="O687" t="n">
        <v>0</v>
      </c>
      <c r="P687" t="n">
        <v>0</v>
      </c>
      <c r="Q687" t="n">
        <v>0</v>
      </c>
      <c r="R687" s="2" t="inlineStr"/>
    </row>
    <row r="688" ht="15" customHeight="1">
      <c r="A688" t="inlineStr">
        <is>
          <t>A 6369-2023</t>
        </is>
      </c>
      <c r="B688" s="1" t="n">
        <v>44965.61106481482</v>
      </c>
      <c r="C688" s="1" t="n">
        <v>46053</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10094-2024</t>
        </is>
      </c>
      <c r="B689" s="1" t="n">
        <v>45364</v>
      </c>
      <c r="C689" s="1" t="n">
        <v>46053</v>
      </c>
      <c r="D689" t="inlineStr">
        <is>
          <t>ÖSTERGÖTLANDS LÄN</t>
        </is>
      </c>
      <c r="E689" t="inlineStr">
        <is>
          <t>LINKÖPING</t>
        </is>
      </c>
      <c r="F689" t="inlineStr">
        <is>
          <t>Övriga Aktiebolag</t>
        </is>
      </c>
      <c r="G689" t="n">
        <v>1.9</v>
      </c>
      <c r="H689" t="n">
        <v>0</v>
      </c>
      <c r="I689" t="n">
        <v>0</v>
      </c>
      <c r="J689" t="n">
        <v>0</v>
      </c>
      <c r="K689" t="n">
        <v>0</v>
      </c>
      <c r="L689" t="n">
        <v>0</v>
      </c>
      <c r="M689" t="n">
        <v>0</v>
      </c>
      <c r="N689" t="n">
        <v>0</v>
      </c>
      <c r="O689" t="n">
        <v>0</v>
      </c>
      <c r="P689" t="n">
        <v>0</v>
      </c>
      <c r="Q689" t="n">
        <v>0</v>
      </c>
      <c r="R689" s="2" t="inlineStr"/>
    </row>
    <row r="690" ht="15" customHeight="1">
      <c r="A690" t="inlineStr">
        <is>
          <t>A 1207-2023</t>
        </is>
      </c>
      <c r="B690" s="1" t="n">
        <v>44930</v>
      </c>
      <c r="C690" s="1" t="n">
        <v>46053</v>
      </c>
      <c r="D690" t="inlineStr">
        <is>
          <t>ÖSTERGÖTLANDS LÄN</t>
        </is>
      </c>
      <c r="E690" t="inlineStr">
        <is>
          <t>LINKÖPING</t>
        </is>
      </c>
      <c r="F690" t="inlineStr">
        <is>
          <t>Övriga statliga verk och myndigheter</t>
        </is>
      </c>
      <c r="G690" t="n">
        <v>32.8</v>
      </c>
      <c r="H690" t="n">
        <v>0</v>
      </c>
      <c r="I690" t="n">
        <v>0</v>
      </c>
      <c r="J690" t="n">
        <v>0</v>
      </c>
      <c r="K690" t="n">
        <v>0</v>
      </c>
      <c r="L690" t="n">
        <v>0</v>
      </c>
      <c r="M690" t="n">
        <v>0</v>
      </c>
      <c r="N690" t="n">
        <v>0</v>
      </c>
      <c r="O690" t="n">
        <v>0</v>
      </c>
      <c r="P690" t="n">
        <v>0</v>
      </c>
      <c r="Q690" t="n">
        <v>0</v>
      </c>
      <c r="R690" s="2" t="inlineStr"/>
    </row>
    <row r="691" ht="15" customHeight="1">
      <c r="A691" t="inlineStr">
        <is>
          <t>A 62015-2024</t>
        </is>
      </c>
      <c r="B691" s="1" t="n">
        <v>45655.80457175926</v>
      </c>
      <c r="C691" s="1" t="n">
        <v>46053</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62020-2024</t>
        </is>
      </c>
      <c r="B692" s="1" t="n">
        <v>45655.83563657408</v>
      </c>
      <c r="C692" s="1" t="n">
        <v>46053</v>
      </c>
      <c r="D692" t="inlineStr">
        <is>
          <t>ÖSTERGÖTLANDS LÄN</t>
        </is>
      </c>
      <c r="E692" t="inlineStr">
        <is>
          <t>LINKÖPING</t>
        </is>
      </c>
      <c r="G692" t="n">
        <v>0.5</v>
      </c>
      <c r="H692" t="n">
        <v>0</v>
      </c>
      <c r="I692" t="n">
        <v>0</v>
      </c>
      <c r="J692" t="n">
        <v>0</v>
      </c>
      <c r="K692" t="n">
        <v>0</v>
      </c>
      <c r="L692" t="n">
        <v>0</v>
      </c>
      <c r="M692" t="n">
        <v>0</v>
      </c>
      <c r="N692" t="n">
        <v>0</v>
      </c>
      <c r="O692" t="n">
        <v>0</v>
      </c>
      <c r="P692" t="n">
        <v>0</v>
      </c>
      <c r="Q692" t="n">
        <v>0</v>
      </c>
      <c r="R692" s="2" t="inlineStr"/>
    </row>
    <row r="693" ht="15" customHeight="1">
      <c r="A693" t="inlineStr">
        <is>
          <t>A 62021-2024</t>
        </is>
      </c>
      <c r="B693" s="1" t="n">
        <v>45655.84232638889</v>
      </c>
      <c r="C693" s="1" t="n">
        <v>46053</v>
      </c>
      <c r="D693" t="inlineStr">
        <is>
          <t>ÖSTERGÖTLANDS LÄN</t>
        </is>
      </c>
      <c r="E693" t="inlineStr">
        <is>
          <t>LINKÖPING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27891-2021</t>
        </is>
      </c>
      <c r="B694" s="1" t="n">
        <v>44354.65108796296</v>
      </c>
      <c r="C694" s="1" t="n">
        <v>46053</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57391-2023</t>
        </is>
      </c>
      <c r="B695" s="1" t="n">
        <v>45245</v>
      </c>
      <c r="C695" s="1" t="n">
        <v>46053</v>
      </c>
      <c r="D695" t="inlineStr">
        <is>
          <t>ÖSTERGÖTLANDS LÄN</t>
        </is>
      </c>
      <c r="E695" t="inlineStr">
        <is>
          <t>LINKÖPING</t>
        </is>
      </c>
      <c r="F695" t="inlineStr">
        <is>
          <t>Övriga Aktiebolag</t>
        </is>
      </c>
      <c r="G695" t="n">
        <v>1.7</v>
      </c>
      <c r="H695" t="n">
        <v>0</v>
      </c>
      <c r="I695" t="n">
        <v>0</v>
      </c>
      <c r="J695" t="n">
        <v>0</v>
      </c>
      <c r="K695" t="n">
        <v>0</v>
      </c>
      <c r="L695" t="n">
        <v>0</v>
      </c>
      <c r="M695" t="n">
        <v>0</v>
      </c>
      <c r="N695" t="n">
        <v>0</v>
      </c>
      <c r="O695" t="n">
        <v>0</v>
      </c>
      <c r="P695" t="n">
        <v>0</v>
      </c>
      <c r="Q695" t="n">
        <v>0</v>
      </c>
      <c r="R695" s="2" t="inlineStr"/>
    </row>
    <row r="696" ht="15" customHeight="1">
      <c r="A696" t="inlineStr">
        <is>
          <t>A 20294-2025</t>
        </is>
      </c>
      <c r="B696" s="1" t="n">
        <v>45774.74667824074</v>
      </c>
      <c r="C696" s="1" t="n">
        <v>46053</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60013-2022</t>
        </is>
      </c>
      <c r="B697" s="1" t="n">
        <v>44909.47482638889</v>
      </c>
      <c r="C697" s="1" t="n">
        <v>46053</v>
      </c>
      <c r="D697" t="inlineStr">
        <is>
          <t>ÖSTERGÖTLANDS LÄN</t>
        </is>
      </c>
      <c r="E697" t="inlineStr">
        <is>
          <t>LINKÖPING</t>
        </is>
      </c>
      <c r="G697" t="n">
        <v>0.9</v>
      </c>
      <c r="H697" t="n">
        <v>0</v>
      </c>
      <c r="I697" t="n">
        <v>0</v>
      </c>
      <c r="J697" t="n">
        <v>0</v>
      </c>
      <c r="K697" t="n">
        <v>0</v>
      </c>
      <c r="L697" t="n">
        <v>0</v>
      </c>
      <c r="M697" t="n">
        <v>0</v>
      </c>
      <c r="N697" t="n">
        <v>0</v>
      </c>
      <c r="O697" t="n">
        <v>0</v>
      </c>
      <c r="P697" t="n">
        <v>0</v>
      </c>
      <c r="Q697" t="n">
        <v>0</v>
      </c>
      <c r="R697" s="2" t="inlineStr"/>
    </row>
    <row r="698" ht="15" customHeight="1">
      <c r="A698" t="inlineStr">
        <is>
          <t>A 3007-2025</t>
        </is>
      </c>
      <c r="B698" s="1" t="n">
        <v>45678.56328703704</v>
      </c>
      <c r="C698" s="1" t="n">
        <v>46053</v>
      </c>
      <c r="D698" t="inlineStr">
        <is>
          <t>ÖSTERGÖTLANDS LÄN</t>
        </is>
      </c>
      <c r="E698" t="inlineStr">
        <is>
          <t>LINKÖPING</t>
        </is>
      </c>
      <c r="G698" t="n">
        <v>3.1</v>
      </c>
      <c r="H698" t="n">
        <v>0</v>
      </c>
      <c r="I698" t="n">
        <v>0</v>
      </c>
      <c r="J698" t="n">
        <v>0</v>
      </c>
      <c r="K698" t="n">
        <v>0</v>
      </c>
      <c r="L698" t="n">
        <v>0</v>
      </c>
      <c r="M698" t="n">
        <v>0</v>
      </c>
      <c r="N698" t="n">
        <v>0</v>
      </c>
      <c r="O698" t="n">
        <v>0</v>
      </c>
      <c r="P698" t="n">
        <v>0</v>
      </c>
      <c r="Q698" t="n">
        <v>0</v>
      </c>
      <c r="R698" s="2" t="inlineStr"/>
    </row>
    <row r="699" ht="15" customHeight="1">
      <c r="A699" t="inlineStr">
        <is>
          <t>A 34877-2023</t>
        </is>
      </c>
      <c r="B699" s="1" t="n">
        <v>45140</v>
      </c>
      <c r="C699" s="1" t="n">
        <v>46053</v>
      </c>
      <c r="D699" t="inlineStr">
        <is>
          <t>ÖSTERGÖTLANDS LÄN</t>
        </is>
      </c>
      <c r="E699" t="inlineStr">
        <is>
          <t>LINKÖPING</t>
        </is>
      </c>
      <c r="G699" t="n">
        <v>1.9</v>
      </c>
      <c r="H699" t="n">
        <v>0</v>
      </c>
      <c r="I699" t="n">
        <v>0</v>
      </c>
      <c r="J699" t="n">
        <v>0</v>
      </c>
      <c r="K699" t="n">
        <v>0</v>
      </c>
      <c r="L699" t="n">
        <v>0</v>
      </c>
      <c r="M699" t="n">
        <v>0</v>
      </c>
      <c r="N699" t="n">
        <v>0</v>
      </c>
      <c r="O699" t="n">
        <v>0</v>
      </c>
      <c r="P699" t="n">
        <v>0</v>
      </c>
      <c r="Q699" t="n">
        <v>0</v>
      </c>
      <c r="R699" s="2" t="inlineStr"/>
    </row>
    <row r="700" ht="15" customHeight="1">
      <c r="A700" t="inlineStr">
        <is>
          <t>A 1924-2024</t>
        </is>
      </c>
      <c r="B700" s="1" t="n">
        <v>45308</v>
      </c>
      <c r="C700" s="1" t="n">
        <v>46053</v>
      </c>
      <c r="D700" t="inlineStr">
        <is>
          <t>ÖSTERGÖTLANDS LÄN</t>
        </is>
      </c>
      <c r="E700" t="inlineStr">
        <is>
          <t>LINKÖPING</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34558-2022</t>
        </is>
      </c>
      <c r="B701" s="1" t="n">
        <v>44794.57594907407</v>
      </c>
      <c r="C701" s="1" t="n">
        <v>46053</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168-2024</t>
        </is>
      </c>
      <c r="B702" s="1" t="n">
        <v>45294</v>
      </c>
      <c r="C702" s="1" t="n">
        <v>46053</v>
      </c>
      <c r="D702" t="inlineStr">
        <is>
          <t>ÖSTERGÖTLANDS LÄN</t>
        </is>
      </c>
      <c r="E702" t="inlineStr">
        <is>
          <t>LINKÖPING</t>
        </is>
      </c>
      <c r="F702" t="inlineStr">
        <is>
          <t>Allmännings- och besparingsskogar</t>
        </is>
      </c>
      <c r="G702" t="n">
        <v>8.9</v>
      </c>
      <c r="H702" t="n">
        <v>0</v>
      </c>
      <c r="I702" t="n">
        <v>0</v>
      </c>
      <c r="J702" t="n">
        <v>0</v>
      </c>
      <c r="K702" t="n">
        <v>0</v>
      </c>
      <c r="L702" t="n">
        <v>0</v>
      </c>
      <c r="M702" t="n">
        <v>0</v>
      </c>
      <c r="N702" t="n">
        <v>0</v>
      </c>
      <c r="O702" t="n">
        <v>0</v>
      </c>
      <c r="P702" t="n">
        <v>0</v>
      </c>
      <c r="Q702" t="n">
        <v>0</v>
      </c>
      <c r="R702" s="2" t="inlineStr"/>
    </row>
    <row r="703" ht="15" customHeight="1">
      <c r="A703" t="inlineStr">
        <is>
          <t>A 15658-2023</t>
        </is>
      </c>
      <c r="B703" s="1" t="n">
        <v>45021.41194444444</v>
      </c>
      <c r="C703" s="1" t="n">
        <v>46053</v>
      </c>
      <c r="D703" t="inlineStr">
        <is>
          <t>ÖSTERGÖTLANDS LÄN</t>
        </is>
      </c>
      <c r="E703" t="inlineStr">
        <is>
          <t>LINKÖPING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30433-2024</t>
        </is>
      </c>
      <c r="B704" s="1" t="n">
        <v>45491.69741898148</v>
      </c>
      <c r="C704" s="1" t="n">
        <v>46053</v>
      </c>
      <c r="D704" t="inlineStr">
        <is>
          <t>ÖSTERGÖTLANDS LÄN</t>
        </is>
      </c>
      <c r="E704" t="inlineStr">
        <is>
          <t>LINKÖPING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52220-2023</t>
        </is>
      </c>
      <c r="B705" s="1" t="n">
        <v>45217</v>
      </c>
      <c r="C705" s="1" t="n">
        <v>46053</v>
      </c>
      <c r="D705" t="inlineStr">
        <is>
          <t>ÖSTERGÖTLANDS LÄN</t>
        </is>
      </c>
      <c r="E705" t="inlineStr">
        <is>
          <t>LINKÖPING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52225-2023</t>
        </is>
      </c>
      <c r="B706" s="1" t="n">
        <v>45217</v>
      </c>
      <c r="C706" s="1" t="n">
        <v>46053</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19464-2024</t>
        </is>
      </c>
      <c r="B707" s="1" t="n">
        <v>45429</v>
      </c>
      <c r="C707" s="1" t="n">
        <v>46053</v>
      </c>
      <c r="D707" t="inlineStr">
        <is>
          <t>ÖSTERGÖTLANDS LÄN</t>
        </is>
      </c>
      <c r="E707" t="inlineStr">
        <is>
          <t>LINKÖPING</t>
        </is>
      </c>
      <c r="G707" t="n">
        <v>2.7</v>
      </c>
      <c r="H707" t="n">
        <v>0</v>
      </c>
      <c r="I707" t="n">
        <v>0</v>
      </c>
      <c r="J707" t="n">
        <v>0</v>
      </c>
      <c r="K707" t="n">
        <v>0</v>
      </c>
      <c r="L707" t="n">
        <v>0</v>
      </c>
      <c r="M707" t="n">
        <v>0</v>
      </c>
      <c r="N707" t="n">
        <v>0</v>
      </c>
      <c r="O707" t="n">
        <v>0</v>
      </c>
      <c r="P707" t="n">
        <v>0</v>
      </c>
      <c r="Q707" t="n">
        <v>0</v>
      </c>
      <c r="R707" s="2" t="inlineStr"/>
    </row>
    <row r="708" ht="15" customHeight="1">
      <c r="A708" t="inlineStr">
        <is>
          <t>A 42044-2023</t>
        </is>
      </c>
      <c r="B708" s="1" t="n">
        <v>45177</v>
      </c>
      <c r="C708" s="1" t="n">
        <v>46053</v>
      </c>
      <c r="D708" t="inlineStr">
        <is>
          <t>ÖSTERGÖTLANDS LÄN</t>
        </is>
      </c>
      <c r="E708" t="inlineStr">
        <is>
          <t>LINKÖPING</t>
        </is>
      </c>
      <c r="G708" t="n">
        <v>3.9</v>
      </c>
      <c r="H708" t="n">
        <v>0</v>
      </c>
      <c r="I708" t="n">
        <v>0</v>
      </c>
      <c r="J708" t="n">
        <v>0</v>
      </c>
      <c r="K708" t="n">
        <v>0</v>
      </c>
      <c r="L708" t="n">
        <v>0</v>
      </c>
      <c r="M708" t="n">
        <v>0</v>
      </c>
      <c r="N708" t="n">
        <v>0</v>
      </c>
      <c r="O708" t="n">
        <v>0</v>
      </c>
      <c r="P708" t="n">
        <v>0</v>
      </c>
      <c r="Q708" t="n">
        <v>0</v>
      </c>
      <c r="R708" s="2" t="inlineStr"/>
    </row>
    <row r="709" ht="15" customHeight="1">
      <c r="A709" t="inlineStr">
        <is>
          <t>A 630-2024</t>
        </is>
      </c>
      <c r="B709" s="1" t="n">
        <v>45299.67736111111</v>
      </c>
      <c r="C709" s="1" t="n">
        <v>46053</v>
      </c>
      <c r="D709" t="inlineStr">
        <is>
          <t>ÖSTERGÖTLANDS LÄN</t>
        </is>
      </c>
      <c r="E709" t="inlineStr">
        <is>
          <t>LINKÖPING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21782-2024</t>
        </is>
      </c>
      <c r="B710" s="1" t="n">
        <v>45442.63368055555</v>
      </c>
      <c r="C710" s="1" t="n">
        <v>46053</v>
      </c>
      <c r="D710" t="inlineStr">
        <is>
          <t>ÖSTERGÖTLANDS LÄN</t>
        </is>
      </c>
      <c r="E710" t="inlineStr">
        <is>
          <t>LINKÖPING</t>
        </is>
      </c>
      <c r="G710" t="n">
        <v>1.4</v>
      </c>
      <c r="H710" t="n">
        <v>0</v>
      </c>
      <c r="I710" t="n">
        <v>0</v>
      </c>
      <c r="J710" t="n">
        <v>0</v>
      </c>
      <c r="K710" t="n">
        <v>0</v>
      </c>
      <c r="L710" t="n">
        <v>0</v>
      </c>
      <c r="M710" t="n">
        <v>0</v>
      </c>
      <c r="N710" t="n">
        <v>0</v>
      </c>
      <c r="O710" t="n">
        <v>0</v>
      </c>
      <c r="P710" t="n">
        <v>0</v>
      </c>
      <c r="Q710" t="n">
        <v>0</v>
      </c>
      <c r="R710" s="2" t="inlineStr"/>
    </row>
    <row r="711" ht="15" customHeight="1">
      <c r="A711" t="inlineStr">
        <is>
          <t>A 57766-2023</t>
        </is>
      </c>
      <c r="B711" s="1" t="n">
        <v>45246</v>
      </c>
      <c r="C711" s="1" t="n">
        <v>46053</v>
      </c>
      <c r="D711" t="inlineStr">
        <is>
          <t>ÖSTERGÖTLANDS LÄN</t>
        </is>
      </c>
      <c r="E711" t="inlineStr">
        <is>
          <t>LINKÖPING</t>
        </is>
      </c>
      <c r="F711" t="inlineStr">
        <is>
          <t>Allmännings- och besparingsskogar</t>
        </is>
      </c>
      <c r="G711" t="n">
        <v>12.8</v>
      </c>
      <c r="H711" t="n">
        <v>0</v>
      </c>
      <c r="I711" t="n">
        <v>0</v>
      </c>
      <c r="J711" t="n">
        <v>0</v>
      </c>
      <c r="K711" t="n">
        <v>0</v>
      </c>
      <c r="L711" t="n">
        <v>0</v>
      </c>
      <c r="M711" t="n">
        <v>0</v>
      </c>
      <c r="N711" t="n">
        <v>0</v>
      </c>
      <c r="O711" t="n">
        <v>0</v>
      </c>
      <c r="P711" t="n">
        <v>0</v>
      </c>
      <c r="Q711" t="n">
        <v>0</v>
      </c>
      <c r="R711" s="2" t="inlineStr"/>
    </row>
    <row r="712" ht="15" customHeight="1">
      <c r="A712" t="inlineStr">
        <is>
          <t>A 27186-2021</t>
        </is>
      </c>
      <c r="B712" s="1" t="n">
        <v>44350.67715277777</v>
      </c>
      <c r="C712" s="1" t="n">
        <v>46053</v>
      </c>
      <c r="D712" t="inlineStr">
        <is>
          <t>ÖSTERGÖTLANDS LÄN</t>
        </is>
      </c>
      <c r="E712" t="inlineStr">
        <is>
          <t>LINKÖPING</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10194-2023</t>
        </is>
      </c>
      <c r="B713" s="1" t="n">
        <v>44986.52277777778</v>
      </c>
      <c r="C713" s="1" t="n">
        <v>46053</v>
      </c>
      <c r="D713" t="inlineStr">
        <is>
          <t>ÖSTERGÖTLANDS LÄN</t>
        </is>
      </c>
      <c r="E713" t="inlineStr">
        <is>
          <t>LINKÖPING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55944-2024</t>
        </is>
      </c>
      <c r="B714" s="1" t="n">
        <v>45623.61640046296</v>
      </c>
      <c r="C714" s="1" t="n">
        <v>46053</v>
      </c>
      <c r="D714" t="inlineStr">
        <is>
          <t>ÖSTERGÖTLANDS LÄN</t>
        </is>
      </c>
      <c r="E714" t="inlineStr">
        <is>
          <t>LINKÖPING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55947-2024</t>
        </is>
      </c>
      <c r="B715" s="1" t="n">
        <v>45623</v>
      </c>
      <c r="C715" s="1" t="n">
        <v>46053</v>
      </c>
      <c r="D715" t="inlineStr">
        <is>
          <t>ÖSTERGÖTLANDS LÄN</t>
        </is>
      </c>
      <c r="E715" t="inlineStr">
        <is>
          <t>LINKÖPING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47703-2023</t>
        </is>
      </c>
      <c r="B716" s="1" t="n">
        <v>45203</v>
      </c>
      <c r="C716" s="1" t="n">
        <v>46053</v>
      </c>
      <c r="D716" t="inlineStr">
        <is>
          <t>ÖSTERGÖTLANDS LÄN</t>
        </is>
      </c>
      <c r="E716" t="inlineStr">
        <is>
          <t>LINKÖPING</t>
        </is>
      </c>
      <c r="G716" t="n">
        <v>4.1</v>
      </c>
      <c r="H716" t="n">
        <v>0</v>
      </c>
      <c r="I716" t="n">
        <v>0</v>
      </c>
      <c r="J716" t="n">
        <v>0</v>
      </c>
      <c r="K716" t="n">
        <v>0</v>
      </c>
      <c r="L716" t="n">
        <v>0</v>
      </c>
      <c r="M716" t="n">
        <v>0</v>
      </c>
      <c r="N716" t="n">
        <v>0</v>
      </c>
      <c r="O716" t="n">
        <v>0</v>
      </c>
      <c r="P716" t="n">
        <v>0</v>
      </c>
      <c r="Q716" t="n">
        <v>0</v>
      </c>
      <c r="R716" s="2" t="inlineStr"/>
    </row>
    <row r="717" ht="15" customHeight="1">
      <c r="A717" t="inlineStr">
        <is>
          <t>A 51559-2024</t>
        </is>
      </c>
      <c r="B717" s="1" t="n">
        <v>45604.61431712963</v>
      </c>
      <c r="C717" s="1" t="n">
        <v>46053</v>
      </c>
      <c r="D717" t="inlineStr">
        <is>
          <t>ÖSTERGÖTLANDS LÄN</t>
        </is>
      </c>
      <c r="E717" t="inlineStr">
        <is>
          <t>LINKÖPING</t>
        </is>
      </c>
      <c r="F717" t="inlineStr">
        <is>
          <t>Övriga Aktiebolag</t>
        </is>
      </c>
      <c r="G717" t="n">
        <v>2.4</v>
      </c>
      <c r="H717" t="n">
        <v>0</v>
      </c>
      <c r="I717" t="n">
        <v>0</v>
      </c>
      <c r="J717" t="n">
        <v>0</v>
      </c>
      <c r="K717" t="n">
        <v>0</v>
      </c>
      <c r="L717" t="n">
        <v>0</v>
      </c>
      <c r="M717" t="n">
        <v>0</v>
      </c>
      <c r="N717" t="n">
        <v>0</v>
      </c>
      <c r="O717" t="n">
        <v>0</v>
      </c>
      <c r="P717" t="n">
        <v>0</v>
      </c>
      <c r="Q717" t="n">
        <v>0</v>
      </c>
      <c r="R717" s="2" t="inlineStr"/>
    </row>
    <row r="718" ht="15" customHeight="1">
      <c r="A718" t="inlineStr">
        <is>
          <t>A 62353-2022</t>
        </is>
      </c>
      <c r="B718" s="1" t="n">
        <v>44923</v>
      </c>
      <c r="C718" s="1" t="n">
        <v>46053</v>
      </c>
      <c r="D718" t="inlineStr">
        <is>
          <t>ÖSTERGÖTLANDS LÄN</t>
        </is>
      </c>
      <c r="E718" t="inlineStr">
        <is>
          <t>LINKÖPING</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15754-2025</t>
        </is>
      </c>
      <c r="B719" s="1" t="n">
        <v>45748.56105324074</v>
      </c>
      <c r="C719" s="1" t="n">
        <v>46053</v>
      </c>
      <c r="D719" t="inlineStr">
        <is>
          <t>ÖSTERGÖTLANDS LÄN</t>
        </is>
      </c>
      <c r="E719" t="inlineStr">
        <is>
          <t>LINKÖPING</t>
        </is>
      </c>
      <c r="G719" t="n">
        <v>1.7</v>
      </c>
      <c r="H719" t="n">
        <v>0</v>
      </c>
      <c r="I719" t="n">
        <v>0</v>
      </c>
      <c r="J719" t="n">
        <v>0</v>
      </c>
      <c r="K719" t="n">
        <v>0</v>
      </c>
      <c r="L719" t="n">
        <v>0</v>
      </c>
      <c r="M719" t="n">
        <v>0</v>
      </c>
      <c r="N719" t="n">
        <v>0</v>
      </c>
      <c r="O719" t="n">
        <v>0</v>
      </c>
      <c r="P719" t="n">
        <v>0</v>
      </c>
      <c r="Q719" t="n">
        <v>0</v>
      </c>
      <c r="R719" s="2" t="inlineStr"/>
    </row>
    <row r="720" ht="15" customHeight="1">
      <c r="A720" t="inlineStr">
        <is>
          <t>A 4298-2023</t>
        </is>
      </c>
      <c r="B720" s="1" t="n">
        <v>44953</v>
      </c>
      <c r="C720" s="1" t="n">
        <v>46053</v>
      </c>
      <c r="D720" t="inlineStr">
        <is>
          <t>ÖSTERGÖTLANDS LÄN</t>
        </is>
      </c>
      <c r="E720" t="inlineStr">
        <is>
          <t>LINKÖPING</t>
        </is>
      </c>
      <c r="G720" t="n">
        <v>2.8</v>
      </c>
      <c r="H720" t="n">
        <v>0</v>
      </c>
      <c r="I720" t="n">
        <v>0</v>
      </c>
      <c r="J720" t="n">
        <v>0</v>
      </c>
      <c r="K720" t="n">
        <v>0</v>
      </c>
      <c r="L720" t="n">
        <v>0</v>
      </c>
      <c r="M720" t="n">
        <v>0</v>
      </c>
      <c r="N720" t="n">
        <v>0</v>
      </c>
      <c r="O720" t="n">
        <v>0</v>
      </c>
      <c r="P720" t="n">
        <v>0</v>
      </c>
      <c r="Q720" t="n">
        <v>0</v>
      </c>
      <c r="R720" s="2" t="inlineStr"/>
    </row>
    <row r="721" ht="15" customHeight="1">
      <c r="A721" t="inlineStr">
        <is>
          <t>A 18145-2021</t>
        </is>
      </c>
      <c r="B721" s="1" t="n">
        <v>44302</v>
      </c>
      <c r="C721" s="1" t="n">
        <v>46053</v>
      </c>
      <c r="D721" t="inlineStr">
        <is>
          <t>ÖSTERGÖTLANDS LÄN</t>
        </is>
      </c>
      <c r="E721" t="inlineStr">
        <is>
          <t>LINKÖPING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25568-2024</t>
        </is>
      </c>
      <c r="B722" s="1" t="n">
        <v>45463.58699074074</v>
      </c>
      <c r="C722" s="1" t="n">
        <v>46053</v>
      </c>
      <c r="D722" t="inlineStr">
        <is>
          <t>ÖSTERGÖTLANDS LÄN</t>
        </is>
      </c>
      <c r="E722" t="inlineStr">
        <is>
          <t>LINKÖPING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38136-2023</t>
        </is>
      </c>
      <c r="B723" s="1" t="n">
        <v>45161.37310185185</v>
      </c>
      <c r="C723" s="1" t="n">
        <v>46053</v>
      </c>
      <c r="D723" t="inlineStr">
        <is>
          <t>ÖSTERGÖTLANDS LÄN</t>
        </is>
      </c>
      <c r="E723" t="inlineStr">
        <is>
          <t>LINKÖPING</t>
        </is>
      </c>
      <c r="G723" t="n">
        <v>5.6</v>
      </c>
      <c r="H723" t="n">
        <v>0</v>
      </c>
      <c r="I723" t="n">
        <v>0</v>
      </c>
      <c r="J723" t="n">
        <v>0</v>
      </c>
      <c r="K723" t="n">
        <v>0</v>
      </c>
      <c r="L723" t="n">
        <v>0</v>
      </c>
      <c r="M723" t="n">
        <v>0</v>
      </c>
      <c r="N723" t="n">
        <v>0</v>
      </c>
      <c r="O723" t="n">
        <v>0</v>
      </c>
      <c r="P723" t="n">
        <v>0</v>
      </c>
      <c r="Q723" t="n">
        <v>0</v>
      </c>
      <c r="R723" s="2" t="inlineStr"/>
    </row>
    <row r="724" ht="15" customHeight="1">
      <c r="A724" t="inlineStr">
        <is>
          <t>A 12317-2025</t>
        </is>
      </c>
      <c r="B724" s="1" t="n">
        <v>45729.8487037037</v>
      </c>
      <c r="C724" s="1" t="n">
        <v>46053</v>
      </c>
      <c r="D724" t="inlineStr">
        <is>
          <t>ÖSTERGÖTLANDS LÄN</t>
        </is>
      </c>
      <c r="E724" t="inlineStr">
        <is>
          <t>LINKÖPING</t>
        </is>
      </c>
      <c r="G724" t="n">
        <v>8</v>
      </c>
      <c r="H724" t="n">
        <v>0</v>
      </c>
      <c r="I724" t="n">
        <v>0</v>
      </c>
      <c r="J724" t="n">
        <v>0</v>
      </c>
      <c r="K724" t="n">
        <v>0</v>
      </c>
      <c r="L724" t="n">
        <v>0</v>
      </c>
      <c r="M724" t="n">
        <v>0</v>
      </c>
      <c r="N724" t="n">
        <v>0</v>
      </c>
      <c r="O724" t="n">
        <v>0</v>
      </c>
      <c r="P724" t="n">
        <v>0</v>
      </c>
      <c r="Q724" t="n">
        <v>0</v>
      </c>
      <c r="R724" s="2" t="inlineStr"/>
    </row>
    <row r="725" ht="15" customHeight="1">
      <c r="A725" t="inlineStr">
        <is>
          <t>A 14528-2025</t>
        </is>
      </c>
      <c r="B725" s="1" t="n">
        <v>45741</v>
      </c>
      <c r="C725" s="1" t="n">
        <v>46053</v>
      </c>
      <c r="D725" t="inlineStr">
        <is>
          <t>ÖSTERGÖTLANDS LÄN</t>
        </is>
      </c>
      <c r="E725" t="inlineStr">
        <is>
          <t>LINKÖPING</t>
        </is>
      </c>
      <c r="G725" t="n">
        <v>1.5</v>
      </c>
      <c r="H725" t="n">
        <v>0</v>
      </c>
      <c r="I725" t="n">
        <v>0</v>
      </c>
      <c r="J725" t="n">
        <v>0</v>
      </c>
      <c r="K725" t="n">
        <v>0</v>
      </c>
      <c r="L725" t="n">
        <v>0</v>
      </c>
      <c r="M725" t="n">
        <v>0</v>
      </c>
      <c r="N725" t="n">
        <v>0</v>
      </c>
      <c r="O725" t="n">
        <v>0</v>
      </c>
      <c r="P725" t="n">
        <v>0</v>
      </c>
      <c r="Q725" t="n">
        <v>0</v>
      </c>
      <c r="R725" s="2" t="inlineStr"/>
    </row>
    <row r="726" ht="15" customHeight="1">
      <c r="A726" t="inlineStr">
        <is>
          <t>A 61649-2023</t>
        </is>
      </c>
      <c r="B726" s="1" t="n">
        <v>45265</v>
      </c>
      <c r="C726" s="1" t="n">
        <v>46053</v>
      </c>
      <c r="D726" t="inlineStr">
        <is>
          <t>ÖSTERGÖTLANDS LÄN</t>
        </is>
      </c>
      <c r="E726" t="inlineStr">
        <is>
          <t>LINKÖPING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60985-2023</t>
        </is>
      </c>
      <c r="B727" s="1" t="n">
        <v>45261.48429398148</v>
      </c>
      <c r="C727" s="1" t="n">
        <v>46053</v>
      </c>
      <c r="D727" t="inlineStr">
        <is>
          <t>ÖSTERGÖTLANDS LÄN</t>
        </is>
      </c>
      <c r="E727" t="inlineStr">
        <is>
          <t>LINKÖPING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421-2024</t>
        </is>
      </c>
      <c r="B728" s="1" t="n">
        <v>45296.51877314815</v>
      </c>
      <c r="C728" s="1" t="n">
        <v>46053</v>
      </c>
      <c r="D728" t="inlineStr">
        <is>
          <t>ÖSTERGÖTLANDS LÄN</t>
        </is>
      </c>
      <c r="E728" t="inlineStr">
        <is>
          <t>LINKÖPING</t>
        </is>
      </c>
      <c r="G728" t="n">
        <v>3.7</v>
      </c>
      <c r="H728" t="n">
        <v>0</v>
      </c>
      <c r="I728" t="n">
        <v>0</v>
      </c>
      <c r="J728" t="n">
        <v>0</v>
      </c>
      <c r="K728" t="n">
        <v>0</v>
      </c>
      <c r="L728" t="n">
        <v>0</v>
      </c>
      <c r="M728" t="n">
        <v>0</v>
      </c>
      <c r="N728" t="n">
        <v>0</v>
      </c>
      <c r="O728" t="n">
        <v>0</v>
      </c>
      <c r="P728" t="n">
        <v>0</v>
      </c>
      <c r="Q728" t="n">
        <v>0</v>
      </c>
      <c r="R728" s="2" t="inlineStr"/>
    </row>
    <row r="729" ht="15" customHeight="1">
      <c r="A729" t="inlineStr">
        <is>
          <t>A 51405-2023</t>
        </is>
      </c>
      <c r="B729" s="1" t="n">
        <v>45219</v>
      </c>
      <c r="C729" s="1" t="n">
        <v>46053</v>
      </c>
      <c r="D729" t="inlineStr">
        <is>
          <t>ÖSTERGÖTLANDS LÄN</t>
        </is>
      </c>
      <c r="E729" t="inlineStr">
        <is>
          <t>LINKÖPING</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53639-2023</t>
        </is>
      </c>
      <c r="B730" s="1" t="n">
        <v>45230.59686342593</v>
      </c>
      <c r="C730" s="1" t="n">
        <v>46053</v>
      </c>
      <c r="D730" t="inlineStr">
        <is>
          <t>ÖSTERGÖTLANDS LÄN</t>
        </is>
      </c>
      <c r="E730" t="inlineStr">
        <is>
          <t>LINKÖPING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24467-2023</t>
        </is>
      </c>
      <c r="B731" s="1" t="n">
        <v>45082</v>
      </c>
      <c r="C731" s="1" t="n">
        <v>46053</v>
      </c>
      <c r="D731" t="inlineStr">
        <is>
          <t>ÖSTERGÖTLANDS LÄN</t>
        </is>
      </c>
      <c r="E731" t="inlineStr">
        <is>
          <t>LINKÖPING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62488-2023</t>
        </is>
      </c>
      <c r="B732" s="1" t="n">
        <v>45268.5847337963</v>
      </c>
      <c r="C732" s="1" t="n">
        <v>46053</v>
      </c>
      <c r="D732" t="inlineStr">
        <is>
          <t>ÖSTERGÖTLANDS LÄN</t>
        </is>
      </c>
      <c r="E732" t="inlineStr">
        <is>
          <t>LINKÖPING</t>
        </is>
      </c>
      <c r="G732" t="n">
        <v>4.1</v>
      </c>
      <c r="H732" t="n">
        <v>0</v>
      </c>
      <c r="I732" t="n">
        <v>0</v>
      </c>
      <c r="J732" t="n">
        <v>0</v>
      </c>
      <c r="K732" t="n">
        <v>0</v>
      </c>
      <c r="L732" t="n">
        <v>0</v>
      </c>
      <c r="M732" t="n">
        <v>0</v>
      </c>
      <c r="N732" t="n">
        <v>0</v>
      </c>
      <c r="O732" t="n">
        <v>0</v>
      </c>
      <c r="P732" t="n">
        <v>0</v>
      </c>
      <c r="Q732" t="n">
        <v>0</v>
      </c>
      <c r="R732" s="2" t="inlineStr"/>
    </row>
    <row r="733" ht="15" customHeight="1">
      <c r="A733" t="inlineStr">
        <is>
          <t>A 62495-2023</t>
        </is>
      </c>
      <c r="B733" s="1" t="n">
        <v>45268.59717592593</v>
      </c>
      <c r="C733" s="1" t="n">
        <v>46053</v>
      </c>
      <c r="D733" t="inlineStr">
        <is>
          <t>ÖSTERGÖTLANDS LÄN</t>
        </is>
      </c>
      <c r="E733" t="inlineStr">
        <is>
          <t>LINKÖPING</t>
        </is>
      </c>
      <c r="G733" t="n">
        <v>4.1</v>
      </c>
      <c r="H733" t="n">
        <v>0</v>
      </c>
      <c r="I733" t="n">
        <v>0</v>
      </c>
      <c r="J733" t="n">
        <v>0</v>
      </c>
      <c r="K733" t="n">
        <v>0</v>
      </c>
      <c r="L733" t="n">
        <v>0</v>
      </c>
      <c r="M733" t="n">
        <v>0</v>
      </c>
      <c r="N733" t="n">
        <v>0</v>
      </c>
      <c r="O733" t="n">
        <v>0</v>
      </c>
      <c r="P733" t="n">
        <v>0</v>
      </c>
      <c r="Q733" t="n">
        <v>0</v>
      </c>
      <c r="R733" s="2" t="inlineStr"/>
    </row>
    <row r="734" ht="15" customHeight="1">
      <c r="A734" t="inlineStr">
        <is>
          <t>A 10198-2023</t>
        </is>
      </c>
      <c r="B734" s="1" t="n">
        <v>44986.54665509259</v>
      </c>
      <c r="C734" s="1" t="n">
        <v>46053</v>
      </c>
      <c r="D734" t="inlineStr">
        <is>
          <t>ÖSTERGÖTLANDS LÄN</t>
        </is>
      </c>
      <c r="E734" t="inlineStr">
        <is>
          <t>LINKÖPING</t>
        </is>
      </c>
      <c r="G734" t="n">
        <v>4.6</v>
      </c>
      <c r="H734" t="n">
        <v>0</v>
      </c>
      <c r="I734" t="n">
        <v>0</v>
      </c>
      <c r="J734" t="n">
        <v>0</v>
      </c>
      <c r="K734" t="n">
        <v>0</v>
      </c>
      <c r="L734" t="n">
        <v>0</v>
      </c>
      <c r="M734" t="n">
        <v>0</v>
      </c>
      <c r="N734" t="n">
        <v>0</v>
      </c>
      <c r="O734" t="n">
        <v>0</v>
      </c>
      <c r="P734" t="n">
        <v>0</v>
      </c>
      <c r="Q734" t="n">
        <v>0</v>
      </c>
      <c r="R734" s="2" t="inlineStr"/>
    </row>
    <row r="735" ht="15" customHeight="1">
      <c r="A735" t="inlineStr">
        <is>
          <t>A 22771-2024</t>
        </is>
      </c>
      <c r="B735" s="1" t="n">
        <v>45448.46574074074</v>
      </c>
      <c r="C735" s="1" t="n">
        <v>46053</v>
      </c>
      <c r="D735" t="inlineStr">
        <is>
          <t>ÖSTERGÖTLANDS LÄN</t>
        </is>
      </c>
      <c r="E735" t="inlineStr">
        <is>
          <t>LINKÖPING</t>
        </is>
      </c>
      <c r="F735" t="inlineStr">
        <is>
          <t>Sveaskog</t>
        </is>
      </c>
      <c r="G735" t="n">
        <v>2.7</v>
      </c>
      <c r="H735" t="n">
        <v>0</v>
      </c>
      <c r="I735" t="n">
        <v>0</v>
      </c>
      <c r="J735" t="n">
        <v>0</v>
      </c>
      <c r="K735" t="n">
        <v>0</v>
      </c>
      <c r="L735" t="n">
        <v>0</v>
      </c>
      <c r="M735" t="n">
        <v>0</v>
      </c>
      <c r="N735" t="n">
        <v>0</v>
      </c>
      <c r="O735" t="n">
        <v>0</v>
      </c>
      <c r="P735" t="n">
        <v>0</v>
      </c>
      <c r="Q735" t="n">
        <v>0</v>
      </c>
      <c r="R735" s="2" t="inlineStr"/>
    </row>
    <row r="736" ht="15" customHeight="1">
      <c r="A736" t="inlineStr">
        <is>
          <t>A 17128-2025</t>
        </is>
      </c>
      <c r="B736" s="1" t="n">
        <v>45755.72622685185</v>
      </c>
      <c r="C736" s="1" t="n">
        <v>46053</v>
      </c>
      <c r="D736" t="inlineStr">
        <is>
          <t>ÖSTERGÖTLANDS LÄN</t>
        </is>
      </c>
      <c r="E736" t="inlineStr">
        <is>
          <t>LINKÖPING</t>
        </is>
      </c>
      <c r="G736" t="n">
        <v>2.9</v>
      </c>
      <c r="H736" t="n">
        <v>0</v>
      </c>
      <c r="I736" t="n">
        <v>0</v>
      </c>
      <c r="J736" t="n">
        <v>0</v>
      </c>
      <c r="K736" t="n">
        <v>0</v>
      </c>
      <c r="L736" t="n">
        <v>0</v>
      </c>
      <c r="M736" t="n">
        <v>0</v>
      </c>
      <c r="N736" t="n">
        <v>0</v>
      </c>
      <c r="O736" t="n">
        <v>0</v>
      </c>
      <c r="P736" t="n">
        <v>0</v>
      </c>
      <c r="Q736" t="n">
        <v>0</v>
      </c>
      <c r="R736" s="2" t="inlineStr"/>
    </row>
    <row r="737" ht="15" customHeight="1">
      <c r="A737" t="inlineStr">
        <is>
          <t>A 62018-2024</t>
        </is>
      </c>
      <c r="B737" s="1" t="n">
        <v>45655.81387731482</v>
      </c>
      <c r="C737" s="1" t="n">
        <v>46053</v>
      </c>
      <c r="D737" t="inlineStr">
        <is>
          <t>ÖSTERGÖTLANDS LÄN</t>
        </is>
      </c>
      <c r="E737" t="inlineStr">
        <is>
          <t>LINKÖPING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62073-2023</t>
        </is>
      </c>
      <c r="B738" s="1" t="n">
        <v>45266.73844907407</v>
      </c>
      <c r="C738" s="1" t="n">
        <v>46053</v>
      </c>
      <c r="D738" t="inlineStr">
        <is>
          <t>ÖSTERGÖTLANDS LÄN</t>
        </is>
      </c>
      <c r="E738" t="inlineStr">
        <is>
          <t>LINKÖPING</t>
        </is>
      </c>
      <c r="F738" t="inlineStr">
        <is>
          <t>Allmännings- och besparingsskogar</t>
        </is>
      </c>
      <c r="G738" t="n">
        <v>1.8</v>
      </c>
      <c r="H738" t="n">
        <v>0</v>
      </c>
      <c r="I738" t="n">
        <v>0</v>
      </c>
      <c r="J738" t="n">
        <v>0</v>
      </c>
      <c r="K738" t="n">
        <v>0</v>
      </c>
      <c r="L738" t="n">
        <v>0</v>
      </c>
      <c r="M738" t="n">
        <v>0</v>
      </c>
      <c r="N738" t="n">
        <v>0</v>
      </c>
      <c r="O738" t="n">
        <v>0</v>
      </c>
      <c r="P738" t="n">
        <v>0</v>
      </c>
      <c r="Q738" t="n">
        <v>0</v>
      </c>
      <c r="R738" s="2" t="inlineStr"/>
    </row>
    <row r="739" ht="15" customHeight="1">
      <c r="A739" t="inlineStr">
        <is>
          <t>A 672-2024</t>
        </is>
      </c>
      <c r="B739" s="1" t="n">
        <v>45300</v>
      </c>
      <c r="C739" s="1" t="n">
        <v>46053</v>
      </c>
      <c r="D739" t="inlineStr">
        <is>
          <t>ÖSTERGÖTLANDS LÄN</t>
        </is>
      </c>
      <c r="E739" t="inlineStr">
        <is>
          <t>LINKÖPING</t>
        </is>
      </c>
      <c r="F739" t="inlineStr">
        <is>
          <t>Sveaskog</t>
        </is>
      </c>
      <c r="G739" t="n">
        <v>4.5</v>
      </c>
      <c r="H739" t="n">
        <v>0</v>
      </c>
      <c r="I739" t="n">
        <v>0</v>
      </c>
      <c r="J739" t="n">
        <v>0</v>
      </c>
      <c r="K739" t="n">
        <v>0</v>
      </c>
      <c r="L739" t="n">
        <v>0</v>
      </c>
      <c r="M739" t="n">
        <v>0</v>
      </c>
      <c r="N739" t="n">
        <v>0</v>
      </c>
      <c r="O739" t="n">
        <v>0</v>
      </c>
      <c r="P739" t="n">
        <v>0</v>
      </c>
      <c r="Q739" t="n">
        <v>0</v>
      </c>
      <c r="R739" s="2" t="inlineStr"/>
    </row>
    <row r="740">
      <c r="A740" t="inlineStr">
        <is>
          <t>A 42832-2023</t>
        </is>
      </c>
      <c r="B740" s="1" t="n">
        <v>45182.38091435185</v>
      </c>
      <c r="C740" s="1" t="n">
        <v>46053</v>
      </c>
      <c r="D740" t="inlineStr">
        <is>
          <t>ÖSTERGÖTLANDS LÄN</t>
        </is>
      </c>
      <c r="E740" t="inlineStr">
        <is>
          <t>LINKÖPING</t>
        </is>
      </c>
      <c r="G740" t="n">
        <v>2.5</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2026-01-31T11:00:01Z</dcterms:created>
  <dcterms:modified xmlns:dcterms="http://purl.org/dc/terms/" xmlns:xsi="http://www.w3.org/2001/XMLSchema-instance" xsi:type="dcterms:W3CDTF">2026-01-31T11:00:02Z</dcterms:modified>
</cp:coreProperties>
</file>