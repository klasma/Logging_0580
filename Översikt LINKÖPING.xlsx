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46090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46090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46090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46090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46090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46090</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46090</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46090</v>
      </c>
      <c r="D10" t="inlineStr">
        <is>
          <t>ÖSTERGÖTLANDS LÄN</t>
        </is>
      </c>
      <c r="E10" t="inlineStr">
        <is>
          <t>LINKÖPING</t>
        </is>
      </c>
      <c r="G10" t="n">
        <v>3.3</v>
      </c>
      <c r="H10" t="n">
        <v>2</v>
      </c>
      <c r="I10" t="n">
        <v>2</v>
      </c>
      <c r="J10" t="n">
        <v>2</v>
      </c>
      <c r="K10" t="n">
        <v>1</v>
      </c>
      <c r="L10" t="n">
        <v>0</v>
      </c>
      <c r="M10" t="n">
        <v>0</v>
      </c>
      <c r="N10" t="n">
        <v>0</v>
      </c>
      <c r="O10" t="n">
        <v>3</v>
      </c>
      <c r="P10" t="n">
        <v>1</v>
      </c>
      <c r="Q10" t="n">
        <v>5</v>
      </c>
      <c r="R10" s="2" t="inlineStr">
        <is>
          <t>Knärot
Spillkråka
Tallticka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46090</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46090</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46090</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46090</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46090</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46090</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46090</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49999-2025</t>
        </is>
      </c>
      <c r="B18" s="1" t="n">
        <v>45943.30185185185</v>
      </c>
      <c r="C18" s="1" t="n">
        <v>46090</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11048-2026</t>
        </is>
      </c>
      <c r="B19" s="1" t="n">
        <v>46079.58841435185</v>
      </c>
      <c r="C19" s="1" t="n">
        <v>46090</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46090</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17275-2025</t>
        </is>
      </c>
      <c r="B21" s="1" t="n">
        <v>45756.55734953703</v>
      </c>
      <c r="C21" s="1" t="n">
        <v>46090</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6353-2026</t>
        </is>
      </c>
      <c r="B22" s="1" t="n">
        <v>46055.61385416667</v>
      </c>
      <c r="C22" s="1" t="n">
        <v>46090</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38913-2023</t>
        </is>
      </c>
      <c r="B23" s="1" t="n">
        <v>45163</v>
      </c>
      <c r="C23" s="1" t="n">
        <v>46090</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46090</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46090</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46090</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46090</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46090</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46090</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27795-2025</t>
        </is>
      </c>
      <c r="B30" s="1" t="n">
        <v>45816.7908912037</v>
      </c>
      <c r="C30" s="1" t="n">
        <v>46090</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14879-2024</t>
        </is>
      </c>
      <c r="B31" s="1" t="n">
        <v>45398</v>
      </c>
      <c r="C31" s="1" t="n">
        <v>46090</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46090</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50048-2025</t>
        </is>
      </c>
      <c r="B33" s="1" t="n">
        <v>45941</v>
      </c>
      <c r="C33" s="1" t="n">
        <v>46090</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25985-2025</t>
        </is>
      </c>
      <c r="B34" s="1" t="n">
        <v>45804.64479166667</v>
      </c>
      <c r="C34" s="1" t="n">
        <v>46090</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58068-2021</t>
        </is>
      </c>
      <c r="B35" s="1" t="n">
        <v>44487</v>
      </c>
      <c r="C35" s="1" t="n">
        <v>46090</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58068-2021</t>
        </is>
      </c>
      <c r="B36" s="1" t="n">
        <v>44487</v>
      </c>
      <c r="C36" s="1" t="n">
        <v>46090</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22040-2023</t>
        </is>
      </c>
      <c r="B37" s="1" t="n">
        <v>45068</v>
      </c>
      <c r="C37" s="1" t="n">
        <v>46090</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46090</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11613-2025</t>
        </is>
      </c>
      <c r="B39" s="1" t="n">
        <v>45727.44623842592</v>
      </c>
      <c r="C39" s="1" t="n">
        <v>46090</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3912-2026</t>
        </is>
      </c>
      <c r="B40" s="1" t="n">
        <v>46043.71958333333</v>
      </c>
      <c r="C40" s="1" t="n">
        <v>46090</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20292-2025</t>
        </is>
      </c>
      <c r="B41" s="1" t="n">
        <v>45774.7449537037</v>
      </c>
      <c r="C41" s="1" t="n">
        <v>46090</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46090</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41751-2023</t>
        </is>
      </c>
      <c r="B43" s="1" t="n">
        <v>45176</v>
      </c>
      <c r="C43" s="1" t="n">
        <v>46090</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42858-2023</t>
        </is>
      </c>
      <c r="B44" s="1" t="n">
        <v>45177</v>
      </c>
      <c r="C44" s="1" t="n">
        <v>46090</v>
      </c>
      <c r="D44" t="inlineStr">
        <is>
          <t>ÖSTERGÖTLANDS LÄN</t>
        </is>
      </c>
      <c r="E44" t="inlineStr">
        <is>
          <t>LINKÖPING</t>
        </is>
      </c>
      <c r="G44" t="n">
        <v>5.3</v>
      </c>
      <c r="H44" t="n">
        <v>1</v>
      </c>
      <c r="I44" t="n">
        <v>0</v>
      </c>
      <c r="J44" t="n">
        <v>1</v>
      </c>
      <c r="K44" t="n">
        <v>0</v>
      </c>
      <c r="L44" t="n">
        <v>0</v>
      </c>
      <c r="M44" t="n">
        <v>0</v>
      </c>
      <c r="N44" t="n">
        <v>0</v>
      </c>
      <c r="O44" t="n">
        <v>1</v>
      </c>
      <c r="P44" t="n">
        <v>0</v>
      </c>
      <c r="Q44" t="n">
        <v>2</v>
      </c>
      <c r="R44" s="2" t="inlineStr">
        <is>
          <t>Svinrot
Skogsödla</t>
        </is>
      </c>
      <c r="S44">
        <f>HYPERLINK("https://klasma.github.io/Logging_0580/artfynd/A 42858-2023 artfynd.xlsx", "A 42858-2023")</f>
        <v/>
      </c>
      <c r="T44">
        <f>HYPERLINK("https://klasma.github.io/Logging_0580/kartor/A 42858-2023 karta.png", "A 42858-2023")</f>
        <v/>
      </c>
      <c r="V44">
        <f>HYPERLINK("https://klasma.github.io/Logging_0580/klagomål/A 42858-2023 FSC-klagomål.docx", "A 42858-2023")</f>
        <v/>
      </c>
      <c r="W44">
        <f>HYPERLINK("https://klasma.github.io/Logging_0580/klagomålsmail/A 42858-2023 FSC-klagomål mail.docx", "A 42858-2023")</f>
        <v/>
      </c>
      <c r="X44">
        <f>HYPERLINK("https://klasma.github.io/Logging_0580/tillsyn/A 42858-2023 tillsynsbegäran.docx", "A 42858-2023")</f>
        <v/>
      </c>
      <c r="Y44">
        <f>HYPERLINK("https://klasma.github.io/Logging_0580/tillsynsmail/A 42858-2023 tillsynsbegäran mail.docx", "A 42858-2023")</f>
        <v/>
      </c>
    </row>
    <row r="45" ht="15" customHeight="1">
      <c r="A45" t="inlineStr">
        <is>
          <t>A 55344-2024</t>
        </is>
      </c>
      <c r="B45" s="1" t="n">
        <v>45621.7202662037</v>
      </c>
      <c r="C45" s="1" t="n">
        <v>46090</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21326-2025</t>
        </is>
      </c>
      <c r="B46" s="1" t="n">
        <v>45782.35407407407</v>
      </c>
      <c r="C46" s="1" t="n">
        <v>46090</v>
      </c>
      <c r="D46" t="inlineStr">
        <is>
          <t>ÖSTERGÖTLANDS LÄN</t>
        </is>
      </c>
      <c r="E46" t="inlineStr">
        <is>
          <t>LINKÖPING</t>
        </is>
      </c>
      <c r="G46" t="n">
        <v>4.9</v>
      </c>
      <c r="H46" t="n">
        <v>2</v>
      </c>
      <c r="I46" t="n">
        <v>0</v>
      </c>
      <c r="J46" t="n">
        <v>0</v>
      </c>
      <c r="K46" t="n">
        <v>0</v>
      </c>
      <c r="L46" t="n">
        <v>0</v>
      </c>
      <c r="M46" t="n">
        <v>0</v>
      </c>
      <c r="N46" t="n">
        <v>0</v>
      </c>
      <c r="O46" t="n">
        <v>0</v>
      </c>
      <c r="P46" t="n">
        <v>0</v>
      </c>
      <c r="Q46" t="n">
        <v>2</v>
      </c>
      <c r="R46" s="2" t="inlineStr">
        <is>
          <t>Blåsippa
Revlummer</t>
        </is>
      </c>
      <c r="S46">
        <f>HYPERLINK("https://klasma.github.io/Logging_0580/artfynd/A 21326-2025 artfynd.xlsx", "A 21326-2025")</f>
        <v/>
      </c>
      <c r="T46">
        <f>HYPERLINK("https://klasma.github.io/Logging_0580/kartor/A 21326-2025 karta.png", "A 21326-2025")</f>
        <v/>
      </c>
      <c r="V46">
        <f>HYPERLINK("https://klasma.github.io/Logging_0580/klagomål/A 21326-2025 FSC-klagomål.docx", "A 21326-2025")</f>
        <v/>
      </c>
      <c r="W46">
        <f>HYPERLINK("https://klasma.github.io/Logging_0580/klagomålsmail/A 21326-2025 FSC-klagomål mail.docx", "A 21326-2025")</f>
        <v/>
      </c>
      <c r="X46">
        <f>HYPERLINK("https://klasma.github.io/Logging_0580/tillsyn/A 21326-2025 tillsynsbegäran.docx", "A 21326-2025")</f>
        <v/>
      </c>
      <c r="Y46">
        <f>HYPERLINK("https://klasma.github.io/Logging_0580/tillsynsmail/A 21326-2025 tillsynsbegäran mail.docx", "A 21326-2025")</f>
        <v/>
      </c>
    </row>
    <row r="47" ht="15" customHeight="1">
      <c r="A47" t="inlineStr">
        <is>
          <t>A 38129-2021</t>
        </is>
      </c>
      <c r="B47" s="1" t="n">
        <v>44405.37199074074</v>
      </c>
      <c r="C47" s="1" t="n">
        <v>46090</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46090</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17513-2022</t>
        </is>
      </c>
      <c r="B49" s="1" t="n">
        <v>44679</v>
      </c>
      <c r="C49" s="1" t="n">
        <v>46090</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46090</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46090</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46090</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46090</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931-2025</t>
        </is>
      </c>
      <c r="B54" s="1" t="n">
        <v>45665.88498842593</v>
      </c>
      <c r="C54" s="1" t="n">
        <v>46090</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1716-2023</t>
        </is>
      </c>
      <c r="B55" s="1" t="n">
        <v>44938</v>
      </c>
      <c r="C55" s="1" t="n">
        <v>46090</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1213-2023</t>
        </is>
      </c>
      <c r="B56" s="1" t="n">
        <v>44930</v>
      </c>
      <c r="C56" s="1" t="n">
        <v>46090</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45317-2023</t>
        </is>
      </c>
      <c r="B57" s="1" t="n">
        <v>45191.74868055555</v>
      </c>
      <c r="C57" s="1" t="n">
        <v>46090</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59948-2022</t>
        </is>
      </c>
      <c r="B58" s="1" t="n">
        <v>44909</v>
      </c>
      <c r="C58" s="1" t="n">
        <v>46090</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22526-2025</t>
        </is>
      </c>
      <c r="B59" s="1" t="n">
        <v>45786.78096064815</v>
      </c>
      <c r="C59" s="1" t="n">
        <v>46090</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27403-2025</t>
        </is>
      </c>
      <c r="B60" s="1" t="n">
        <v>45812.72518518518</v>
      </c>
      <c r="C60" s="1" t="n">
        <v>46090</v>
      </c>
      <c r="D60" t="inlineStr">
        <is>
          <t>ÖSTERGÖTLANDS LÄN</t>
        </is>
      </c>
      <c r="E60" t="inlineStr">
        <is>
          <t>LINKÖPING</t>
        </is>
      </c>
      <c r="G60" t="n">
        <v>1.4</v>
      </c>
      <c r="H60" t="n">
        <v>0</v>
      </c>
      <c r="I60" t="n">
        <v>0</v>
      </c>
      <c r="J60" t="n">
        <v>1</v>
      </c>
      <c r="K60" t="n">
        <v>0</v>
      </c>
      <c r="L60" t="n">
        <v>0</v>
      </c>
      <c r="M60" t="n">
        <v>0</v>
      </c>
      <c r="N60" t="n">
        <v>0</v>
      </c>
      <c r="O60" t="n">
        <v>1</v>
      </c>
      <c r="P60" t="n">
        <v>0</v>
      </c>
      <c r="Q60" t="n">
        <v>1</v>
      </c>
      <c r="R60" s="2" t="inlineStr">
        <is>
          <t>Tallticka</t>
        </is>
      </c>
      <c r="S60">
        <f>HYPERLINK("https://klasma.github.io/Logging_0580/artfynd/A 27403-2025 artfynd.xlsx", "A 27403-2025")</f>
        <v/>
      </c>
      <c r="T60">
        <f>HYPERLINK("https://klasma.github.io/Logging_0580/kartor/A 27403-2025 karta.png", "A 27403-2025")</f>
        <v/>
      </c>
      <c r="V60">
        <f>HYPERLINK("https://klasma.github.io/Logging_0580/klagomål/A 27403-2025 FSC-klagomål.docx", "A 27403-2025")</f>
        <v/>
      </c>
      <c r="W60">
        <f>HYPERLINK("https://klasma.github.io/Logging_0580/klagomålsmail/A 27403-2025 FSC-klagomål mail.docx", "A 27403-2025")</f>
        <v/>
      </c>
      <c r="X60">
        <f>HYPERLINK("https://klasma.github.io/Logging_0580/tillsyn/A 27403-2025 tillsynsbegäran.docx", "A 27403-2025")</f>
        <v/>
      </c>
      <c r="Y60">
        <f>HYPERLINK("https://klasma.github.io/Logging_0580/tillsynsmail/A 27403-2025 tillsynsbegäran mail.docx", "A 27403-2025")</f>
        <v/>
      </c>
    </row>
    <row r="61" ht="15" customHeight="1">
      <c r="A61" t="inlineStr">
        <is>
          <t>A 37683-2024</t>
        </is>
      </c>
      <c r="B61" s="1" t="n">
        <v>45541.59120370371</v>
      </c>
      <c r="C61" s="1" t="n">
        <v>46090</v>
      </c>
      <c r="D61" t="inlineStr">
        <is>
          <t>ÖSTERGÖTLANDS LÄN</t>
        </is>
      </c>
      <c r="E61" t="inlineStr">
        <is>
          <t>LINKÖPING</t>
        </is>
      </c>
      <c r="G61" t="n">
        <v>0.6</v>
      </c>
      <c r="H61" t="n">
        <v>0</v>
      </c>
      <c r="I61" t="n">
        <v>1</v>
      </c>
      <c r="J61" t="n">
        <v>0</v>
      </c>
      <c r="K61" t="n">
        <v>0</v>
      </c>
      <c r="L61" t="n">
        <v>0</v>
      </c>
      <c r="M61" t="n">
        <v>0</v>
      </c>
      <c r="N61" t="n">
        <v>0</v>
      </c>
      <c r="O61" t="n">
        <v>0</v>
      </c>
      <c r="P61" t="n">
        <v>0</v>
      </c>
      <c r="Q61" t="n">
        <v>1</v>
      </c>
      <c r="R61" s="2" t="inlineStr">
        <is>
          <t>Tibast</t>
        </is>
      </c>
      <c r="S61">
        <f>HYPERLINK("https://klasma.github.io/Logging_0580/artfynd/A 37683-2024 artfynd.xlsx", "A 37683-2024")</f>
        <v/>
      </c>
      <c r="T61">
        <f>HYPERLINK("https://klasma.github.io/Logging_0580/kartor/A 37683-2024 karta.png", "A 37683-2024")</f>
        <v/>
      </c>
      <c r="V61">
        <f>HYPERLINK("https://klasma.github.io/Logging_0580/klagomål/A 37683-2024 FSC-klagomål.docx", "A 37683-2024")</f>
        <v/>
      </c>
      <c r="W61">
        <f>HYPERLINK("https://klasma.github.io/Logging_0580/klagomålsmail/A 37683-2024 FSC-klagomål mail.docx", "A 37683-2024")</f>
        <v/>
      </c>
      <c r="X61">
        <f>HYPERLINK("https://klasma.github.io/Logging_0580/tillsyn/A 37683-2024 tillsynsbegäran.docx", "A 37683-2024")</f>
        <v/>
      </c>
      <c r="Y61">
        <f>HYPERLINK("https://klasma.github.io/Logging_0580/tillsynsmail/A 37683-2024 tillsynsbegäran mail.docx", "A 37683-2024")</f>
        <v/>
      </c>
    </row>
    <row r="62" ht="15" customHeight="1">
      <c r="A62" t="inlineStr">
        <is>
          <t>A 29393-2025</t>
        </is>
      </c>
      <c r="B62" s="1" t="n">
        <v>45824.6057175926</v>
      </c>
      <c r="C62" s="1" t="n">
        <v>46090</v>
      </c>
      <c r="D62" t="inlineStr">
        <is>
          <t>ÖSTERGÖTLANDS LÄN</t>
        </is>
      </c>
      <c r="E62" t="inlineStr">
        <is>
          <t>LINKÖPING</t>
        </is>
      </c>
      <c r="F62" t="inlineStr">
        <is>
          <t>Sveaskog</t>
        </is>
      </c>
      <c r="G62" t="n">
        <v>24.6</v>
      </c>
      <c r="H62" t="n">
        <v>1</v>
      </c>
      <c r="I62" t="n">
        <v>0</v>
      </c>
      <c r="J62" t="n">
        <v>0</v>
      </c>
      <c r="K62" t="n">
        <v>1</v>
      </c>
      <c r="L62" t="n">
        <v>0</v>
      </c>
      <c r="M62" t="n">
        <v>0</v>
      </c>
      <c r="N62" t="n">
        <v>0</v>
      </c>
      <c r="O62" t="n">
        <v>1</v>
      </c>
      <c r="P62" t="n">
        <v>1</v>
      </c>
      <c r="Q62" t="n">
        <v>1</v>
      </c>
      <c r="R62" s="2" t="inlineStr">
        <is>
          <t>Skogsgås</t>
        </is>
      </c>
      <c r="S62">
        <f>HYPERLINK("https://klasma.github.io/Logging_0580/artfynd/A 29393-2025 artfynd.xlsx", "A 29393-2025")</f>
        <v/>
      </c>
      <c r="T62">
        <f>HYPERLINK("https://klasma.github.io/Logging_0580/kartor/A 29393-2025 karta.png", "A 29393-2025")</f>
        <v/>
      </c>
      <c r="V62">
        <f>HYPERLINK("https://klasma.github.io/Logging_0580/klagomål/A 29393-2025 FSC-klagomål.docx", "A 29393-2025")</f>
        <v/>
      </c>
      <c r="W62">
        <f>HYPERLINK("https://klasma.github.io/Logging_0580/klagomålsmail/A 29393-2025 FSC-klagomål mail.docx", "A 29393-2025")</f>
        <v/>
      </c>
      <c r="X62">
        <f>HYPERLINK("https://klasma.github.io/Logging_0580/tillsyn/A 29393-2025 tillsynsbegäran.docx", "A 29393-2025")</f>
        <v/>
      </c>
      <c r="Y62">
        <f>HYPERLINK("https://klasma.github.io/Logging_0580/tillsynsmail/A 29393-2025 tillsynsbegäran mail.docx", "A 29393-2025")</f>
        <v/>
      </c>
      <c r="Z62">
        <f>HYPERLINK("https://klasma.github.io/Logging_0580/fåglar/A 29393-2025 prioriterade fågelarter.docx", "A 29393-2025")</f>
        <v/>
      </c>
    </row>
    <row r="63" ht="15" customHeight="1">
      <c r="A63" t="inlineStr">
        <is>
          <t>A 43989-2025</t>
        </is>
      </c>
      <c r="B63" s="1" t="n">
        <v>45915.44128472222</v>
      </c>
      <c r="C63" s="1" t="n">
        <v>46090</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46090</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56651-2023</t>
        </is>
      </c>
      <c r="B65" s="1" t="n">
        <v>45243</v>
      </c>
      <c r="C65" s="1" t="n">
        <v>46090</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17444-2025</t>
        </is>
      </c>
      <c r="B66" s="1" t="n">
        <v>45757.43452546297</v>
      </c>
      <c r="C66" s="1" t="n">
        <v>46090</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48347-2025</t>
        </is>
      </c>
      <c r="B67" s="1" t="n">
        <v>45932</v>
      </c>
      <c r="C67" s="1" t="n">
        <v>46090</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48353-2025</t>
        </is>
      </c>
      <c r="B68" s="1" t="n">
        <v>45932</v>
      </c>
      <c r="C68" s="1" t="n">
        <v>46090</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48273-2025</t>
        </is>
      </c>
      <c r="B69" s="1" t="n">
        <v>45932</v>
      </c>
      <c r="C69" s="1" t="n">
        <v>46090</v>
      </c>
      <c r="D69" t="inlineStr">
        <is>
          <t>ÖSTERGÖTLANDS LÄN</t>
        </is>
      </c>
      <c r="E69" t="inlineStr">
        <is>
          <t>LINKÖPING</t>
        </is>
      </c>
      <c r="F69" t="inlineStr">
        <is>
          <t>Övriga Aktiebolag</t>
        </is>
      </c>
      <c r="G69" t="n">
        <v>4.6</v>
      </c>
      <c r="H69" t="n">
        <v>0</v>
      </c>
      <c r="I69" t="n">
        <v>0</v>
      </c>
      <c r="J69" t="n">
        <v>1</v>
      </c>
      <c r="K69" t="n">
        <v>0</v>
      </c>
      <c r="L69" t="n">
        <v>0</v>
      </c>
      <c r="M69" t="n">
        <v>0</v>
      </c>
      <c r="N69" t="n">
        <v>0</v>
      </c>
      <c r="O69" t="n">
        <v>1</v>
      </c>
      <c r="P69" t="n">
        <v>0</v>
      </c>
      <c r="Q69" t="n">
        <v>1</v>
      </c>
      <c r="R69" s="2" t="inlineStr">
        <is>
          <t>Barrviolspindling</t>
        </is>
      </c>
      <c r="S69">
        <f>HYPERLINK("https://klasma.github.io/Logging_0580/artfynd/A 48273-2025 artfynd.xlsx", "A 48273-2025")</f>
        <v/>
      </c>
      <c r="T69">
        <f>HYPERLINK("https://klasma.github.io/Logging_0580/kartor/A 48273-2025 karta.png", "A 48273-2025")</f>
        <v/>
      </c>
      <c r="V69">
        <f>HYPERLINK("https://klasma.github.io/Logging_0580/klagomål/A 48273-2025 FSC-klagomål.docx", "A 48273-2025")</f>
        <v/>
      </c>
      <c r="W69">
        <f>HYPERLINK("https://klasma.github.io/Logging_0580/klagomålsmail/A 48273-2025 FSC-klagomål mail.docx", "A 48273-2025")</f>
        <v/>
      </c>
      <c r="X69">
        <f>HYPERLINK("https://klasma.github.io/Logging_0580/tillsyn/A 48273-2025 tillsynsbegäran.docx", "A 48273-2025")</f>
        <v/>
      </c>
      <c r="Y69">
        <f>HYPERLINK("https://klasma.github.io/Logging_0580/tillsynsmail/A 48273-2025 tillsynsbegäran mail.docx", "A 48273-2025")</f>
        <v/>
      </c>
    </row>
    <row r="70" ht="15" customHeight="1">
      <c r="A70" t="inlineStr">
        <is>
          <t>A 48298-2025</t>
        </is>
      </c>
      <c r="B70" s="1" t="n">
        <v>45932</v>
      </c>
      <c r="C70" s="1" t="n">
        <v>46090</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5911-2022</t>
        </is>
      </c>
      <c r="B71" s="1" t="n">
        <v>44597</v>
      </c>
      <c r="C71" s="1" t="n">
        <v>46090</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36723-2023</t>
        </is>
      </c>
      <c r="B72" s="1" t="n">
        <v>45153</v>
      </c>
      <c r="C72" s="1" t="n">
        <v>46090</v>
      </c>
      <c r="D72" t="inlineStr">
        <is>
          <t>ÖSTERGÖTLANDS LÄN</t>
        </is>
      </c>
      <c r="E72" t="inlineStr">
        <is>
          <t>LINKÖPING</t>
        </is>
      </c>
      <c r="F72" t="inlineStr">
        <is>
          <t>Allmännings- och besparingsskogar</t>
        </is>
      </c>
      <c r="G72" t="n">
        <v>9.9</v>
      </c>
      <c r="H72" t="n">
        <v>0</v>
      </c>
      <c r="I72" t="n">
        <v>0</v>
      </c>
      <c r="J72" t="n">
        <v>0</v>
      </c>
      <c r="K72" t="n">
        <v>1</v>
      </c>
      <c r="L72" t="n">
        <v>0</v>
      </c>
      <c r="M72" t="n">
        <v>0</v>
      </c>
      <c r="N72" t="n">
        <v>0</v>
      </c>
      <c r="O72" t="n">
        <v>1</v>
      </c>
      <c r="P72" t="n">
        <v>1</v>
      </c>
      <c r="Q72" t="n">
        <v>1</v>
      </c>
      <c r="R72" s="2" t="inlineStr">
        <is>
          <t>Bitter taggsvamp</t>
        </is>
      </c>
      <c r="S72">
        <f>HYPERLINK("https://klasma.github.io/Logging_0580/artfynd/A 36723-2023 artfynd.xlsx", "A 36723-2023")</f>
        <v/>
      </c>
      <c r="T72">
        <f>HYPERLINK("https://klasma.github.io/Logging_0580/kartor/A 36723-2023 karta.png", "A 36723-2023")</f>
        <v/>
      </c>
      <c r="V72">
        <f>HYPERLINK("https://klasma.github.io/Logging_0580/klagomål/A 36723-2023 FSC-klagomål.docx", "A 36723-2023")</f>
        <v/>
      </c>
      <c r="W72">
        <f>HYPERLINK("https://klasma.github.io/Logging_0580/klagomålsmail/A 36723-2023 FSC-klagomål mail.docx", "A 36723-2023")</f>
        <v/>
      </c>
      <c r="X72">
        <f>HYPERLINK("https://klasma.github.io/Logging_0580/tillsyn/A 36723-2023 tillsynsbegäran.docx", "A 36723-2023")</f>
        <v/>
      </c>
      <c r="Y72">
        <f>HYPERLINK("https://klasma.github.io/Logging_0580/tillsynsmail/A 36723-2023 tillsynsbegäran mail.docx", "A 36723-2023")</f>
        <v/>
      </c>
    </row>
    <row r="73" ht="15" customHeight="1">
      <c r="A73" t="inlineStr">
        <is>
          <t>A 50034-2025</t>
        </is>
      </c>
      <c r="B73" s="1" t="n">
        <v>45941</v>
      </c>
      <c r="C73" s="1" t="n">
        <v>46090</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90-2024</t>
        </is>
      </c>
      <c r="B74" s="1" t="n">
        <v>45293</v>
      </c>
      <c r="C74" s="1" t="n">
        <v>46090</v>
      </c>
      <c r="D74" t="inlineStr">
        <is>
          <t>ÖSTERGÖTLANDS LÄN</t>
        </is>
      </c>
      <c r="E74" t="inlineStr">
        <is>
          <t>LINKÖPING</t>
        </is>
      </c>
      <c r="G74" t="n">
        <v>1.8</v>
      </c>
      <c r="H74" t="n">
        <v>0</v>
      </c>
      <c r="I74" t="n">
        <v>1</v>
      </c>
      <c r="J74" t="n">
        <v>0</v>
      </c>
      <c r="K74" t="n">
        <v>0</v>
      </c>
      <c r="L74" t="n">
        <v>0</v>
      </c>
      <c r="M74" t="n">
        <v>0</v>
      </c>
      <c r="N74" t="n">
        <v>0</v>
      </c>
      <c r="O74" t="n">
        <v>0</v>
      </c>
      <c r="P74" t="n">
        <v>0</v>
      </c>
      <c r="Q74" t="n">
        <v>1</v>
      </c>
      <c r="R74" s="2" t="inlineStr">
        <is>
          <t>Grov fjädermossa</t>
        </is>
      </c>
      <c r="S74">
        <f>HYPERLINK("https://klasma.github.io/Logging_0580/artfynd/A 90-2024 artfynd.xlsx", "A 90-2024")</f>
        <v/>
      </c>
      <c r="T74">
        <f>HYPERLINK("https://klasma.github.io/Logging_0580/kartor/A 90-2024 karta.png", "A 90-2024")</f>
        <v/>
      </c>
      <c r="V74">
        <f>HYPERLINK("https://klasma.github.io/Logging_0580/klagomål/A 90-2024 FSC-klagomål.docx", "A 90-2024")</f>
        <v/>
      </c>
      <c r="W74">
        <f>HYPERLINK("https://klasma.github.io/Logging_0580/klagomålsmail/A 90-2024 FSC-klagomål mail.docx", "A 90-2024")</f>
        <v/>
      </c>
      <c r="X74">
        <f>HYPERLINK("https://klasma.github.io/Logging_0580/tillsyn/A 90-2024 tillsynsbegäran.docx", "A 90-2024")</f>
        <v/>
      </c>
      <c r="Y74">
        <f>HYPERLINK("https://klasma.github.io/Logging_0580/tillsynsmail/A 90-2024 tillsynsbegäran mail.docx", "A 90-2024")</f>
        <v/>
      </c>
    </row>
    <row r="75" ht="15" customHeight="1">
      <c r="A75" t="inlineStr">
        <is>
          <t>A 40315-2024</t>
        </is>
      </c>
      <c r="B75" s="1" t="n">
        <v>45554.7571875</v>
      </c>
      <c r="C75" s="1" t="n">
        <v>46090</v>
      </c>
      <c r="D75" t="inlineStr">
        <is>
          <t>ÖSTERGÖTLANDS LÄN</t>
        </is>
      </c>
      <c r="E75" t="inlineStr">
        <is>
          <t>LINKÖPING</t>
        </is>
      </c>
      <c r="F75" t="inlineStr">
        <is>
          <t>Allmännings- och besparingsskogar</t>
        </is>
      </c>
      <c r="G75" t="n">
        <v>15.8</v>
      </c>
      <c r="H75" t="n">
        <v>0</v>
      </c>
      <c r="I75" t="n">
        <v>0</v>
      </c>
      <c r="J75" t="n">
        <v>0</v>
      </c>
      <c r="K75" t="n">
        <v>0</v>
      </c>
      <c r="L75" t="n">
        <v>0</v>
      </c>
      <c r="M75" t="n">
        <v>1</v>
      </c>
      <c r="N75" t="n">
        <v>0</v>
      </c>
      <c r="O75" t="n">
        <v>1</v>
      </c>
      <c r="P75" t="n">
        <v>1</v>
      </c>
      <c r="Q75" t="n">
        <v>1</v>
      </c>
      <c r="R75" s="2" t="inlineStr">
        <is>
          <t>Skogsalm</t>
        </is>
      </c>
      <c r="S75">
        <f>HYPERLINK("https://klasma.github.io/Logging_0580/artfynd/A 40315-2024 artfynd.xlsx", "A 40315-2024")</f>
        <v/>
      </c>
      <c r="T75">
        <f>HYPERLINK("https://klasma.github.io/Logging_0580/kartor/A 40315-2024 karta.png", "A 40315-2024")</f>
        <v/>
      </c>
      <c r="V75">
        <f>HYPERLINK("https://klasma.github.io/Logging_0580/klagomål/A 40315-2024 FSC-klagomål.docx", "A 40315-2024")</f>
        <v/>
      </c>
      <c r="W75">
        <f>HYPERLINK("https://klasma.github.io/Logging_0580/klagomålsmail/A 40315-2024 FSC-klagomål mail.docx", "A 40315-2024")</f>
        <v/>
      </c>
      <c r="X75">
        <f>HYPERLINK("https://klasma.github.io/Logging_0580/tillsyn/A 40315-2024 tillsynsbegäran.docx", "A 40315-2024")</f>
        <v/>
      </c>
      <c r="Y75">
        <f>HYPERLINK("https://klasma.github.io/Logging_0580/tillsynsmail/A 40315-2024 tillsynsbegäran mail.docx", "A 40315-2024")</f>
        <v/>
      </c>
    </row>
    <row r="76" ht="15" customHeight="1">
      <c r="A76" t="inlineStr">
        <is>
          <t>A 15290-2025</t>
        </is>
      </c>
      <c r="B76" s="1" t="n">
        <v>45745.45288194445</v>
      </c>
      <c r="C76" s="1" t="n">
        <v>46090</v>
      </c>
      <c r="D76" t="inlineStr">
        <is>
          <t>ÖSTERGÖTLANDS LÄN</t>
        </is>
      </c>
      <c r="E76" t="inlineStr">
        <is>
          <t>LINKÖPING</t>
        </is>
      </c>
      <c r="G76" t="n">
        <v>18.4</v>
      </c>
      <c r="H76" t="n">
        <v>1</v>
      </c>
      <c r="I76" t="n">
        <v>0</v>
      </c>
      <c r="J76" t="n">
        <v>1</v>
      </c>
      <c r="K76" t="n">
        <v>0</v>
      </c>
      <c r="L76" t="n">
        <v>0</v>
      </c>
      <c r="M76" t="n">
        <v>0</v>
      </c>
      <c r="N76" t="n">
        <v>0</v>
      </c>
      <c r="O76" t="n">
        <v>1</v>
      </c>
      <c r="P76" t="n">
        <v>0</v>
      </c>
      <c r="Q76" t="n">
        <v>1</v>
      </c>
      <c r="R76" s="2" t="inlineStr">
        <is>
          <t>Havsörn</t>
        </is>
      </c>
      <c r="S76">
        <f>HYPERLINK("https://klasma.github.io/Logging_0580/artfynd/A 15290-2025 artfynd.xlsx", "A 15290-2025")</f>
        <v/>
      </c>
      <c r="T76">
        <f>HYPERLINK("https://klasma.github.io/Logging_0580/kartor/A 15290-2025 karta.png", "A 15290-2025")</f>
        <v/>
      </c>
      <c r="V76">
        <f>HYPERLINK("https://klasma.github.io/Logging_0580/klagomål/A 15290-2025 FSC-klagomål.docx", "A 15290-2025")</f>
        <v/>
      </c>
      <c r="W76">
        <f>HYPERLINK("https://klasma.github.io/Logging_0580/klagomålsmail/A 15290-2025 FSC-klagomål mail.docx", "A 15290-2025")</f>
        <v/>
      </c>
      <c r="X76">
        <f>HYPERLINK("https://klasma.github.io/Logging_0580/tillsyn/A 15290-2025 tillsynsbegäran.docx", "A 15290-2025")</f>
        <v/>
      </c>
      <c r="Y76">
        <f>HYPERLINK("https://klasma.github.io/Logging_0580/tillsynsmail/A 15290-2025 tillsynsbegäran mail.docx", "A 15290-2025")</f>
        <v/>
      </c>
      <c r="Z76">
        <f>HYPERLINK("https://klasma.github.io/Logging_0580/fåglar/A 15290-2025 prioriterade fågelarter.docx", "A 15290-2025")</f>
        <v/>
      </c>
    </row>
    <row r="77" ht="15" customHeight="1">
      <c r="A77" t="inlineStr">
        <is>
          <t>A 56112-2025</t>
        </is>
      </c>
      <c r="B77" s="1" t="n">
        <v>45973.73625</v>
      </c>
      <c r="C77" s="1" t="n">
        <v>46090</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34881-2023</t>
        </is>
      </c>
      <c r="B78" s="1" t="n">
        <v>45140</v>
      </c>
      <c r="C78" s="1" t="n">
        <v>46090</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Tallticka</t>
        </is>
      </c>
      <c r="S78">
        <f>HYPERLINK("https://klasma.github.io/Logging_0580/artfynd/A 34881-2023 artfynd.xlsx", "A 34881-2023")</f>
        <v/>
      </c>
      <c r="T78">
        <f>HYPERLINK("https://klasma.github.io/Logging_0580/kartor/A 34881-2023 karta.png", "A 34881-2023")</f>
        <v/>
      </c>
      <c r="U78">
        <f>HYPERLINK("https://klasma.github.io/Logging_0580/knärot/A 34881-2023 karta knärot.png", "A 34881-2023")</f>
        <v/>
      </c>
      <c r="V78">
        <f>HYPERLINK("https://klasma.github.io/Logging_0580/klagomål/A 34881-2023 FSC-klagomål.docx", "A 34881-2023")</f>
        <v/>
      </c>
      <c r="W78">
        <f>HYPERLINK("https://klasma.github.io/Logging_0580/klagomålsmail/A 34881-2023 FSC-klagomål mail.docx", "A 34881-2023")</f>
        <v/>
      </c>
      <c r="X78">
        <f>HYPERLINK("https://klasma.github.io/Logging_0580/tillsyn/A 34881-2023 tillsynsbegäran.docx", "A 34881-2023")</f>
        <v/>
      </c>
      <c r="Y78">
        <f>HYPERLINK("https://klasma.github.io/Logging_0580/tillsynsmail/A 34881-2023 tillsynsbegäran mail.docx", "A 34881-2023")</f>
        <v/>
      </c>
    </row>
    <row r="79" ht="15" customHeight="1">
      <c r="A79" t="inlineStr">
        <is>
          <t>A 50471-2024</t>
        </is>
      </c>
      <c r="B79" s="1" t="n">
        <v>45601.47166666666</v>
      </c>
      <c r="C79" s="1" t="n">
        <v>46090</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17389-2021</t>
        </is>
      </c>
      <c r="B80" s="1" t="n">
        <v>44298.96792824074</v>
      </c>
      <c r="C80" s="1" t="n">
        <v>46090</v>
      </c>
      <c r="D80" t="inlineStr">
        <is>
          <t>ÖSTERGÖTLANDS LÄN</t>
        </is>
      </c>
      <c r="E80" t="inlineStr">
        <is>
          <t>LINKÖPING</t>
        </is>
      </c>
      <c r="G80" t="n">
        <v>5.1</v>
      </c>
      <c r="H80" t="n">
        <v>0</v>
      </c>
      <c r="I80" t="n">
        <v>1</v>
      </c>
      <c r="J80" t="n">
        <v>0</v>
      </c>
      <c r="K80" t="n">
        <v>0</v>
      </c>
      <c r="L80" t="n">
        <v>0</v>
      </c>
      <c r="M80" t="n">
        <v>0</v>
      </c>
      <c r="N80" t="n">
        <v>0</v>
      </c>
      <c r="O80" t="n">
        <v>0</v>
      </c>
      <c r="P80" t="n">
        <v>0</v>
      </c>
      <c r="Q80" t="n">
        <v>1</v>
      </c>
      <c r="R80" s="2" t="inlineStr">
        <is>
          <t>Blomkålssvamp</t>
        </is>
      </c>
      <c r="S80">
        <f>HYPERLINK("https://klasma.github.io/Logging_0580/artfynd/A 17389-2021 artfynd.xlsx", "A 17389-2021")</f>
        <v/>
      </c>
      <c r="T80">
        <f>HYPERLINK("https://klasma.github.io/Logging_0580/kartor/A 17389-2021 karta.png", "A 17389-2021")</f>
        <v/>
      </c>
      <c r="V80">
        <f>HYPERLINK("https://klasma.github.io/Logging_0580/klagomål/A 17389-2021 FSC-klagomål.docx", "A 17389-2021")</f>
        <v/>
      </c>
      <c r="W80">
        <f>HYPERLINK("https://klasma.github.io/Logging_0580/klagomålsmail/A 17389-2021 FSC-klagomål mail.docx", "A 17389-2021")</f>
        <v/>
      </c>
      <c r="X80">
        <f>HYPERLINK("https://klasma.github.io/Logging_0580/tillsyn/A 17389-2021 tillsynsbegäran.docx", "A 17389-2021")</f>
        <v/>
      </c>
      <c r="Y80">
        <f>HYPERLINK("https://klasma.github.io/Logging_0580/tillsynsmail/A 17389-2021 tillsynsbegäran mail.docx", "A 17389-2021")</f>
        <v/>
      </c>
    </row>
    <row r="81" ht="15" customHeight="1">
      <c r="A81" t="inlineStr">
        <is>
          <t>A 56128-2022</t>
        </is>
      </c>
      <c r="B81" s="1" t="n">
        <v>44889</v>
      </c>
      <c r="C81" s="1" t="n">
        <v>46090</v>
      </c>
      <c r="D81" t="inlineStr">
        <is>
          <t>ÖSTERGÖTLANDS LÄN</t>
        </is>
      </c>
      <c r="E81" t="inlineStr">
        <is>
          <t>LINKÖPING</t>
        </is>
      </c>
      <c r="G81" t="n">
        <v>2</v>
      </c>
      <c r="H81" t="n">
        <v>0</v>
      </c>
      <c r="I81" t="n">
        <v>1</v>
      </c>
      <c r="J81" t="n">
        <v>0</v>
      </c>
      <c r="K81" t="n">
        <v>0</v>
      </c>
      <c r="L81" t="n">
        <v>0</v>
      </c>
      <c r="M81" t="n">
        <v>0</v>
      </c>
      <c r="N81" t="n">
        <v>0</v>
      </c>
      <c r="O81" t="n">
        <v>0</v>
      </c>
      <c r="P81" t="n">
        <v>0</v>
      </c>
      <c r="Q81" t="n">
        <v>1</v>
      </c>
      <c r="R81" s="2" t="inlineStr">
        <is>
          <t>Tibast</t>
        </is>
      </c>
      <c r="S81">
        <f>HYPERLINK("https://klasma.github.io/Logging_0580/artfynd/A 56128-2022 artfynd.xlsx", "A 56128-2022")</f>
        <v/>
      </c>
      <c r="T81">
        <f>HYPERLINK("https://klasma.github.io/Logging_0580/kartor/A 56128-2022 karta.png", "A 56128-2022")</f>
        <v/>
      </c>
      <c r="V81">
        <f>HYPERLINK("https://klasma.github.io/Logging_0580/klagomål/A 56128-2022 FSC-klagomål.docx", "A 56128-2022")</f>
        <v/>
      </c>
      <c r="W81">
        <f>HYPERLINK("https://klasma.github.io/Logging_0580/klagomålsmail/A 56128-2022 FSC-klagomål mail.docx", "A 56128-2022")</f>
        <v/>
      </c>
      <c r="X81">
        <f>HYPERLINK("https://klasma.github.io/Logging_0580/tillsyn/A 56128-2022 tillsynsbegäran.docx", "A 56128-2022")</f>
        <v/>
      </c>
      <c r="Y81">
        <f>HYPERLINK("https://klasma.github.io/Logging_0580/tillsynsmail/A 56128-2022 tillsynsbegäran mail.docx", "A 56128-2022")</f>
        <v/>
      </c>
    </row>
    <row r="82" ht="15" customHeight="1">
      <c r="A82" t="inlineStr">
        <is>
          <t>A 40309-2024</t>
        </is>
      </c>
      <c r="B82" s="1" t="n">
        <v>45554.724375</v>
      </c>
      <c r="C82" s="1" t="n">
        <v>46090</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59474-2025</t>
        </is>
      </c>
      <c r="B83" s="1" t="n">
        <v>45989.58512731481</v>
      </c>
      <c r="C83" s="1" t="n">
        <v>46090</v>
      </c>
      <c r="D83" t="inlineStr">
        <is>
          <t>ÖSTERGÖTLANDS LÄN</t>
        </is>
      </c>
      <c r="E83" t="inlineStr">
        <is>
          <t>LINKÖPING</t>
        </is>
      </c>
      <c r="G83" t="n">
        <v>8</v>
      </c>
      <c r="H83" t="n">
        <v>0</v>
      </c>
      <c r="I83" t="n">
        <v>1</v>
      </c>
      <c r="J83" t="n">
        <v>0</v>
      </c>
      <c r="K83" t="n">
        <v>0</v>
      </c>
      <c r="L83" t="n">
        <v>0</v>
      </c>
      <c r="M83" t="n">
        <v>0</v>
      </c>
      <c r="N83" t="n">
        <v>0</v>
      </c>
      <c r="O83" t="n">
        <v>0</v>
      </c>
      <c r="P83" t="n">
        <v>0</v>
      </c>
      <c r="Q83" t="n">
        <v>1</v>
      </c>
      <c r="R83" s="2" t="inlineStr">
        <is>
          <t>Fällmossa</t>
        </is>
      </c>
      <c r="S83">
        <f>HYPERLINK("https://klasma.github.io/Logging_0580/artfynd/A 59474-2025 artfynd.xlsx", "A 59474-2025")</f>
        <v/>
      </c>
      <c r="T83">
        <f>HYPERLINK("https://klasma.github.io/Logging_0580/kartor/A 59474-2025 karta.png", "A 59474-2025")</f>
        <v/>
      </c>
      <c r="V83">
        <f>HYPERLINK("https://klasma.github.io/Logging_0580/klagomål/A 59474-2025 FSC-klagomål.docx", "A 59474-2025")</f>
        <v/>
      </c>
      <c r="W83">
        <f>HYPERLINK("https://klasma.github.io/Logging_0580/klagomålsmail/A 59474-2025 FSC-klagomål mail.docx", "A 59474-2025")</f>
        <v/>
      </c>
      <c r="X83">
        <f>HYPERLINK("https://klasma.github.io/Logging_0580/tillsyn/A 59474-2025 tillsynsbegäran.docx", "A 59474-2025")</f>
        <v/>
      </c>
      <c r="Y83">
        <f>HYPERLINK("https://klasma.github.io/Logging_0580/tillsynsmail/A 59474-2025 tillsynsbegäran mail.docx", "A 59474-2025")</f>
        <v/>
      </c>
    </row>
    <row r="84" ht="15" customHeight="1">
      <c r="A84" t="inlineStr">
        <is>
          <t>A 60311-2025</t>
        </is>
      </c>
      <c r="B84" s="1" t="n">
        <v>45994</v>
      </c>
      <c r="C84" s="1" t="n">
        <v>46090</v>
      </c>
      <c r="D84" t="inlineStr">
        <is>
          <t>ÖSTERGÖTLANDS LÄN</t>
        </is>
      </c>
      <c r="E84" t="inlineStr">
        <is>
          <t>LINKÖPING</t>
        </is>
      </c>
      <c r="G84" t="n">
        <v>1.9</v>
      </c>
      <c r="H84" t="n">
        <v>0</v>
      </c>
      <c r="I84" t="n">
        <v>0</v>
      </c>
      <c r="J84" t="n">
        <v>1</v>
      </c>
      <c r="K84" t="n">
        <v>0</v>
      </c>
      <c r="L84" t="n">
        <v>0</v>
      </c>
      <c r="M84" t="n">
        <v>0</v>
      </c>
      <c r="N84" t="n">
        <v>0</v>
      </c>
      <c r="O84" t="n">
        <v>1</v>
      </c>
      <c r="P84" t="n">
        <v>0</v>
      </c>
      <c r="Q84" t="n">
        <v>1</v>
      </c>
      <c r="R84" s="2" t="inlineStr">
        <is>
          <t>Gammelekslav</t>
        </is>
      </c>
      <c r="S84">
        <f>HYPERLINK("https://klasma.github.io/Logging_0580/artfynd/A 60311-2025 artfynd.xlsx", "A 60311-2025")</f>
        <v/>
      </c>
      <c r="T84">
        <f>HYPERLINK("https://klasma.github.io/Logging_0580/kartor/A 60311-2025 karta.png", "A 60311-2025")</f>
        <v/>
      </c>
      <c r="V84">
        <f>HYPERLINK("https://klasma.github.io/Logging_0580/klagomål/A 60311-2025 FSC-klagomål.docx", "A 60311-2025")</f>
        <v/>
      </c>
      <c r="W84">
        <f>HYPERLINK("https://klasma.github.io/Logging_0580/klagomålsmail/A 60311-2025 FSC-klagomål mail.docx", "A 60311-2025")</f>
        <v/>
      </c>
      <c r="X84">
        <f>HYPERLINK("https://klasma.github.io/Logging_0580/tillsyn/A 60311-2025 tillsynsbegäran.docx", "A 60311-2025")</f>
        <v/>
      </c>
      <c r="Y84">
        <f>HYPERLINK("https://klasma.github.io/Logging_0580/tillsynsmail/A 60311-2025 tillsynsbegäran mail.docx", "A 60311-2025")</f>
        <v/>
      </c>
    </row>
    <row r="85" ht="15" customHeight="1">
      <c r="A85" t="inlineStr">
        <is>
          <t>A 54835-2023</t>
        </is>
      </c>
      <c r="B85" s="1" t="n">
        <v>45236</v>
      </c>
      <c r="C85" s="1" t="n">
        <v>46090</v>
      </c>
      <c r="D85" t="inlineStr">
        <is>
          <t>ÖSTERGÖTLANDS LÄN</t>
        </is>
      </c>
      <c r="E85" t="inlineStr">
        <is>
          <t>LINKÖPING</t>
        </is>
      </c>
      <c r="G85" t="n">
        <v>2</v>
      </c>
      <c r="H85" t="n">
        <v>1</v>
      </c>
      <c r="I85" t="n">
        <v>0</v>
      </c>
      <c r="J85" t="n">
        <v>0</v>
      </c>
      <c r="K85" t="n">
        <v>0</v>
      </c>
      <c r="L85" t="n">
        <v>0</v>
      </c>
      <c r="M85" t="n">
        <v>0</v>
      </c>
      <c r="N85" t="n">
        <v>0</v>
      </c>
      <c r="O85" t="n">
        <v>0</v>
      </c>
      <c r="P85" t="n">
        <v>0</v>
      </c>
      <c r="Q85" t="n">
        <v>1</v>
      </c>
      <c r="R85" s="2" t="inlineStr">
        <is>
          <t>Sparvuggla</t>
        </is>
      </c>
      <c r="S85">
        <f>HYPERLINK("https://klasma.github.io/Logging_0580/artfynd/A 54835-2023 artfynd.xlsx", "A 54835-2023")</f>
        <v/>
      </c>
      <c r="T85">
        <f>HYPERLINK("https://klasma.github.io/Logging_0580/kartor/A 54835-2023 karta.png", "A 54835-2023")</f>
        <v/>
      </c>
      <c r="V85">
        <f>HYPERLINK("https://klasma.github.io/Logging_0580/klagomål/A 54835-2023 FSC-klagomål.docx", "A 54835-2023")</f>
        <v/>
      </c>
      <c r="W85">
        <f>HYPERLINK("https://klasma.github.io/Logging_0580/klagomålsmail/A 54835-2023 FSC-klagomål mail.docx", "A 54835-2023")</f>
        <v/>
      </c>
      <c r="X85">
        <f>HYPERLINK("https://klasma.github.io/Logging_0580/tillsyn/A 54835-2023 tillsynsbegäran.docx", "A 54835-2023")</f>
        <v/>
      </c>
      <c r="Y85">
        <f>HYPERLINK("https://klasma.github.io/Logging_0580/tillsynsmail/A 54835-2023 tillsynsbegäran mail.docx", "A 54835-2023")</f>
        <v/>
      </c>
      <c r="Z85">
        <f>HYPERLINK("https://klasma.github.io/Logging_0580/fåglar/A 54835-2023 prioriterade fågelarter.docx", "A 54835-2023")</f>
        <v/>
      </c>
    </row>
    <row r="86" ht="15" customHeight="1">
      <c r="A86" t="inlineStr">
        <is>
          <t>A 126-2024</t>
        </is>
      </c>
      <c r="B86" s="1" t="n">
        <v>45294</v>
      </c>
      <c r="C86" s="1" t="n">
        <v>46090</v>
      </c>
      <c r="D86" t="inlineStr">
        <is>
          <t>ÖSTERGÖTLANDS LÄN</t>
        </is>
      </c>
      <c r="E86" t="inlineStr">
        <is>
          <t>LINKÖPING</t>
        </is>
      </c>
      <c r="G86" t="n">
        <v>1</v>
      </c>
      <c r="H86" t="n">
        <v>0</v>
      </c>
      <c r="I86" t="n">
        <v>1</v>
      </c>
      <c r="J86" t="n">
        <v>0</v>
      </c>
      <c r="K86" t="n">
        <v>0</v>
      </c>
      <c r="L86" t="n">
        <v>0</v>
      </c>
      <c r="M86" t="n">
        <v>0</v>
      </c>
      <c r="N86" t="n">
        <v>0</v>
      </c>
      <c r="O86" t="n">
        <v>0</v>
      </c>
      <c r="P86" t="n">
        <v>0</v>
      </c>
      <c r="Q86" t="n">
        <v>1</v>
      </c>
      <c r="R86" s="2" t="inlineStr">
        <is>
          <t>Blåmossa</t>
        </is>
      </c>
      <c r="S86">
        <f>HYPERLINK("https://klasma.github.io/Logging_0580/artfynd/A 126-2024 artfynd.xlsx", "A 126-2024")</f>
        <v/>
      </c>
      <c r="T86">
        <f>HYPERLINK("https://klasma.github.io/Logging_0580/kartor/A 126-2024 karta.png", "A 126-2024")</f>
        <v/>
      </c>
      <c r="V86">
        <f>HYPERLINK("https://klasma.github.io/Logging_0580/klagomål/A 126-2024 FSC-klagomål.docx", "A 126-2024")</f>
        <v/>
      </c>
      <c r="W86">
        <f>HYPERLINK("https://klasma.github.io/Logging_0580/klagomålsmail/A 126-2024 FSC-klagomål mail.docx", "A 126-2024")</f>
        <v/>
      </c>
      <c r="X86">
        <f>HYPERLINK("https://klasma.github.io/Logging_0580/tillsyn/A 126-2024 tillsynsbegäran.docx", "A 126-2024")</f>
        <v/>
      </c>
      <c r="Y86">
        <f>HYPERLINK("https://klasma.github.io/Logging_0580/tillsynsmail/A 126-2024 tillsynsbegäran mail.docx", "A 126-2024")</f>
        <v/>
      </c>
    </row>
    <row r="87" ht="15" customHeight="1">
      <c r="A87" t="inlineStr">
        <is>
          <t>A 3395-2023</t>
        </is>
      </c>
      <c r="B87" s="1" t="n">
        <v>44949</v>
      </c>
      <c r="C87" s="1" t="n">
        <v>46090</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46090</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46090</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46090</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46090</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46090</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46090</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46090</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46090</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46090</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38881-2021</t>
        </is>
      </c>
      <c r="B97" s="1" t="n">
        <v>44411.46893518518</v>
      </c>
      <c r="C97" s="1" t="n">
        <v>46090</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38887-2021</t>
        </is>
      </c>
      <c r="B98" s="1" t="n">
        <v>44411</v>
      </c>
      <c r="C98" s="1" t="n">
        <v>46090</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56239-2021</t>
        </is>
      </c>
      <c r="B99" s="1" t="n">
        <v>44478</v>
      </c>
      <c r="C99" s="1" t="n">
        <v>46090</v>
      </c>
      <c r="D99" t="inlineStr">
        <is>
          <t>ÖSTERGÖTLANDS LÄN</t>
        </is>
      </c>
      <c r="E99" t="inlineStr">
        <is>
          <t>LINKÖPING</t>
        </is>
      </c>
      <c r="F99" t="inlineStr">
        <is>
          <t>Övriga Aktiebolag</t>
        </is>
      </c>
      <c r="G99" t="n">
        <v>3</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46090</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7840-2022</t>
        </is>
      </c>
      <c r="B101" s="1" t="n">
        <v>44608</v>
      </c>
      <c r="C101" s="1" t="n">
        <v>46090</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40506-2021</t>
        </is>
      </c>
      <c r="B102" s="1" t="n">
        <v>44420</v>
      </c>
      <c r="C102" s="1" t="n">
        <v>46090</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64269-2021</t>
        </is>
      </c>
      <c r="B103" s="1" t="n">
        <v>44510</v>
      </c>
      <c r="C103" s="1" t="n">
        <v>46090</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46090</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46090</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46090</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46090</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1581-2022</t>
        </is>
      </c>
      <c r="B108" s="1" t="n">
        <v>44573</v>
      </c>
      <c r="C108" s="1" t="n">
        <v>46090</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46090</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46090</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46090</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60639-2021</t>
        </is>
      </c>
      <c r="B112" s="1" t="n">
        <v>44496</v>
      </c>
      <c r="C112" s="1" t="n">
        <v>46090</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16715-2021</t>
        </is>
      </c>
      <c r="B113" s="1" t="n">
        <v>44294</v>
      </c>
      <c r="C113" s="1" t="n">
        <v>46090</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46090</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46090</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46090</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46090</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46090</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46090</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46090</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46090</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46090</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46090</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46090</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46090</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46090</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46090</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46090</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46090</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46090</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46090</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46090</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46090</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46090</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46090</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46090</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46090</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46090</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46090</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46090</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46090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46090</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46090</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46090</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46090</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46090</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46090</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46090</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46090</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46090</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46090</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46090</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46090</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46090</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46090</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46090</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46090</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46090</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46090</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46090</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46090</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46090</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46090</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46090</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46090</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46090</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46090</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46090</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46090</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46090</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46090</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46090</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46090</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46090</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46090</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46090</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46090</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46090</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46090</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46090</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46090</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46090</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46090</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46090</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46090</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46090</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46090</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46090</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46090</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46090</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46090</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46090</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46090</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46090</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46090</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46090</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46090</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46090</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46090</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54845-2023</t>
        </is>
      </c>
      <c r="B200" s="1" t="n">
        <v>45236</v>
      </c>
      <c r="C200" s="1" t="n">
        <v>46090</v>
      </c>
      <c r="D200" t="inlineStr">
        <is>
          <t>ÖSTERGÖTLANDS LÄN</t>
        </is>
      </c>
      <c r="E200" t="inlineStr">
        <is>
          <t>LINKÖPING</t>
        </is>
      </c>
      <c r="F200" t="inlineStr">
        <is>
          <t>Övriga Aktiebolag</t>
        </is>
      </c>
      <c r="G200" t="n">
        <v>5.7</v>
      </c>
      <c r="H200" t="n">
        <v>0</v>
      </c>
      <c r="I200" t="n">
        <v>0</v>
      </c>
      <c r="J200" t="n">
        <v>0</v>
      </c>
      <c r="K200" t="n">
        <v>0</v>
      </c>
      <c r="L200" t="n">
        <v>0</v>
      </c>
      <c r="M200" t="n">
        <v>0</v>
      </c>
      <c r="N200" t="n">
        <v>0</v>
      </c>
      <c r="O200" t="n">
        <v>0</v>
      </c>
      <c r="P200" t="n">
        <v>0</v>
      </c>
      <c r="Q200" t="n">
        <v>0</v>
      </c>
      <c r="R200" s="2" t="inlineStr"/>
    </row>
    <row r="201" ht="15" customHeight="1">
      <c r="A201" t="inlineStr">
        <is>
          <t>A 62488-2023</t>
        </is>
      </c>
      <c r="B201" s="1" t="n">
        <v>45268.5847337963</v>
      </c>
      <c r="C201" s="1" t="n">
        <v>46090</v>
      </c>
      <c r="D201" t="inlineStr">
        <is>
          <t>ÖSTERGÖTLANDS LÄN</t>
        </is>
      </c>
      <c r="E201" t="inlineStr">
        <is>
          <t>LINKÖPING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24351-2024</t>
        </is>
      </c>
      <c r="B202" s="1" t="n">
        <v>45457.59011574074</v>
      </c>
      <c r="C202" s="1" t="n">
        <v>46090</v>
      </c>
      <c r="D202" t="inlineStr">
        <is>
          <t>ÖSTERGÖTLANDS LÄN</t>
        </is>
      </c>
      <c r="E202" t="inlineStr">
        <is>
          <t>LINKÖPING</t>
        </is>
      </c>
      <c r="G202" t="n">
        <v>11.9</v>
      </c>
      <c r="H202" t="n">
        <v>0</v>
      </c>
      <c r="I202" t="n">
        <v>0</v>
      </c>
      <c r="J202" t="n">
        <v>0</v>
      </c>
      <c r="K202" t="n">
        <v>0</v>
      </c>
      <c r="L202" t="n">
        <v>0</v>
      </c>
      <c r="M202" t="n">
        <v>0</v>
      </c>
      <c r="N202" t="n">
        <v>0</v>
      </c>
      <c r="O202" t="n">
        <v>0</v>
      </c>
      <c r="P202" t="n">
        <v>0</v>
      </c>
      <c r="Q202" t="n">
        <v>0</v>
      </c>
      <c r="R202" s="2" t="inlineStr"/>
    </row>
    <row r="203" ht="15" customHeight="1">
      <c r="A203" t="inlineStr">
        <is>
          <t>A 20455-2024</t>
        </is>
      </c>
      <c r="B203" s="1" t="n">
        <v>45435.65314814815</v>
      </c>
      <c r="C203" s="1" t="n">
        <v>46090</v>
      </c>
      <c r="D203" t="inlineStr">
        <is>
          <t>ÖSTERGÖTLANDS LÄN</t>
        </is>
      </c>
      <c r="E203" t="inlineStr">
        <is>
          <t>LINKÖPING</t>
        </is>
      </c>
      <c r="G203" t="n">
        <v>2.6</v>
      </c>
      <c r="H203" t="n">
        <v>0</v>
      </c>
      <c r="I203" t="n">
        <v>0</v>
      </c>
      <c r="J203" t="n">
        <v>0</v>
      </c>
      <c r="K203" t="n">
        <v>0</v>
      </c>
      <c r="L203" t="n">
        <v>0</v>
      </c>
      <c r="M203" t="n">
        <v>0</v>
      </c>
      <c r="N203" t="n">
        <v>0</v>
      </c>
      <c r="O203" t="n">
        <v>0</v>
      </c>
      <c r="P203" t="n">
        <v>0</v>
      </c>
      <c r="Q203" t="n">
        <v>0</v>
      </c>
      <c r="R203" s="2" t="inlineStr"/>
    </row>
    <row r="204" ht="15" customHeight="1">
      <c r="A204" t="inlineStr">
        <is>
          <t>A 224-2024</t>
        </is>
      </c>
      <c r="B204" s="1" t="n">
        <v>45294</v>
      </c>
      <c r="C204" s="1" t="n">
        <v>46090</v>
      </c>
      <c r="D204" t="inlineStr">
        <is>
          <t>ÖSTERGÖTLANDS LÄN</t>
        </is>
      </c>
      <c r="E204" t="inlineStr">
        <is>
          <t>LINKÖPING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3008-2023</t>
        </is>
      </c>
      <c r="B205" s="1" t="n">
        <v>44945.79784722222</v>
      </c>
      <c r="C205" s="1" t="n">
        <v>46090</v>
      </c>
      <c r="D205" t="inlineStr">
        <is>
          <t>ÖSTERGÖTLANDS LÄN</t>
        </is>
      </c>
      <c r="E205" t="inlineStr">
        <is>
          <t>LINKÖPING</t>
        </is>
      </c>
      <c r="G205" t="n">
        <v>19.3</v>
      </c>
      <c r="H205" t="n">
        <v>0</v>
      </c>
      <c r="I205" t="n">
        <v>0</v>
      </c>
      <c r="J205" t="n">
        <v>0</v>
      </c>
      <c r="K205" t="n">
        <v>0</v>
      </c>
      <c r="L205" t="n">
        <v>0</v>
      </c>
      <c r="M205" t="n">
        <v>0</v>
      </c>
      <c r="N205" t="n">
        <v>0</v>
      </c>
      <c r="O205" t="n">
        <v>0</v>
      </c>
      <c r="P205" t="n">
        <v>0</v>
      </c>
      <c r="Q205" t="n">
        <v>0</v>
      </c>
      <c r="R205" s="2" t="inlineStr"/>
    </row>
    <row r="206" ht="15" customHeight="1">
      <c r="A206" t="inlineStr">
        <is>
          <t>A 12035-2025</t>
        </is>
      </c>
      <c r="B206" s="1" t="n">
        <v>45728.64946759259</v>
      </c>
      <c r="C206" s="1" t="n">
        <v>46090</v>
      </c>
      <c r="D206" t="inlineStr">
        <is>
          <t>ÖSTERGÖTLANDS LÄN</t>
        </is>
      </c>
      <c r="E206" t="inlineStr">
        <is>
          <t>LINKÖPING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46090</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46090</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46090</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46090</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30856-2022</t>
        </is>
      </c>
      <c r="B211" s="1" t="n">
        <v>44767</v>
      </c>
      <c r="C211" s="1" t="n">
        <v>46090</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46090</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28266-2024</t>
        </is>
      </c>
      <c r="B213" s="1" t="n">
        <v>45477.43600694444</v>
      </c>
      <c r="C213" s="1" t="n">
        <v>46090</v>
      </c>
      <c r="D213" t="inlineStr">
        <is>
          <t>ÖSTERGÖTLANDS LÄN</t>
        </is>
      </c>
      <c r="E213" t="inlineStr">
        <is>
          <t>LINKÖPING</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46090</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46090</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1993-2023</t>
        </is>
      </c>
      <c r="B216" s="1" t="n">
        <v>44939</v>
      </c>
      <c r="C216" s="1" t="n">
        <v>46090</v>
      </c>
      <c r="D216" t="inlineStr">
        <is>
          <t>ÖSTERGÖTLANDS LÄN</t>
        </is>
      </c>
      <c r="E216" t="inlineStr">
        <is>
          <t>LINKÖPING</t>
        </is>
      </c>
      <c r="G216" t="n">
        <v>3.7</v>
      </c>
      <c r="H216" t="n">
        <v>0</v>
      </c>
      <c r="I216" t="n">
        <v>0</v>
      </c>
      <c r="J216" t="n">
        <v>0</v>
      </c>
      <c r="K216" t="n">
        <v>0</v>
      </c>
      <c r="L216" t="n">
        <v>0</v>
      </c>
      <c r="M216" t="n">
        <v>0</v>
      </c>
      <c r="N216" t="n">
        <v>0</v>
      </c>
      <c r="O216" t="n">
        <v>0</v>
      </c>
      <c r="P216" t="n">
        <v>0</v>
      </c>
      <c r="Q216" t="n">
        <v>0</v>
      </c>
      <c r="R216" s="2" t="inlineStr"/>
    </row>
    <row r="217" ht="15" customHeight="1">
      <c r="A217" t="inlineStr">
        <is>
          <t>A 52220-2023</t>
        </is>
      </c>
      <c r="B217" s="1" t="n">
        <v>45217</v>
      </c>
      <c r="C217" s="1" t="n">
        <v>46090</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52225-2023</t>
        </is>
      </c>
      <c r="B218" s="1" t="n">
        <v>45217</v>
      </c>
      <c r="C218" s="1" t="n">
        <v>46090</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46090</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46090</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25418-2023</t>
        </is>
      </c>
      <c r="B221" s="1" t="n">
        <v>45089</v>
      </c>
      <c r="C221" s="1" t="n">
        <v>46090</v>
      </c>
      <c r="D221" t="inlineStr">
        <is>
          <t>ÖSTERGÖTLANDS LÄN</t>
        </is>
      </c>
      <c r="E221" t="inlineStr">
        <is>
          <t>LINKÖPING</t>
        </is>
      </c>
      <c r="F221" t="inlineStr">
        <is>
          <t>Övriga Aktiebolag</t>
        </is>
      </c>
      <c r="G221" t="n">
        <v>2.4</v>
      </c>
      <c r="H221" t="n">
        <v>0</v>
      </c>
      <c r="I221" t="n">
        <v>0</v>
      </c>
      <c r="J221" t="n">
        <v>0</v>
      </c>
      <c r="K221" t="n">
        <v>0</v>
      </c>
      <c r="L221" t="n">
        <v>0</v>
      </c>
      <c r="M221" t="n">
        <v>0</v>
      </c>
      <c r="N221" t="n">
        <v>0</v>
      </c>
      <c r="O221" t="n">
        <v>0</v>
      </c>
      <c r="P221" t="n">
        <v>0</v>
      </c>
      <c r="Q221" t="n">
        <v>0</v>
      </c>
      <c r="R221" s="2" t="inlineStr"/>
    </row>
    <row r="222" ht="15" customHeight="1">
      <c r="A222" t="inlineStr">
        <is>
          <t>A 52412-2023</t>
        </is>
      </c>
      <c r="B222" s="1" t="n">
        <v>45225.27888888889</v>
      </c>
      <c r="C222" s="1" t="n">
        <v>46090</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52413-2023</t>
        </is>
      </c>
      <c r="B223" s="1" t="n">
        <v>45225.27950231481</v>
      </c>
      <c r="C223" s="1" t="n">
        <v>46090</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22771-2024</t>
        </is>
      </c>
      <c r="B224" s="1" t="n">
        <v>45448.46574074074</v>
      </c>
      <c r="C224" s="1" t="n">
        <v>46090</v>
      </c>
      <c r="D224" t="inlineStr">
        <is>
          <t>ÖSTERGÖTLANDS LÄN</t>
        </is>
      </c>
      <c r="E224" t="inlineStr">
        <is>
          <t>LINKÖPING</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46090</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46090</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46090</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20291-2025</t>
        </is>
      </c>
      <c r="B228" s="1" t="n">
        <v>45774.74288194445</v>
      </c>
      <c r="C228" s="1" t="n">
        <v>46090</v>
      </c>
      <c r="D228" t="inlineStr">
        <is>
          <t>ÖSTERGÖTLANDS LÄN</t>
        </is>
      </c>
      <c r="E228" t="inlineStr">
        <is>
          <t>LINKÖPING</t>
        </is>
      </c>
      <c r="G228" t="n">
        <v>2.3</v>
      </c>
      <c r="H228" t="n">
        <v>0</v>
      </c>
      <c r="I228" t="n">
        <v>0</v>
      </c>
      <c r="J228" t="n">
        <v>0</v>
      </c>
      <c r="K228" t="n">
        <v>0</v>
      </c>
      <c r="L228" t="n">
        <v>0</v>
      </c>
      <c r="M228" t="n">
        <v>0</v>
      </c>
      <c r="N228" t="n">
        <v>0</v>
      </c>
      <c r="O228" t="n">
        <v>0</v>
      </c>
      <c r="P228" t="n">
        <v>0</v>
      </c>
      <c r="Q228" t="n">
        <v>0</v>
      </c>
      <c r="R228" s="2" t="inlineStr"/>
    </row>
    <row r="229" ht="15" customHeight="1">
      <c r="A229" t="inlineStr">
        <is>
          <t>A 20293-2025</t>
        </is>
      </c>
      <c r="B229" s="1" t="n">
        <v>45774.74611111111</v>
      </c>
      <c r="C229" s="1" t="n">
        <v>46090</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52531-2023</t>
        </is>
      </c>
      <c r="B230" s="1" t="n">
        <v>45225</v>
      </c>
      <c r="C230" s="1" t="n">
        <v>46090</v>
      </c>
      <c r="D230" t="inlineStr">
        <is>
          <t>ÖSTERGÖTLANDS LÄN</t>
        </is>
      </c>
      <c r="E230" t="inlineStr">
        <is>
          <t>LINKÖPING</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46090</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46090</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3041-2024</t>
        </is>
      </c>
      <c r="B233" s="1" t="n">
        <v>45316.34875</v>
      </c>
      <c r="C233" s="1" t="n">
        <v>46090</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50963-2021</t>
        </is>
      </c>
      <c r="B234" s="1" t="n">
        <v>44460</v>
      </c>
      <c r="C234" s="1" t="n">
        <v>46090</v>
      </c>
      <c r="D234" t="inlineStr">
        <is>
          <t>ÖSTERGÖTLANDS LÄN</t>
        </is>
      </c>
      <c r="E234" t="inlineStr">
        <is>
          <t>LINKÖPING</t>
        </is>
      </c>
      <c r="G234" t="n">
        <v>4.4</v>
      </c>
      <c r="H234" t="n">
        <v>0</v>
      </c>
      <c r="I234" t="n">
        <v>0</v>
      </c>
      <c r="J234" t="n">
        <v>0</v>
      </c>
      <c r="K234" t="n">
        <v>0</v>
      </c>
      <c r="L234" t="n">
        <v>0</v>
      </c>
      <c r="M234" t="n">
        <v>0</v>
      </c>
      <c r="N234" t="n">
        <v>0</v>
      </c>
      <c r="O234" t="n">
        <v>0</v>
      </c>
      <c r="P234" t="n">
        <v>0</v>
      </c>
      <c r="Q234" t="n">
        <v>0</v>
      </c>
      <c r="R234" s="2" t="inlineStr"/>
    </row>
    <row r="235" ht="15" customHeight="1">
      <c r="A235" t="inlineStr">
        <is>
          <t>A 61307-2021</t>
        </is>
      </c>
      <c r="B235" s="1" t="n">
        <v>44498.63928240741</v>
      </c>
      <c r="C235" s="1" t="n">
        <v>46090</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61325-2021</t>
        </is>
      </c>
      <c r="B236" s="1" t="n">
        <v>44498.66814814815</v>
      </c>
      <c r="C236" s="1" t="n">
        <v>46090</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33867-2023</t>
        </is>
      </c>
      <c r="B237" s="1" t="n">
        <v>45133.94640046296</v>
      </c>
      <c r="C237" s="1" t="n">
        <v>46090</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30985-2022</t>
        </is>
      </c>
      <c r="B238" s="1" t="n">
        <v>44768</v>
      </c>
      <c r="C238" s="1" t="n">
        <v>46090</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38317-2024</t>
        </is>
      </c>
      <c r="B239" s="1" t="n">
        <v>45545.65766203704</v>
      </c>
      <c r="C239" s="1" t="n">
        <v>46090</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46090</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16665-2023</t>
        </is>
      </c>
      <c r="B241" s="1" t="n">
        <v>45030.5583912037</v>
      </c>
      <c r="C241" s="1" t="n">
        <v>46090</v>
      </c>
      <c r="D241" t="inlineStr">
        <is>
          <t>ÖSTERGÖTLANDS LÄN</t>
        </is>
      </c>
      <c r="E241" t="inlineStr">
        <is>
          <t>LINKÖPING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48699-2024</t>
        </is>
      </c>
      <c r="B242" s="1" t="n">
        <v>45593.52091435185</v>
      </c>
      <c r="C242" s="1" t="n">
        <v>46090</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60001-2022</t>
        </is>
      </c>
      <c r="B243" s="1" t="n">
        <v>44909.47087962963</v>
      </c>
      <c r="C243" s="1" t="n">
        <v>46090</v>
      </c>
      <c r="D243" t="inlineStr">
        <is>
          <t>ÖSTERGÖTLANDS LÄN</t>
        </is>
      </c>
      <c r="E243" t="inlineStr">
        <is>
          <t>LINKÖPING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60013-2022</t>
        </is>
      </c>
      <c r="B244" s="1" t="n">
        <v>44909.47482638889</v>
      </c>
      <c r="C244" s="1" t="n">
        <v>46090</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7133-2026</t>
        </is>
      </c>
      <c r="B245" s="1" t="n">
        <v>46057</v>
      </c>
      <c r="C245" s="1" t="n">
        <v>46090</v>
      </c>
      <c r="D245" t="inlineStr">
        <is>
          <t>ÖSTERGÖTLANDS LÄN</t>
        </is>
      </c>
      <c r="E245" t="inlineStr">
        <is>
          <t>LINKÖPING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1211-2023</t>
        </is>
      </c>
      <c r="B246" s="1" t="n">
        <v>44930</v>
      </c>
      <c r="C246" s="1" t="n">
        <v>46090</v>
      </c>
      <c r="D246" t="inlineStr">
        <is>
          <t>ÖSTERGÖTLANDS LÄN</t>
        </is>
      </c>
      <c r="E246" t="inlineStr">
        <is>
          <t>LINKÖPING</t>
        </is>
      </c>
      <c r="F246" t="inlineStr">
        <is>
          <t>Övriga statliga verk och myndigheter</t>
        </is>
      </c>
      <c r="G246" t="n">
        <v>7.9</v>
      </c>
      <c r="H246" t="n">
        <v>0</v>
      </c>
      <c r="I246" t="n">
        <v>0</v>
      </c>
      <c r="J246" t="n">
        <v>0</v>
      </c>
      <c r="K246" t="n">
        <v>0</v>
      </c>
      <c r="L246" t="n">
        <v>0</v>
      </c>
      <c r="M246" t="n">
        <v>0</v>
      </c>
      <c r="N246" t="n">
        <v>0</v>
      </c>
      <c r="O246" t="n">
        <v>0</v>
      </c>
      <c r="P246" t="n">
        <v>0</v>
      </c>
      <c r="Q246" t="n">
        <v>0</v>
      </c>
      <c r="R246" s="2" t="inlineStr"/>
    </row>
    <row r="247" ht="15" customHeight="1">
      <c r="A247" t="inlineStr">
        <is>
          <t>A 38136-2023</t>
        </is>
      </c>
      <c r="B247" s="1" t="n">
        <v>45161.37310185185</v>
      </c>
      <c r="C247" s="1" t="n">
        <v>46090</v>
      </c>
      <c r="D247" t="inlineStr">
        <is>
          <t>ÖSTERGÖTLANDS LÄN</t>
        </is>
      </c>
      <c r="E247" t="inlineStr">
        <is>
          <t>LINKÖPING</t>
        </is>
      </c>
      <c r="G247" t="n">
        <v>5.6</v>
      </c>
      <c r="H247" t="n">
        <v>0</v>
      </c>
      <c r="I247" t="n">
        <v>0</v>
      </c>
      <c r="J247" t="n">
        <v>0</v>
      </c>
      <c r="K247" t="n">
        <v>0</v>
      </c>
      <c r="L247" t="n">
        <v>0</v>
      </c>
      <c r="M247" t="n">
        <v>0</v>
      </c>
      <c r="N247" t="n">
        <v>0</v>
      </c>
      <c r="O247" t="n">
        <v>0</v>
      </c>
      <c r="P247" t="n">
        <v>0</v>
      </c>
      <c r="Q247" t="n">
        <v>0</v>
      </c>
      <c r="R247" s="2" t="inlineStr"/>
    </row>
    <row r="248" ht="15" customHeight="1">
      <c r="A248" t="inlineStr">
        <is>
          <t>A 13911-2025</t>
        </is>
      </c>
      <c r="B248" s="1" t="n">
        <v>45737.64784722222</v>
      </c>
      <c r="C248" s="1" t="n">
        <v>46090</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44280-2024</t>
        </is>
      </c>
      <c r="B249" s="1" t="n">
        <v>45573.49461805556</v>
      </c>
      <c r="C249" s="1" t="n">
        <v>46090</v>
      </c>
      <c r="D249" t="inlineStr">
        <is>
          <t>ÖSTERGÖTLANDS LÄN</t>
        </is>
      </c>
      <c r="E249" t="inlineStr">
        <is>
          <t>LINKÖPING</t>
        </is>
      </c>
      <c r="G249" t="n">
        <v>5.3</v>
      </c>
      <c r="H249" t="n">
        <v>0</v>
      </c>
      <c r="I249" t="n">
        <v>0</v>
      </c>
      <c r="J249" t="n">
        <v>0</v>
      </c>
      <c r="K249" t="n">
        <v>0</v>
      </c>
      <c r="L249" t="n">
        <v>0</v>
      </c>
      <c r="M249" t="n">
        <v>0</v>
      </c>
      <c r="N249" t="n">
        <v>0</v>
      </c>
      <c r="O249" t="n">
        <v>0</v>
      </c>
      <c r="P249" t="n">
        <v>0</v>
      </c>
      <c r="Q249" t="n">
        <v>0</v>
      </c>
      <c r="R249" s="2" t="inlineStr"/>
    </row>
    <row r="250" ht="15" customHeight="1">
      <c r="A250" t="inlineStr">
        <is>
          <t>A 12317-2025</t>
        </is>
      </c>
      <c r="B250" s="1" t="n">
        <v>45729.8487037037</v>
      </c>
      <c r="C250" s="1" t="n">
        <v>46090</v>
      </c>
      <c r="D250" t="inlineStr">
        <is>
          <t>ÖSTERGÖTLANDS LÄN</t>
        </is>
      </c>
      <c r="E250" t="inlineStr">
        <is>
          <t>LINKÖPING</t>
        </is>
      </c>
      <c r="G250" t="n">
        <v>8</v>
      </c>
      <c r="H250" t="n">
        <v>0</v>
      </c>
      <c r="I250" t="n">
        <v>0</v>
      </c>
      <c r="J250" t="n">
        <v>0</v>
      </c>
      <c r="K250" t="n">
        <v>0</v>
      </c>
      <c r="L250" t="n">
        <v>0</v>
      </c>
      <c r="M250" t="n">
        <v>0</v>
      </c>
      <c r="N250" t="n">
        <v>0</v>
      </c>
      <c r="O250" t="n">
        <v>0</v>
      </c>
      <c r="P250" t="n">
        <v>0</v>
      </c>
      <c r="Q250" t="n">
        <v>0</v>
      </c>
      <c r="R250" s="2" t="inlineStr"/>
    </row>
    <row r="251" ht="15" customHeight="1">
      <c r="A251" t="inlineStr">
        <is>
          <t>A 36557-2023</t>
        </is>
      </c>
      <c r="B251" s="1" t="n">
        <v>45153</v>
      </c>
      <c r="C251" s="1" t="n">
        <v>46090</v>
      </c>
      <c r="D251" t="inlineStr">
        <is>
          <t>ÖSTERGÖTLANDS LÄN</t>
        </is>
      </c>
      <c r="E251" t="inlineStr">
        <is>
          <t>LINKÖPING</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3008-2023</t>
        </is>
      </c>
      <c r="B252" s="1" t="n">
        <v>44945.79784722222</v>
      </c>
      <c r="C252" s="1" t="n">
        <v>46090</v>
      </c>
      <c r="D252" t="inlineStr">
        <is>
          <t>ÖSTERGÖTLANDS LÄN</t>
        </is>
      </c>
      <c r="E252" t="inlineStr">
        <is>
          <t>LINKÖPING</t>
        </is>
      </c>
      <c r="G252" t="n">
        <v>19.3</v>
      </c>
      <c r="H252" t="n">
        <v>0</v>
      </c>
      <c r="I252" t="n">
        <v>0</v>
      </c>
      <c r="J252" t="n">
        <v>0</v>
      </c>
      <c r="K252" t="n">
        <v>0</v>
      </c>
      <c r="L252" t="n">
        <v>0</v>
      </c>
      <c r="M252" t="n">
        <v>0</v>
      </c>
      <c r="N252" t="n">
        <v>0</v>
      </c>
      <c r="O252" t="n">
        <v>0</v>
      </c>
      <c r="P252" t="n">
        <v>0</v>
      </c>
      <c r="Q252" t="n">
        <v>0</v>
      </c>
      <c r="R252" s="2" t="inlineStr"/>
    </row>
    <row r="253" ht="15" customHeight="1">
      <c r="A253" t="inlineStr">
        <is>
          <t>A 2085-2024</t>
        </is>
      </c>
      <c r="B253" s="1" t="n">
        <v>45309</v>
      </c>
      <c r="C253" s="1" t="n">
        <v>46090</v>
      </c>
      <c r="D253" t="inlineStr">
        <is>
          <t>ÖSTERGÖTLANDS LÄN</t>
        </is>
      </c>
      <c r="E253" t="inlineStr">
        <is>
          <t>LINKÖPING</t>
        </is>
      </c>
      <c r="G253" t="n">
        <v>4.5</v>
      </c>
      <c r="H253" t="n">
        <v>0</v>
      </c>
      <c r="I253" t="n">
        <v>0</v>
      </c>
      <c r="J253" t="n">
        <v>0</v>
      </c>
      <c r="K253" t="n">
        <v>0</v>
      </c>
      <c r="L253" t="n">
        <v>0</v>
      </c>
      <c r="M253" t="n">
        <v>0</v>
      </c>
      <c r="N253" t="n">
        <v>0</v>
      </c>
      <c r="O253" t="n">
        <v>0</v>
      </c>
      <c r="P253" t="n">
        <v>0</v>
      </c>
      <c r="Q253" t="n">
        <v>0</v>
      </c>
      <c r="R253" s="2" t="inlineStr"/>
    </row>
    <row r="254" ht="15" customHeight="1">
      <c r="A254" t="inlineStr">
        <is>
          <t>A 30468-2023</t>
        </is>
      </c>
      <c r="B254" s="1" t="n">
        <v>45111.58732638889</v>
      </c>
      <c r="C254" s="1" t="n">
        <v>46090</v>
      </c>
      <c r="D254" t="inlineStr">
        <is>
          <t>ÖSTERGÖTLANDS LÄN</t>
        </is>
      </c>
      <c r="E254" t="inlineStr">
        <is>
          <t>LINKÖPING</t>
        </is>
      </c>
      <c r="G254" t="n">
        <v>10.1</v>
      </c>
      <c r="H254" t="n">
        <v>0</v>
      </c>
      <c r="I254" t="n">
        <v>0</v>
      </c>
      <c r="J254" t="n">
        <v>0</v>
      </c>
      <c r="K254" t="n">
        <v>0</v>
      </c>
      <c r="L254" t="n">
        <v>0</v>
      </c>
      <c r="M254" t="n">
        <v>0</v>
      </c>
      <c r="N254" t="n">
        <v>0</v>
      </c>
      <c r="O254" t="n">
        <v>0</v>
      </c>
      <c r="P254" t="n">
        <v>0</v>
      </c>
      <c r="Q254" t="n">
        <v>0</v>
      </c>
      <c r="R254" s="2" t="inlineStr"/>
    </row>
    <row r="255" ht="15" customHeight="1">
      <c r="A255" t="inlineStr">
        <is>
          <t>A 39438-2025</t>
        </is>
      </c>
      <c r="B255" s="1" t="n">
        <v>45889.68641203704</v>
      </c>
      <c r="C255" s="1" t="n">
        <v>46090</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27264-2025</t>
        </is>
      </c>
      <c r="B256" s="1" t="n">
        <v>45812.4794212963</v>
      </c>
      <c r="C256" s="1" t="n">
        <v>46090</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38715-2023</t>
        </is>
      </c>
      <c r="B257" s="1" t="n">
        <v>45160</v>
      </c>
      <c r="C257" s="1" t="n">
        <v>46090</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39074-2025</t>
        </is>
      </c>
      <c r="B258" s="1" t="n">
        <v>45888</v>
      </c>
      <c r="C258" s="1" t="n">
        <v>46090</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72567-2021</t>
        </is>
      </c>
      <c r="B259" s="1" t="n">
        <v>44546.45023148148</v>
      </c>
      <c r="C259" s="1" t="n">
        <v>46090</v>
      </c>
      <c r="D259" t="inlineStr">
        <is>
          <t>ÖSTERGÖTLANDS LÄN</t>
        </is>
      </c>
      <c r="E259" t="inlineStr">
        <is>
          <t>LINKÖPING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34864-2023</t>
        </is>
      </c>
      <c r="B260" s="1" t="n">
        <v>45141</v>
      </c>
      <c r="C260" s="1" t="n">
        <v>46090</v>
      </c>
      <c r="D260" t="inlineStr">
        <is>
          <t>ÖSTERGÖTLANDS LÄN</t>
        </is>
      </c>
      <c r="E260" t="inlineStr">
        <is>
          <t>LINKÖPING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46687-2021</t>
        </is>
      </c>
      <c r="B261" s="1" t="n">
        <v>44445</v>
      </c>
      <c r="C261" s="1" t="n">
        <v>46090</v>
      </c>
      <c r="D261" t="inlineStr">
        <is>
          <t>ÖSTERGÖTLANDS LÄN</t>
        </is>
      </c>
      <c r="E261" t="inlineStr">
        <is>
          <t>LINKÖPING</t>
        </is>
      </c>
      <c r="F261" t="inlineStr">
        <is>
          <t>Övriga statliga verk och myndigheter</t>
        </is>
      </c>
      <c r="G261" t="n">
        <v>2.3</v>
      </c>
      <c r="H261" t="n">
        <v>0</v>
      </c>
      <c r="I261" t="n">
        <v>0</v>
      </c>
      <c r="J261" t="n">
        <v>0</v>
      </c>
      <c r="K261" t="n">
        <v>0</v>
      </c>
      <c r="L261" t="n">
        <v>0</v>
      </c>
      <c r="M261" t="n">
        <v>0</v>
      </c>
      <c r="N261" t="n">
        <v>0</v>
      </c>
      <c r="O261" t="n">
        <v>0</v>
      </c>
      <c r="P261" t="n">
        <v>0</v>
      </c>
      <c r="Q261" t="n">
        <v>0</v>
      </c>
      <c r="R261" s="2" t="inlineStr"/>
    </row>
    <row r="262" ht="15" customHeight="1">
      <c r="A262" t="inlineStr">
        <is>
          <t>A 17103-2025</t>
        </is>
      </c>
      <c r="B262" s="1" t="n">
        <v>45755.66143518518</v>
      </c>
      <c r="C262" s="1" t="n">
        <v>46090</v>
      </c>
      <c r="D262" t="inlineStr">
        <is>
          <t>ÖSTERGÖTLANDS LÄN</t>
        </is>
      </c>
      <c r="E262" t="inlineStr">
        <is>
          <t>LINKÖPING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40169-2025</t>
        </is>
      </c>
      <c r="B263" s="1" t="n">
        <v>45894.62824074074</v>
      </c>
      <c r="C263" s="1" t="n">
        <v>46090</v>
      </c>
      <c r="D263" t="inlineStr">
        <is>
          <t>ÖSTERGÖTLANDS LÄN</t>
        </is>
      </c>
      <c r="E263" t="inlineStr">
        <is>
          <t>LINKÖPING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26002-2025</t>
        </is>
      </c>
      <c r="B264" s="1" t="n">
        <v>45804.66534722222</v>
      </c>
      <c r="C264" s="1" t="n">
        <v>46090</v>
      </c>
      <c r="D264" t="inlineStr">
        <is>
          <t>ÖSTERGÖTLANDS LÄN</t>
        </is>
      </c>
      <c r="E264" t="inlineStr">
        <is>
          <t>LINKÖPING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40618-2021</t>
        </is>
      </c>
      <c r="B265" s="1" t="n">
        <v>44420.49575231481</v>
      </c>
      <c r="C265" s="1" t="n">
        <v>46090</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56180-2024</t>
        </is>
      </c>
      <c r="B266" s="1" t="n">
        <v>45624.56611111111</v>
      </c>
      <c r="C266" s="1" t="n">
        <v>46090</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25996-2025</t>
        </is>
      </c>
      <c r="B267" s="1" t="n">
        <v>45804.65851851852</v>
      </c>
      <c r="C267" s="1" t="n">
        <v>46090</v>
      </c>
      <c r="D267" t="inlineStr">
        <is>
          <t>ÖSTERGÖTLANDS LÄN</t>
        </is>
      </c>
      <c r="E267" t="inlineStr">
        <is>
          <t>LINKÖPING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30471-2023</t>
        </is>
      </c>
      <c r="B268" s="1" t="n">
        <v>45111.58931712963</v>
      </c>
      <c r="C268" s="1" t="n">
        <v>46090</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227-2024</t>
        </is>
      </c>
      <c r="B269" s="1" t="n">
        <v>45294.73603009259</v>
      </c>
      <c r="C269" s="1" t="n">
        <v>46090</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44155-2024</t>
        </is>
      </c>
      <c r="B270" s="1" t="n">
        <v>45572.68226851852</v>
      </c>
      <c r="C270" s="1" t="n">
        <v>46090</v>
      </c>
      <c r="D270" t="inlineStr">
        <is>
          <t>ÖSTERGÖTLANDS LÄN</t>
        </is>
      </c>
      <c r="E270" t="inlineStr">
        <is>
          <t>LINKÖPING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30434-2024</t>
        </is>
      </c>
      <c r="B271" s="1" t="n">
        <v>45491.69811342593</v>
      </c>
      <c r="C271" s="1" t="n">
        <v>46090</v>
      </c>
      <c r="D271" t="inlineStr">
        <is>
          <t>ÖSTERGÖTLANDS LÄN</t>
        </is>
      </c>
      <c r="E271" t="inlineStr">
        <is>
          <t>LINKÖPING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56917-2022</t>
        </is>
      </c>
      <c r="B272" s="1" t="n">
        <v>44894</v>
      </c>
      <c r="C272" s="1" t="n">
        <v>46090</v>
      </c>
      <c r="D272" t="inlineStr">
        <is>
          <t>ÖSTERGÖTLANDS LÄN</t>
        </is>
      </c>
      <c r="E272" t="inlineStr">
        <is>
          <t>LINKÖPING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57766-2023</t>
        </is>
      </c>
      <c r="B273" s="1" t="n">
        <v>45246</v>
      </c>
      <c r="C273" s="1" t="n">
        <v>46090</v>
      </c>
      <c r="D273" t="inlineStr">
        <is>
          <t>ÖSTERGÖTLANDS LÄN</t>
        </is>
      </c>
      <c r="E273" t="inlineStr">
        <is>
          <t>LINKÖPING</t>
        </is>
      </c>
      <c r="F273" t="inlineStr">
        <is>
          <t>Allmännings- och besparingsskogar</t>
        </is>
      </c>
      <c r="G273" t="n">
        <v>12.8</v>
      </c>
      <c r="H273" t="n">
        <v>0</v>
      </c>
      <c r="I273" t="n">
        <v>0</v>
      </c>
      <c r="J273" t="n">
        <v>0</v>
      </c>
      <c r="K273" t="n">
        <v>0</v>
      </c>
      <c r="L273" t="n">
        <v>0</v>
      </c>
      <c r="M273" t="n">
        <v>0</v>
      </c>
      <c r="N273" t="n">
        <v>0</v>
      </c>
      <c r="O273" t="n">
        <v>0</v>
      </c>
      <c r="P273" t="n">
        <v>0</v>
      </c>
      <c r="Q273" t="n">
        <v>0</v>
      </c>
      <c r="R273" s="2" t="inlineStr"/>
    </row>
    <row r="274" ht="15" customHeight="1">
      <c r="A274" t="inlineStr">
        <is>
          <t>A 41511-2025</t>
        </is>
      </c>
      <c r="B274" s="1" t="n">
        <v>45901.53839120371</v>
      </c>
      <c r="C274" s="1" t="n">
        <v>46090</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25568-2024</t>
        </is>
      </c>
      <c r="B275" s="1" t="n">
        <v>45463.58699074074</v>
      </c>
      <c r="C275" s="1" t="n">
        <v>46090</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41706-2025</t>
        </is>
      </c>
      <c r="B276" s="1" t="n">
        <v>45902.42209490741</v>
      </c>
      <c r="C276" s="1" t="n">
        <v>46090</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22833-2023</t>
        </is>
      </c>
      <c r="B277" s="1" t="n">
        <v>45071</v>
      </c>
      <c r="C277" s="1" t="n">
        <v>46090</v>
      </c>
      <c r="D277" t="inlineStr">
        <is>
          <t>ÖSTERGÖTLANDS LÄN</t>
        </is>
      </c>
      <c r="E277" t="inlineStr">
        <is>
          <t>LINKÖPING</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3042-2024</t>
        </is>
      </c>
      <c r="B278" s="1" t="n">
        <v>45316.35028935185</v>
      </c>
      <c r="C278" s="1" t="n">
        <v>46090</v>
      </c>
      <c r="D278" t="inlineStr">
        <is>
          <t>ÖSTERGÖTLANDS LÄN</t>
        </is>
      </c>
      <c r="E278" t="inlineStr">
        <is>
          <t>LINKÖPING</t>
        </is>
      </c>
      <c r="G278" t="n">
        <v>3.1</v>
      </c>
      <c r="H278" t="n">
        <v>0</v>
      </c>
      <c r="I278" t="n">
        <v>0</v>
      </c>
      <c r="J278" t="n">
        <v>0</v>
      </c>
      <c r="K278" t="n">
        <v>0</v>
      </c>
      <c r="L278" t="n">
        <v>0</v>
      </c>
      <c r="M278" t="n">
        <v>0</v>
      </c>
      <c r="N278" t="n">
        <v>0</v>
      </c>
      <c r="O278" t="n">
        <v>0</v>
      </c>
      <c r="P278" t="n">
        <v>0</v>
      </c>
      <c r="Q278" t="n">
        <v>0</v>
      </c>
      <c r="R278" s="2" t="inlineStr"/>
    </row>
    <row r="279" ht="15" customHeight="1">
      <c r="A279" t="inlineStr">
        <is>
          <t>A 2997-2025</t>
        </is>
      </c>
      <c r="B279" s="1" t="n">
        <v>45678.54631944445</v>
      </c>
      <c r="C279" s="1" t="n">
        <v>46090</v>
      </c>
      <c r="D279" t="inlineStr">
        <is>
          <t>ÖSTERGÖTLANDS LÄN</t>
        </is>
      </c>
      <c r="E279" t="inlineStr">
        <is>
          <t>LINKÖPING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29293-2025</t>
        </is>
      </c>
      <c r="B280" s="1" t="n">
        <v>45824</v>
      </c>
      <c r="C280" s="1" t="n">
        <v>46090</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27950-2025</t>
        </is>
      </c>
      <c r="B281" s="1" t="n">
        <v>45817.52960648148</v>
      </c>
      <c r="C281" s="1" t="n">
        <v>46090</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42624-2025</t>
        </is>
      </c>
      <c r="B282" s="1" t="n">
        <v>45905</v>
      </c>
      <c r="C282" s="1" t="n">
        <v>46090</v>
      </c>
      <c r="D282" t="inlineStr">
        <is>
          <t>ÖSTERGÖTLANDS LÄN</t>
        </is>
      </c>
      <c r="E282" t="inlineStr">
        <is>
          <t>LINKÖPING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42626-2025</t>
        </is>
      </c>
      <c r="B283" s="1" t="n">
        <v>45905</v>
      </c>
      <c r="C283" s="1" t="n">
        <v>46090</v>
      </c>
      <c r="D283" t="inlineStr">
        <is>
          <t>ÖSTERGÖTLANDS LÄN</t>
        </is>
      </c>
      <c r="E283" t="inlineStr">
        <is>
          <t>LINKÖPING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42623-2025</t>
        </is>
      </c>
      <c r="B284" s="1" t="n">
        <v>45905</v>
      </c>
      <c r="C284" s="1" t="n">
        <v>46090</v>
      </c>
      <c r="D284" t="inlineStr">
        <is>
          <t>ÖSTERGÖTLANDS LÄN</t>
        </is>
      </c>
      <c r="E284" t="inlineStr">
        <is>
          <t>LINKÖPING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41345-2021</t>
        </is>
      </c>
      <c r="B285" s="1" t="n">
        <v>44424.61851851852</v>
      </c>
      <c r="C285" s="1" t="n">
        <v>46090</v>
      </c>
      <c r="D285" t="inlineStr">
        <is>
          <t>ÖSTERGÖTLANDS LÄN</t>
        </is>
      </c>
      <c r="E285" t="inlineStr">
        <is>
          <t>LINKÖPING</t>
        </is>
      </c>
      <c r="F285" t="inlineStr">
        <is>
          <t>Sveaskog</t>
        </is>
      </c>
      <c r="G285" t="n">
        <v>6.3</v>
      </c>
      <c r="H285" t="n">
        <v>0</v>
      </c>
      <c r="I285" t="n">
        <v>0</v>
      </c>
      <c r="J285" t="n">
        <v>0</v>
      </c>
      <c r="K285" t="n">
        <v>0</v>
      </c>
      <c r="L285" t="n">
        <v>0</v>
      </c>
      <c r="M285" t="n">
        <v>0</v>
      </c>
      <c r="N285" t="n">
        <v>0</v>
      </c>
      <c r="O285" t="n">
        <v>0</v>
      </c>
      <c r="P285" t="n">
        <v>0</v>
      </c>
      <c r="Q285" t="n">
        <v>0</v>
      </c>
      <c r="R285" s="2" t="inlineStr"/>
    </row>
    <row r="286" ht="15" customHeight="1">
      <c r="A286" t="inlineStr">
        <is>
          <t>A 27797-2025</t>
        </is>
      </c>
      <c r="B286" s="1" t="n">
        <v>45816.80521990741</v>
      </c>
      <c r="C286" s="1" t="n">
        <v>46090</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27798-2025</t>
        </is>
      </c>
      <c r="B287" s="1" t="n">
        <v>45816.81532407407</v>
      </c>
      <c r="C287" s="1" t="n">
        <v>46090</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13266-2025</t>
        </is>
      </c>
      <c r="B288" s="1" t="n">
        <v>45735.53318287037</v>
      </c>
      <c r="C288" s="1" t="n">
        <v>46090</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16213-2025</t>
        </is>
      </c>
      <c r="B289" s="1" t="n">
        <v>45750.62740740741</v>
      </c>
      <c r="C289" s="1" t="n">
        <v>46090</v>
      </c>
      <c r="D289" t="inlineStr">
        <is>
          <t>ÖSTERGÖTLANDS LÄN</t>
        </is>
      </c>
      <c r="E289" t="inlineStr">
        <is>
          <t>LINKÖPING</t>
        </is>
      </c>
      <c r="G289" t="n">
        <v>3.4</v>
      </c>
      <c r="H289" t="n">
        <v>0</v>
      </c>
      <c r="I289" t="n">
        <v>0</v>
      </c>
      <c r="J289" t="n">
        <v>0</v>
      </c>
      <c r="K289" t="n">
        <v>0</v>
      </c>
      <c r="L289" t="n">
        <v>0</v>
      </c>
      <c r="M289" t="n">
        <v>0</v>
      </c>
      <c r="N289" t="n">
        <v>0</v>
      </c>
      <c r="O289" t="n">
        <v>0</v>
      </c>
      <c r="P289" t="n">
        <v>0</v>
      </c>
      <c r="Q289" t="n">
        <v>0</v>
      </c>
      <c r="R289" s="2" t="inlineStr"/>
    </row>
    <row r="290" ht="15" customHeight="1">
      <c r="A290" t="inlineStr">
        <is>
          <t>A 28200-2025</t>
        </is>
      </c>
      <c r="B290" s="1" t="n">
        <v>45818.4428125</v>
      </c>
      <c r="C290" s="1" t="n">
        <v>46090</v>
      </c>
      <c r="D290" t="inlineStr">
        <is>
          <t>ÖSTERGÖTLANDS LÄN</t>
        </is>
      </c>
      <c r="E290" t="inlineStr">
        <is>
          <t>LINKÖPING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28204-2025</t>
        </is>
      </c>
      <c r="B291" s="1" t="n">
        <v>45818.4477662037</v>
      </c>
      <c r="C291" s="1" t="n">
        <v>46090</v>
      </c>
      <c r="D291" t="inlineStr">
        <is>
          <t>ÖSTERGÖTLANDS LÄN</t>
        </is>
      </c>
      <c r="E291" t="inlineStr">
        <is>
          <t>LINKÖPING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28416-2025</t>
        </is>
      </c>
      <c r="B292" s="1" t="n">
        <v>45819.35346064815</v>
      </c>
      <c r="C292" s="1" t="n">
        <v>46090</v>
      </c>
      <c r="D292" t="inlineStr">
        <is>
          <t>ÖSTERGÖTLANDS LÄN</t>
        </is>
      </c>
      <c r="E292" t="inlineStr">
        <is>
          <t>LINKÖPING</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46225-2021</t>
        </is>
      </c>
      <c r="B293" s="1" t="n">
        <v>44442</v>
      </c>
      <c r="C293" s="1" t="n">
        <v>46090</v>
      </c>
      <c r="D293" t="inlineStr">
        <is>
          <t>ÖSTERGÖTLANDS LÄN</t>
        </is>
      </c>
      <c r="E293" t="inlineStr">
        <is>
          <t>LINKÖPING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25776-2021</t>
        </is>
      </c>
      <c r="B294" s="1" t="n">
        <v>44343</v>
      </c>
      <c r="C294" s="1" t="n">
        <v>46090</v>
      </c>
      <c r="D294" t="inlineStr">
        <is>
          <t>ÖSTERGÖTLANDS LÄN</t>
        </is>
      </c>
      <c r="E294" t="inlineStr">
        <is>
          <t>LINKÖPING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28398-2025</t>
        </is>
      </c>
      <c r="B295" s="1" t="n">
        <v>45819.34208333334</v>
      </c>
      <c r="C295" s="1" t="n">
        <v>46090</v>
      </c>
      <c r="D295" t="inlineStr">
        <is>
          <t>ÖSTERGÖTLANDS LÄN</t>
        </is>
      </c>
      <c r="E295" t="inlineStr">
        <is>
          <t>LINKÖPING</t>
        </is>
      </c>
      <c r="F295" t="inlineStr">
        <is>
          <t>Sveaskog</t>
        </is>
      </c>
      <c r="G295" t="n">
        <v>7.9</v>
      </c>
      <c r="H295" t="n">
        <v>0</v>
      </c>
      <c r="I295" t="n">
        <v>0</v>
      </c>
      <c r="J295" t="n">
        <v>0</v>
      </c>
      <c r="K295" t="n">
        <v>0</v>
      </c>
      <c r="L295" t="n">
        <v>0</v>
      </c>
      <c r="M295" t="n">
        <v>0</v>
      </c>
      <c r="N295" t="n">
        <v>0</v>
      </c>
      <c r="O295" t="n">
        <v>0</v>
      </c>
      <c r="P295" t="n">
        <v>0</v>
      </c>
      <c r="Q295" t="n">
        <v>0</v>
      </c>
      <c r="R295" s="2" t="inlineStr"/>
    </row>
    <row r="296" ht="15" customHeight="1">
      <c r="A296" t="inlineStr">
        <is>
          <t>A 28209-2025</t>
        </is>
      </c>
      <c r="B296" s="1" t="n">
        <v>45818.45112268518</v>
      </c>
      <c r="C296" s="1" t="n">
        <v>46090</v>
      </c>
      <c r="D296" t="inlineStr">
        <is>
          <t>ÖSTERGÖTLANDS LÄN</t>
        </is>
      </c>
      <c r="E296" t="inlineStr">
        <is>
          <t>LINKÖPING</t>
        </is>
      </c>
      <c r="G296" t="n">
        <v>4.2</v>
      </c>
      <c r="H296" t="n">
        <v>0</v>
      </c>
      <c r="I296" t="n">
        <v>0</v>
      </c>
      <c r="J296" t="n">
        <v>0</v>
      </c>
      <c r="K296" t="n">
        <v>0</v>
      </c>
      <c r="L296" t="n">
        <v>0</v>
      </c>
      <c r="M296" t="n">
        <v>0</v>
      </c>
      <c r="N296" t="n">
        <v>0</v>
      </c>
      <c r="O296" t="n">
        <v>0</v>
      </c>
      <c r="P296" t="n">
        <v>0</v>
      </c>
      <c r="Q296" t="n">
        <v>0</v>
      </c>
      <c r="R296" s="2" t="inlineStr"/>
    </row>
    <row r="297" ht="15" customHeight="1">
      <c r="A297" t="inlineStr">
        <is>
          <t>A 51484-2023</t>
        </is>
      </c>
      <c r="B297" s="1" t="n">
        <v>45222</v>
      </c>
      <c r="C297" s="1" t="n">
        <v>46090</v>
      </c>
      <c r="D297" t="inlineStr">
        <is>
          <t>ÖSTERGÖTLANDS LÄN</t>
        </is>
      </c>
      <c r="E297" t="inlineStr">
        <is>
          <t>LINKÖPING</t>
        </is>
      </c>
      <c r="F297" t="inlineStr">
        <is>
          <t>Övriga Aktiebolag</t>
        </is>
      </c>
      <c r="G297" t="n">
        <v>7.7</v>
      </c>
      <c r="H297" t="n">
        <v>0</v>
      </c>
      <c r="I297" t="n">
        <v>0</v>
      </c>
      <c r="J297" t="n">
        <v>0</v>
      </c>
      <c r="K297" t="n">
        <v>0</v>
      </c>
      <c r="L297" t="n">
        <v>0</v>
      </c>
      <c r="M297" t="n">
        <v>0</v>
      </c>
      <c r="N297" t="n">
        <v>0</v>
      </c>
      <c r="O297" t="n">
        <v>0</v>
      </c>
      <c r="P297" t="n">
        <v>0</v>
      </c>
      <c r="Q297" t="n">
        <v>0</v>
      </c>
      <c r="R297" s="2" t="inlineStr"/>
    </row>
    <row r="298" ht="15" customHeight="1">
      <c r="A298" t="inlineStr">
        <is>
          <t>A 17898-2022</t>
        </is>
      </c>
      <c r="B298" s="1" t="n">
        <v>44683</v>
      </c>
      <c r="C298" s="1" t="n">
        <v>46090</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63487-2023</t>
        </is>
      </c>
      <c r="B299" s="1" t="n">
        <v>45274.66712962963</v>
      </c>
      <c r="C299" s="1" t="n">
        <v>46090</v>
      </c>
      <c r="D299" t="inlineStr">
        <is>
          <t>ÖSTERGÖTLANDS LÄN</t>
        </is>
      </c>
      <c r="E299" t="inlineStr">
        <is>
          <t>LINKÖPING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35463-2023</t>
        </is>
      </c>
      <c r="B300" s="1" t="n">
        <v>45146</v>
      </c>
      <c r="C300" s="1" t="n">
        <v>46090</v>
      </c>
      <c r="D300" t="inlineStr">
        <is>
          <t>ÖSTERGÖTLANDS LÄN</t>
        </is>
      </c>
      <c r="E300" t="inlineStr">
        <is>
          <t>LINKÖPING</t>
        </is>
      </c>
      <c r="F300" t="inlineStr">
        <is>
          <t>Övriga Aktiebolag</t>
        </is>
      </c>
      <c r="G300" t="n">
        <v>1.8</v>
      </c>
      <c r="H300" t="n">
        <v>0</v>
      </c>
      <c r="I300" t="n">
        <v>0</v>
      </c>
      <c r="J300" t="n">
        <v>0</v>
      </c>
      <c r="K300" t="n">
        <v>0</v>
      </c>
      <c r="L300" t="n">
        <v>0</v>
      </c>
      <c r="M300" t="n">
        <v>0</v>
      </c>
      <c r="N300" t="n">
        <v>0</v>
      </c>
      <c r="O300" t="n">
        <v>0</v>
      </c>
      <c r="P300" t="n">
        <v>0</v>
      </c>
      <c r="Q300" t="n">
        <v>0</v>
      </c>
      <c r="R300" s="2" t="inlineStr"/>
    </row>
    <row r="301" ht="15" customHeight="1">
      <c r="A301" t="inlineStr">
        <is>
          <t>A 29027-2025</t>
        </is>
      </c>
      <c r="B301" s="1" t="n">
        <v>45821.4375462963</v>
      </c>
      <c r="C301" s="1" t="n">
        <v>46090</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29411-2025</t>
        </is>
      </c>
      <c r="B302" s="1" t="n">
        <v>45824.6219212963</v>
      </c>
      <c r="C302" s="1" t="n">
        <v>46090</v>
      </c>
      <c r="D302" t="inlineStr">
        <is>
          <t>ÖSTERGÖTLANDS LÄN</t>
        </is>
      </c>
      <c r="E302" t="inlineStr">
        <is>
          <t>LINKÖPING</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55632-2022</t>
        </is>
      </c>
      <c r="B303" s="1" t="n">
        <v>44888</v>
      </c>
      <c r="C303" s="1" t="n">
        <v>46090</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44170-2025</t>
        </is>
      </c>
      <c r="B304" s="1" t="n">
        <v>45915.59864583334</v>
      </c>
      <c r="C304" s="1" t="n">
        <v>46090</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29599-2025</t>
        </is>
      </c>
      <c r="B305" s="1" t="n">
        <v>45825.41101851852</v>
      </c>
      <c r="C305" s="1" t="n">
        <v>46090</v>
      </c>
      <c r="D305" t="inlineStr">
        <is>
          <t>ÖSTERGÖTLANDS LÄN</t>
        </is>
      </c>
      <c r="E305" t="inlineStr">
        <is>
          <t>LINKÖPING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63559-2023</t>
        </is>
      </c>
      <c r="B306" s="1" t="n">
        <v>45275.35924768518</v>
      </c>
      <c r="C306" s="1" t="n">
        <v>46090</v>
      </c>
      <c r="D306" t="inlineStr">
        <is>
          <t>ÖSTERGÖTLANDS LÄN</t>
        </is>
      </c>
      <c r="E306" t="inlineStr">
        <is>
          <t>LINKÖPING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43755-2025</t>
        </is>
      </c>
      <c r="B307" s="1" t="n">
        <v>45912.47329861111</v>
      </c>
      <c r="C307" s="1" t="n">
        <v>46090</v>
      </c>
      <c r="D307" t="inlineStr">
        <is>
          <t>ÖSTERGÖTLANDS LÄN</t>
        </is>
      </c>
      <c r="E307" t="inlineStr">
        <is>
          <t>LINKÖPING</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43758-2025</t>
        </is>
      </c>
      <c r="B308" s="1" t="n">
        <v>45912.47711805555</v>
      </c>
      <c r="C308" s="1" t="n">
        <v>46090</v>
      </c>
      <c r="D308" t="inlineStr">
        <is>
          <t>ÖSTERGÖTLANDS LÄN</t>
        </is>
      </c>
      <c r="E308" t="inlineStr">
        <is>
          <t>LINKÖPING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43753-2025</t>
        </is>
      </c>
      <c r="B309" s="1" t="n">
        <v>45912.4715625</v>
      </c>
      <c r="C309" s="1" t="n">
        <v>46090</v>
      </c>
      <c r="D309" t="inlineStr">
        <is>
          <t>ÖSTERGÖTLANDS LÄN</t>
        </is>
      </c>
      <c r="E309" t="inlineStr">
        <is>
          <t>LINKÖPING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58114-2021</t>
        </is>
      </c>
      <c r="B310" s="1" t="n">
        <v>44487</v>
      </c>
      <c r="C310" s="1" t="n">
        <v>46090</v>
      </c>
      <c r="D310" t="inlineStr">
        <is>
          <t>ÖSTERGÖTLANDS LÄN</t>
        </is>
      </c>
      <c r="E310" t="inlineStr">
        <is>
          <t>LINKÖPING</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44759-2025</t>
        </is>
      </c>
      <c r="B311" s="1" t="n">
        <v>45917.7152662037</v>
      </c>
      <c r="C311" s="1" t="n">
        <v>46090</v>
      </c>
      <c r="D311" t="inlineStr">
        <is>
          <t>ÖSTERGÖTLANDS LÄN</t>
        </is>
      </c>
      <c r="E311" t="inlineStr">
        <is>
          <t>LINKÖPING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30355-2025</t>
        </is>
      </c>
      <c r="B312" s="1" t="n">
        <v>45827</v>
      </c>
      <c r="C312" s="1" t="n">
        <v>46090</v>
      </c>
      <c r="D312" t="inlineStr">
        <is>
          <t>ÖSTERGÖTLANDS LÄN</t>
        </is>
      </c>
      <c r="E312" t="inlineStr">
        <is>
          <t>LINKÖPING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30353-2025</t>
        </is>
      </c>
      <c r="B313" s="1" t="n">
        <v>45827</v>
      </c>
      <c r="C313" s="1" t="n">
        <v>46090</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44764-2025</t>
        </is>
      </c>
      <c r="B314" s="1" t="n">
        <v>45917.72821759259</v>
      </c>
      <c r="C314" s="1" t="n">
        <v>46090</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55944-2024</t>
        </is>
      </c>
      <c r="B315" s="1" t="n">
        <v>45623.61640046296</v>
      </c>
      <c r="C315" s="1" t="n">
        <v>46090</v>
      </c>
      <c r="D315" t="inlineStr">
        <is>
          <t>ÖSTERGÖTLANDS LÄN</t>
        </is>
      </c>
      <c r="E315" t="inlineStr">
        <is>
          <t>LINKÖPING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55947-2024</t>
        </is>
      </c>
      <c r="B316" s="1" t="n">
        <v>45623</v>
      </c>
      <c r="C316" s="1" t="n">
        <v>46090</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3374-2023</t>
        </is>
      </c>
      <c r="B317" s="1" t="n">
        <v>44949</v>
      </c>
      <c r="C317" s="1" t="n">
        <v>46090</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24151-2024</t>
        </is>
      </c>
      <c r="B318" s="1" t="n">
        <v>45456.67717592593</v>
      </c>
      <c r="C318" s="1" t="n">
        <v>46090</v>
      </c>
      <c r="D318" t="inlineStr">
        <is>
          <t>ÖSTERGÖTLANDS LÄN</t>
        </is>
      </c>
      <c r="E318" t="inlineStr">
        <is>
          <t>LINKÖPING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45112-2025</t>
        </is>
      </c>
      <c r="B319" s="1" t="n">
        <v>45919</v>
      </c>
      <c r="C319" s="1" t="n">
        <v>46090</v>
      </c>
      <c r="D319" t="inlineStr">
        <is>
          <t>ÖSTERGÖTLANDS LÄN</t>
        </is>
      </c>
      <c r="E319" t="inlineStr">
        <is>
          <t>LINKÖPING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45634-2025</t>
        </is>
      </c>
      <c r="B320" s="1" t="n">
        <v>45922.85089120371</v>
      </c>
      <c r="C320" s="1" t="n">
        <v>46090</v>
      </c>
      <c r="D320" t="inlineStr">
        <is>
          <t>ÖSTERGÖTLANDS LÄN</t>
        </is>
      </c>
      <c r="E320" t="inlineStr">
        <is>
          <t>LINKÖPING</t>
        </is>
      </c>
      <c r="F320" t="inlineStr">
        <is>
          <t>Övriga Aktiebolag</t>
        </is>
      </c>
      <c r="G320" t="n">
        <v>0.3</v>
      </c>
      <c r="H320" t="n">
        <v>0</v>
      </c>
      <c r="I320" t="n">
        <v>0</v>
      </c>
      <c r="J320" t="n">
        <v>0</v>
      </c>
      <c r="K320" t="n">
        <v>0</v>
      </c>
      <c r="L320" t="n">
        <v>0</v>
      </c>
      <c r="M320" t="n">
        <v>0</v>
      </c>
      <c r="N320" t="n">
        <v>0</v>
      </c>
      <c r="O320" t="n">
        <v>0</v>
      </c>
      <c r="P320" t="n">
        <v>0</v>
      </c>
      <c r="Q320" t="n">
        <v>0</v>
      </c>
      <c r="R320" s="2" t="inlineStr"/>
    </row>
    <row r="321" ht="15" customHeight="1">
      <c r="A321" t="inlineStr">
        <is>
          <t>A 14576-2023</t>
        </is>
      </c>
      <c r="B321" s="1" t="n">
        <v>45013</v>
      </c>
      <c r="C321" s="1" t="n">
        <v>46090</v>
      </c>
      <c r="D321" t="inlineStr">
        <is>
          <t>ÖSTERGÖTLANDS LÄN</t>
        </is>
      </c>
      <c r="E321" t="inlineStr">
        <is>
          <t>LINKÖPING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31581-2025</t>
        </is>
      </c>
      <c r="B322" s="1" t="n">
        <v>45833.6840162037</v>
      </c>
      <c r="C322" s="1" t="n">
        <v>46090</v>
      </c>
      <c r="D322" t="inlineStr">
        <is>
          <t>ÖSTERGÖTLANDS LÄN</t>
        </is>
      </c>
      <c r="E322" t="inlineStr">
        <is>
          <t>LINKÖPING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31585-2025</t>
        </is>
      </c>
      <c r="B323" s="1" t="n">
        <v>45833.68815972222</v>
      </c>
      <c r="C323" s="1" t="n">
        <v>46090</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45792-2025</t>
        </is>
      </c>
      <c r="B324" s="1" t="n">
        <v>45923.56998842592</v>
      </c>
      <c r="C324" s="1" t="n">
        <v>46090</v>
      </c>
      <c r="D324" t="inlineStr">
        <is>
          <t>ÖSTERGÖTLANDS LÄN</t>
        </is>
      </c>
      <c r="E324" t="inlineStr">
        <is>
          <t>LINKÖPING</t>
        </is>
      </c>
      <c r="G324" t="n">
        <v>2.6</v>
      </c>
      <c r="H324" t="n">
        <v>0</v>
      </c>
      <c r="I324" t="n">
        <v>0</v>
      </c>
      <c r="J324" t="n">
        <v>0</v>
      </c>
      <c r="K324" t="n">
        <v>0</v>
      </c>
      <c r="L324" t="n">
        <v>0</v>
      </c>
      <c r="M324" t="n">
        <v>0</v>
      </c>
      <c r="N324" t="n">
        <v>0</v>
      </c>
      <c r="O324" t="n">
        <v>0</v>
      </c>
      <c r="P324" t="n">
        <v>0</v>
      </c>
      <c r="Q324" t="n">
        <v>0</v>
      </c>
      <c r="R324" s="2" t="inlineStr"/>
    </row>
    <row r="325" ht="15" customHeight="1">
      <c r="A325" t="inlineStr">
        <is>
          <t>A 45804-2025</t>
        </is>
      </c>
      <c r="B325" s="1" t="n">
        <v>45923.5819675926</v>
      </c>
      <c r="C325" s="1" t="n">
        <v>46090</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74160-2021</t>
        </is>
      </c>
      <c r="B326" s="1" t="n">
        <v>44558</v>
      </c>
      <c r="C326" s="1" t="n">
        <v>46090</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46426-2025</t>
        </is>
      </c>
      <c r="B327" s="1" t="n">
        <v>45925.6012962963</v>
      </c>
      <c r="C327" s="1" t="n">
        <v>46090</v>
      </c>
      <c r="D327" t="inlineStr">
        <is>
          <t>ÖSTERGÖTLANDS LÄN</t>
        </is>
      </c>
      <c r="E327" t="inlineStr">
        <is>
          <t>LINKÖPING</t>
        </is>
      </c>
      <c r="G327" t="n">
        <v>4.4</v>
      </c>
      <c r="H327" t="n">
        <v>0</v>
      </c>
      <c r="I327" t="n">
        <v>0</v>
      </c>
      <c r="J327" t="n">
        <v>0</v>
      </c>
      <c r="K327" t="n">
        <v>0</v>
      </c>
      <c r="L327" t="n">
        <v>0</v>
      </c>
      <c r="M327" t="n">
        <v>0</v>
      </c>
      <c r="N327" t="n">
        <v>0</v>
      </c>
      <c r="O327" t="n">
        <v>0</v>
      </c>
      <c r="P327" t="n">
        <v>0</v>
      </c>
      <c r="Q327" t="n">
        <v>0</v>
      </c>
      <c r="R327" s="2" t="inlineStr"/>
    </row>
    <row r="328" ht="15" customHeight="1">
      <c r="A328" t="inlineStr">
        <is>
          <t>A 46428-2025</t>
        </is>
      </c>
      <c r="B328" s="1" t="n">
        <v>45925.60758101852</v>
      </c>
      <c r="C328" s="1" t="n">
        <v>46090</v>
      </c>
      <c r="D328" t="inlineStr">
        <is>
          <t>ÖSTERGÖTLANDS LÄN</t>
        </is>
      </c>
      <c r="E328" t="inlineStr">
        <is>
          <t>LINKÖPING</t>
        </is>
      </c>
      <c r="G328" t="n">
        <v>3</v>
      </c>
      <c r="H328" t="n">
        <v>0</v>
      </c>
      <c r="I328" t="n">
        <v>0</v>
      </c>
      <c r="J328" t="n">
        <v>0</v>
      </c>
      <c r="K328" t="n">
        <v>0</v>
      </c>
      <c r="L328" t="n">
        <v>0</v>
      </c>
      <c r="M328" t="n">
        <v>0</v>
      </c>
      <c r="N328" t="n">
        <v>0</v>
      </c>
      <c r="O328" t="n">
        <v>0</v>
      </c>
      <c r="P328" t="n">
        <v>0</v>
      </c>
      <c r="Q328" t="n">
        <v>0</v>
      </c>
      <c r="R328" s="2" t="inlineStr"/>
    </row>
    <row r="329" ht="15" customHeight="1">
      <c r="A329" t="inlineStr">
        <is>
          <t>A 46377-2025</t>
        </is>
      </c>
      <c r="B329" s="1" t="n">
        <v>45925.51773148148</v>
      </c>
      <c r="C329" s="1" t="n">
        <v>46090</v>
      </c>
      <c r="D329" t="inlineStr">
        <is>
          <t>ÖSTERGÖTLANDS LÄN</t>
        </is>
      </c>
      <c r="E329" t="inlineStr">
        <is>
          <t>LINKÖPING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27766-2022</t>
        </is>
      </c>
      <c r="B330" s="1" t="n">
        <v>44743.53112268518</v>
      </c>
      <c r="C330" s="1" t="n">
        <v>46090</v>
      </c>
      <c r="D330" t="inlineStr">
        <is>
          <t>ÖSTERGÖTLANDS LÄN</t>
        </is>
      </c>
      <c r="E330" t="inlineStr">
        <is>
          <t>LINKÖPING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53641-2023</t>
        </is>
      </c>
      <c r="B331" s="1" t="n">
        <v>45230</v>
      </c>
      <c r="C331" s="1" t="n">
        <v>46090</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33000-2023</t>
        </is>
      </c>
      <c r="B332" s="1" t="n">
        <v>45125</v>
      </c>
      <c r="C332" s="1" t="n">
        <v>46090</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52892-2024</t>
        </is>
      </c>
      <c r="B333" s="1" t="n">
        <v>45610</v>
      </c>
      <c r="C333" s="1" t="n">
        <v>46090</v>
      </c>
      <c r="D333" t="inlineStr">
        <is>
          <t>ÖSTERGÖTLANDS LÄN</t>
        </is>
      </c>
      <c r="E333" t="inlineStr">
        <is>
          <t>LINKÖPING</t>
        </is>
      </c>
      <c r="G333" t="n">
        <v>4.2</v>
      </c>
      <c r="H333" t="n">
        <v>0</v>
      </c>
      <c r="I333" t="n">
        <v>0</v>
      </c>
      <c r="J333" t="n">
        <v>0</v>
      </c>
      <c r="K333" t="n">
        <v>0</v>
      </c>
      <c r="L333" t="n">
        <v>0</v>
      </c>
      <c r="M333" t="n">
        <v>0</v>
      </c>
      <c r="N333" t="n">
        <v>0</v>
      </c>
      <c r="O333" t="n">
        <v>0</v>
      </c>
      <c r="P333" t="n">
        <v>0</v>
      </c>
      <c r="Q333" t="n">
        <v>0</v>
      </c>
      <c r="R333" s="2" t="inlineStr"/>
    </row>
    <row r="334" ht="15" customHeight="1">
      <c r="A334" t="inlineStr">
        <is>
          <t>A 32723-2025</t>
        </is>
      </c>
      <c r="B334" s="1" t="n">
        <v>45838</v>
      </c>
      <c r="C334" s="1" t="n">
        <v>46090</v>
      </c>
      <c r="D334" t="inlineStr">
        <is>
          <t>ÖSTERGÖTLANDS LÄN</t>
        </is>
      </c>
      <c r="E334" t="inlineStr">
        <is>
          <t>LINKÖPING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46847-2025</t>
        </is>
      </c>
      <c r="B335" s="1" t="n">
        <v>45928.69971064815</v>
      </c>
      <c r="C335" s="1" t="n">
        <v>46090</v>
      </c>
      <c r="D335" t="inlineStr">
        <is>
          <t>ÖSTERGÖTLANDS LÄN</t>
        </is>
      </c>
      <c r="E335" t="inlineStr">
        <is>
          <t>LINKÖPING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47233-2025</t>
        </is>
      </c>
      <c r="B336" s="1" t="n">
        <v>45930.40612268518</v>
      </c>
      <c r="C336" s="1" t="n">
        <v>46090</v>
      </c>
      <c r="D336" t="inlineStr">
        <is>
          <t>ÖSTERGÖTLANDS LÄN</t>
        </is>
      </c>
      <c r="E336" t="inlineStr">
        <is>
          <t>LINKÖPING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30521-2024</t>
        </is>
      </c>
      <c r="B337" s="1" t="n">
        <v>45492</v>
      </c>
      <c r="C337" s="1" t="n">
        <v>46090</v>
      </c>
      <c r="D337" t="inlineStr">
        <is>
          <t>ÖSTERGÖTLANDS LÄN</t>
        </is>
      </c>
      <c r="E337" t="inlineStr">
        <is>
          <t>LINKÖPING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51191-2022</t>
        </is>
      </c>
      <c r="B338" s="1" t="n">
        <v>44865</v>
      </c>
      <c r="C338" s="1" t="n">
        <v>46090</v>
      </c>
      <c r="D338" t="inlineStr">
        <is>
          <t>ÖSTERGÖTLANDS LÄN</t>
        </is>
      </c>
      <c r="E338" t="inlineStr">
        <is>
          <t>LINKÖPING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47606-2025</t>
        </is>
      </c>
      <c r="B339" s="1" t="n">
        <v>45931.46402777778</v>
      </c>
      <c r="C339" s="1" t="n">
        <v>46090</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47304-2025</t>
        </is>
      </c>
      <c r="B340" s="1" t="n">
        <v>45930.52037037037</v>
      </c>
      <c r="C340" s="1" t="n">
        <v>46090</v>
      </c>
      <c r="D340" t="inlineStr">
        <is>
          <t>ÖSTERGÖTLANDS LÄN</t>
        </is>
      </c>
      <c r="E340" t="inlineStr">
        <is>
          <t>LINKÖPING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12289-2025</t>
        </is>
      </c>
      <c r="B341" s="1" t="n">
        <v>45729</v>
      </c>
      <c r="C341" s="1" t="n">
        <v>46090</v>
      </c>
      <c r="D341" t="inlineStr">
        <is>
          <t>ÖSTERGÖTLANDS LÄN</t>
        </is>
      </c>
      <c r="E341" t="inlineStr">
        <is>
          <t>LINKÖPING</t>
        </is>
      </c>
      <c r="F341" t="inlineStr">
        <is>
          <t>Övriga statliga verk och myndigheter</t>
        </is>
      </c>
      <c r="G341" t="n">
        <v>6.5</v>
      </c>
      <c r="H341" t="n">
        <v>0</v>
      </c>
      <c r="I341" t="n">
        <v>0</v>
      </c>
      <c r="J341" t="n">
        <v>0</v>
      </c>
      <c r="K341" t="n">
        <v>0</v>
      </c>
      <c r="L341" t="n">
        <v>0</v>
      </c>
      <c r="M341" t="n">
        <v>0</v>
      </c>
      <c r="N341" t="n">
        <v>0</v>
      </c>
      <c r="O341" t="n">
        <v>0</v>
      </c>
      <c r="P341" t="n">
        <v>0</v>
      </c>
      <c r="Q341" t="n">
        <v>0</v>
      </c>
      <c r="R341" s="2" t="inlineStr"/>
    </row>
    <row r="342" ht="15" customHeight="1">
      <c r="A342" t="inlineStr">
        <is>
          <t>A 9434-2024</t>
        </is>
      </c>
      <c r="B342" s="1" t="n">
        <v>45359</v>
      </c>
      <c r="C342" s="1" t="n">
        <v>46090</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42054-2022</t>
        </is>
      </c>
      <c r="B343" s="1" t="n">
        <v>44830</v>
      </c>
      <c r="C343" s="1" t="n">
        <v>46090</v>
      </c>
      <c r="D343" t="inlineStr">
        <is>
          <t>ÖSTERGÖTLANDS LÄN</t>
        </is>
      </c>
      <c r="E343" t="inlineStr">
        <is>
          <t>LINKÖPING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50182-2023</t>
        </is>
      </c>
      <c r="B344" s="1" t="n">
        <v>45208</v>
      </c>
      <c r="C344" s="1" t="n">
        <v>46090</v>
      </c>
      <c r="D344" t="inlineStr">
        <is>
          <t>ÖSTERGÖTLANDS LÄN</t>
        </is>
      </c>
      <c r="E344" t="inlineStr">
        <is>
          <t>LINKÖPING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33947-2025</t>
        </is>
      </c>
      <c r="B345" s="1" t="n">
        <v>45842.65444444444</v>
      </c>
      <c r="C345" s="1" t="n">
        <v>46090</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53529-2024</t>
        </is>
      </c>
      <c r="B346" s="1" t="n">
        <v>45614</v>
      </c>
      <c r="C346" s="1" t="n">
        <v>46090</v>
      </c>
      <c r="D346" t="inlineStr">
        <is>
          <t>ÖSTERGÖTLANDS LÄN</t>
        </is>
      </c>
      <c r="E346" t="inlineStr">
        <is>
          <t>LINKÖPING</t>
        </is>
      </c>
      <c r="G346" t="n">
        <v>6.7</v>
      </c>
      <c r="H346" t="n">
        <v>0</v>
      </c>
      <c r="I346" t="n">
        <v>0</v>
      </c>
      <c r="J346" t="n">
        <v>0</v>
      </c>
      <c r="K346" t="n">
        <v>0</v>
      </c>
      <c r="L346" t="n">
        <v>0</v>
      </c>
      <c r="M346" t="n">
        <v>0</v>
      </c>
      <c r="N346" t="n">
        <v>0</v>
      </c>
      <c r="O346" t="n">
        <v>0</v>
      </c>
      <c r="P346" t="n">
        <v>0</v>
      </c>
      <c r="Q346" t="n">
        <v>0</v>
      </c>
      <c r="R346" s="2" t="inlineStr"/>
    </row>
    <row r="347" ht="15" customHeight="1">
      <c r="A347" t="inlineStr">
        <is>
          <t>A 62012-2024</t>
        </is>
      </c>
      <c r="B347" s="1" t="n">
        <v>45655.79679398148</v>
      </c>
      <c r="C347" s="1" t="n">
        <v>46090</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48343-2025</t>
        </is>
      </c>
      <c r="B348" s="1" t="n">
        <v>45932</v>
      </c>
      <c r="C348" s="1" t="n">
        <v>46090</v>
      </c>
      <c r="D348" t="inlineStr">
        <is>
          <t>ÖSTERGÖTLANDS LÄN</t>
        </is>
      </c>
      <c r="E348" t="inlineStr">
        <is>
          <t>LINKÖPING</t>
        </is>
      </c>
      <c r="F348" t="inlineStr">
        <is>
          <t>Övriga Aktiebolag</t>
        </is>
      </c>
      <c r="G348" t="n">
        <v>2</v>
      </c>
      <c r="H348" t="n">
        <v>0</v>
      </c>
      <c r="I348" t="n">
        <v>0</v>
      </c>
      <c r="J348" t="n">
        <v>0</v>
      </c>
      <c r="K348" t="n">
        <v>0</v>
      </c>
      <c r="L348" t="n">
        <v>0</v>
      </c>
      <c r="M348" t="n">
        <v>0</v>
      </c>
      <c r="N348" t="n">
        <v>0</v>
      </c>
      <c r="O348" t="n">
        <v>0</v>
      </c>
      <c r="P348" t="n">
        <v>0</v>
      </c>
      <c r="Q348" t="n">
        <v>0</v>
      </c>
      <c r="R348" s="2" t="inlineStr"/>
    </row>
    <row r="349" ht="15" customHeight="1">
      <c r="A349" t="inlineStr">
        <is>
          <t>A 48266-2025</t>
        </is>
      </c>
      <c r="B349" s="1" t="n">
        <v>45932</v>
      </c>
      <c r="C349" s="1" t="n">
        <v>46090</v>
      </c>
      <c r="D349" t="inlineStr">
        <is>
          <t>ÖSTERGÖTLANDS LÄN</t>
        </is>
      </c>
      <c r="E349" t="inlineStr">
        <is>
          <t>LINKÖPING</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35781-2023</t>
        </is>
      </c>
      <c r="B350" s="1" t="n">
        <v>45147</v>
      </c>
      <c r="C350" s="1" t="n">
        <v>46090</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20469-2025</t>
        </is>
      </c>
      <c r="B351" s="1" t="n">
        <v>45775</v>
      </c>
      <c r="C351" s="1" t="n">
        <v>46090</v>
      </c>
      <c r="D351" t="inlineStr">
        <is>
          <t>ÖSTERGÖTLANDS LÄN</t>
        </is>
      </c>
      <c r="E351" t="inlineStr">
        <is>
          <t>LINKÖPING</t>
        </is>
      </c>
      <c r="F351" t="inlineStr">
        <is>
          <t>Kyrkan</t>
        </is>
      </c>
      <c r="G351" t="n">
        <v>6.1</v>
      </c>
      <c r="H351" t="n">
        <v>0</v>
      </c>
      <c r="I351" t="n">
        <v>0</v>
      </c>
      <c r="J351" t="n">
        <v>0</v>
      </c>
      <c r="K351" t="n">
        <v>0</v>
      </c>
      <c r="L351" t="n">
        <v>0</v>
      </c>
      <c r="M351" t="n">
        <v>0</v>
      </c>
      <c r="N351" t="n">
        <v>0</v>
      </c>
      <c r="O351" t="n">
        <v>0</v>
      </c>
      <c r="P351" t="n">
        <v>0</v>
      </c>
      <c r="Q351" t="n">
        <v>0</v>
      </c>
      <c r="R351" s="2" t="inlineStr"/>
    </row>
    <row r="352" ht="15" customHeight="1">
      <c r="A352" t="inlineStr">
        <is>
          <t>A 6387-2022</t>
        </is>
      </c>
      <c r="B352" s="1" t="n">
        <v>44600</v>
      </c>
      <c r="C352" s="1" t="n">
        <v>46090</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48707-2023</t>
        </is>
      </c>
      <c r="B353" s="1" t="n">
        <v>45202</v>
      </c>
      <c r="C353" s="1" t="n">
        <v>46090</v>
      </c>
      <c r="D353" t="inlineStr">
        <is>
          <t>ÖSTERGÖTLANDS LÄN</t>
        </is>
      </c>
      <c r="E353" t="inlineStr">
        <is>
          <t>LINKÖPING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48254-2025</t>
        </is>
      </c>
      <c r="B354" s="1" t="n">
        <v>45932</v>
      </c>
      <c r="C354" s="1" t="n">
        <v>46090</v>
      </c>
      <c r="D354" t="inlineStr">
        <is>
          <t>ÖSTERGÖTLANDS LÄN</t>
        </is>
      </c>
      <c r="E354" t="inlineStr">
        <is>
          <t>LINKÖPING</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33800-2023</t>
        </is>
      </c>
      <c r="B355" s="1" t="n">
        <v>45121</v>
      </c>
      <c r="C355" s="1" t="n">
        <v>46090</v>
      </c>
      <c r="D355" t="inlineStr">
        <is>
          <t>ÖSTERGÖTLANDS LÄN</t>
        </is>
      </c>
      <c r="E355" t="inlineStr">
        <is>
          <t>LINKÖPING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12089-2025</t>
        </is>
      </c>
      <c r="B356" s="1" t="n">
        <v>45729</v>
      </c>
      <c r="C356" s="1" t="n">
        <v>46090</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26007-2025</t>
        </is>
      </c>
      <c r="B357" s="1" t="n">
        <v>45804.67081018518</v>
      </c>
      <c r="C357" s="1" t="n">
        <v>46090</v>
      </c>
      <c r="D357" t="inlineStr">
        <is>
          <t>ÖSTERGÖTLANDS LÄN</t>
        </is>
      </c>
      <c r="E357" t="inlineStr">
        <is>
          <t>LINKÖPING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35174-2025</t>
        </is>
      </c>
      <c r="B358" s="1" t="n">
        <v>45852.90648148148</v>
      </c>
      <c r="C358" s="1" t="n">
        <v>46090</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15658-2023</t>
        </is>
      </c>
      <c r="B359" s="1" t="n">
        <v>45021.41194444444</v>
      </c>
      <c r="C359" s="1" t="n">
        <v>46090</v>
      </c>
      <c r="D359" t="inlineStr">
        <is>
          <t>ÖSTERGÖTLANDS LÄN</t>
        </is>
      </c>
      <c r="E359" t="inlineStr">
        <is>
          <t>LINKÖPING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49455-2025</t>
        </is>
      </c>
      <c r="B360" s="1" t="n">
        <v>45938</v>
      </c>
      <c r="C360" s="1" t="n">
        <v>46090</v>
      </c>
      <c r="D360" t="inlineStr">
        <is>
          <t>ÖSTERGÖTLANDS LÄN</t>
        </is>
      </c>
      <c r="E360" t="inlineStr">
        <is>
          <t>LINKÖPING</t>
        </is>
      </c>
      <c r="F360" t="inlineStr">
        <is>
          <t>Övriga Aktiebolag</t>
        </is>
      </c>
      <c r="G360" t="n">
        <v>5.9</v>
      </c>
      <c r="H360" t="n">
        <v>0</v>
      </c>
      <c r="I360" t="n">
        <v>0</v>
      </c>
      <c r="J360" t="n">
        <v>0</v>
      </c>
      <c r="K360" t="n">
        <v>0</v>
      </c>
      <c r="L360" t="n">
        <v>0</v>
      </c>
      <c r="M360" t="n">
        <v>0</v>
      </c>
      <c r="N360" t="n">
        <v>0</v>
      </c>
      <c r="O360" t="n">
        <v>0</v>
      </c>
      <c r="P360" t="n">
        <v>0</v>
      </c>
      <c r="Q360" t="n">
        <v>0</v>
      </c>
      <c r="R360" s="2" t="inlineStr"/>
    </row>
    <row r="361" ht="15" customHeight="1">
      <c r="A361" t="inlineStr">
        <is>
          <t>A 47991-2023</t>
        </is>
      </c>
      <c r="B361" s="1" t="n">
        <v>45204.62655092592</v>
      </c>
      <c r="C361" s="1" t="n">
        <v>46090</v>
      </c>
      <c r="D361" t="inlineStr">
        <is>
          <t>ÖSTERGÖTLANDS LÄN</t>
        </is>
      </c>
      <c r="E361" t="inlineStr">
        <is>
          <t>LINKÖPING</t>
        </is>
      </c>
      <c r="F361" t="inlineStr">
        <is>
          <t>Allmännings- och besparingsskogar</t>
        </is>
      </c>
      <c r="G361" t="n">
        <v>7.3</v>
      </c>
      <c r="H361" t="n">
        <v>0</v>
      </c>
      <c r="I361" t="n">
        <v>0</v>
      </c>
      <c r="J361" t="n">
        <v>0</v>
      </c>
      <c r="K361" t="n">
        <v>0</v>
      </c>
      <c r="L361" t="n">
        <v>0</v>
      </c>
      <c r="M361" t="n">
        <v>0</v>
      </c>
      <c r="N361" t="n">
        <v>0</v>
      </c>
      <c r="O361" t="n">
        <v>0</v>
      </c>
      <c r="P361" t="n">
        <v>0</v>
      </c>
      <c r="Q361" t="n">
        <v>0</v>
      </c>
      <c r="R361" s="2" t="inlineStr"/>
    </row>
    <row r="362" ht="15" customHeight="1">
      <c r="A362" t="inlineStr">
        <is>
          <t>A 35179-2025</t>
        </is>
      </c>
      <c r="B362" s="1" t="n">
        <v>45852.93737268518</v>
      </c>
      <c r="C362" s="1" t="n">
        <v>46090</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35180-2025</t>
        </is>
      </c>
      <c r="B363" s="1" t="n">
        <v>45852.9413425926</v>
      </c>
      <c r="C363" s="1" t="n">
        <v>46090</v>
      </c>
      <c r="D363" t="inlineStr">
        <is>
          <t>ÖSTERGÖTLANDS LÄN</t>
        </is>
      </c>
      <c r="E363" t="inlineStr">
        <is>
          <t>LINKÖPING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35178-2025</t>
        </is>
      </c>
      <c r="B364" s="1" t="n">
        <v>45852.91939814815</v>
      </c>
      <c r="C364" s="1" t="n">
        <v>46090</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49605-2025</t>
        </is>
      </c>
      <c r="B365" s="1" t="n">
        <v>45938</v>
      </c>
      <c r="C365" s="1" t="n">
        <v>46090</v>
      </c>
      <c r="D365" t="inlineStr">
        <is>
          <t>ÖSTERGÖTLANDS LÄN</t>
        </is>
      </c>
      <c r="E365" t="inlineStr">
        <is>
          <t>LINKÖPING</t>
        </is>
      </c>
      <c r="F365" t="inlineStr">
        <is>
          <t>Övriga Aktiebolag</t>
        </is>
      </c>
      <c r="G365" t="n">
        <v>3.3</v>
      </c>
      <c r="H365" t="n">
        <v>0</v>
      </c>
      <c r="I365" t="n">
        <v>0</v>
      </c>
      <c r="J365" t="n">
        <v>0</v>
      </c>
      <c r="K365" t="n">
        <v>0</v>
      </c>
      <c r="L365" t="n">
        <v>0</v>
      </c>
      <c r="M365" t="n">
        <v>0</v>
      </c>
      <c r="N365" t="n">
        <v>0</v>
      </c>
      <c r="O365" t="n">
        <v>0</v>
      </c>
      <c r="P365" t="n">
        <v>0</v>
      </c>
      <c r="Q365" t="n">
        <v>0</v>
      </c>
      <c r="R365" s="2" t="inlineStr"/>
    </row>
    <row r="366" ht="15" customHeight="1">
      <c r="A366" t="inlineStr">
        <is>
          <t>A 49663-2025</t>
        </is>
      </c>
      <c r="B366" s="1" t="n">
        <v>45938</v>
      </c>
      <c r="C366" s="1" t="n">
        <v>46090</v>
      </c>
      <c r="D366" t="inlineStr">
        <is>
          <t>ÖSTERGÖTLANDS LÄN</t>
        </is>
      </c>
      <c r="E366" t="inlineStr">
        <is>
          <t>LINKÖPING</t>
        </is>
      </c>
      <c r="F366" t="inlineStr">
        <is>
          <t>Övriga Aktiebolag</t>
        </is>
      </c>
      <c r="G366" t="n">
        <v>1.2</v>
      </c>
      <c r="H366" t="n">
        <v>0</v>
      </c>
      <c r="I366" t="n">
        <v>0</v>
      </c>
      <c r="J366" t="n">
        <v>0</v>
      </c>
      <c r="K366" t="n">
        <v>0</v>
      </c>
      <c r="L366" t="n">
        <v>0</v>
      </c>
      <c r="M366" t="n">
        <v>0</v>
      </c>
      <c r="N366" t="n">
        <v>0</v>
      </c>
      <c r="O366" t="n">
        <v>0</v>
      </c>
      <c r="P366" t="n">
        <v>0</v>
      </c>
      <c r="Q366" t="n">
        <v>0</v>
      </c>
      <c r="R366" s="2" t="inlineStr"/>
    </row>
    <row r="367" ht="15" customHeight="1">
      <c r="A367" t="inlineStr">
        <is>
          <t>A 51583-2024</t>
        </is>
      </c>
      <c r="B367" s="1" t="n">
        <v>45604.6397337963</v>
      </c>
      <c r="C367" s="1" t="n">
        <v>46090</v>
      </c>
      <c r="D367" t="inlineStr">
        <is>
          <t>ÖSTERGÖTLANDS LÄN</t>
        </is>
      </c>
      <c r="E367" t="inlineStr">
        <is>
          <t>LINKÖPING</t>
        </is>
      </c>
      <c r="F367" t="inlineStr">
        <is>
          <t>Övriga Aktiebolag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49632-2025</t>
        </is>
      </c>
      <c r="B368" s="1" t="n">
        <v>45938</v>
      </c>
      <c r="C368" s="1" t="n">
        <v>46090</v>
      </c>
      <c r="D368" t="inlineStr">
        <is>
          <t>ÖSTERGÖTLANDS LÄN</t>
        </is>
      </c>
      <c r="E368" t="inlineStr">
        <is>
          <t>LINKÖPING</t>
        </is>
      </c>
      <c r="F368" t="inlineStr">
        <is>
          <t>Övriga Aktiebolag</t>
        </is>
      </c>
      <c r="G368" t="n">
        <v>1.6</v>
      </c>
      <c r="H368" t="n">
        <v>0</v>
      </c>
      <c r="I368" t="n">
        <v>0</v>
      </c>
      <c r="J368" t="n">
        <v>0</v>
      </c>
      <c r="K368" t="n">
        <v>0</v>
      </c>
      <c r="L368" t="n">
        <v>0</v>
      </c>
      <c r="M368" t="n">
        <v>0</v>
      </c>
      <c r="N368" t="n">
        <v>0</v>
      </c>
      <c r="O368" t="n">
        <v>0</v>
      </c>
      <c r="P368" t="n">
        <v>0</v>
      </c>
      <c r="Q368" t="n">
        <v>0</v>
      </c>
      <c r="R368" s="2" t="inlineStr"/>
    </row>
    <row r="369" ht="15" customHeight="1">
      <c r="A369" t="inlineStr">
        <is>
          <t>A 49647-2025</t>
        </is>
      </c>
      <c r="B369" s="1" t="n">
        <v>45938</v>
      </c>
      <c r="C369" s="1" t="n">
        <v>46090</v>
      </c>
      <c r="D369" t="inlineStr">
        <is>
          <t>ÖSTERGÖTLANDS LÄN</t>
        </is>
      </c>
      <c r="E369" t="inlineStr">
        <is>
          <t>LINKÖPING</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49652-2025</t>
        </is>
      </c>
      <c r="B370" s="1" t="n">
        <v>45938</v>
      </c>
      <c r="C370" s="1" t="n">
        <v>46090</v>
      </c>
      <c r="D370" t="inlineStr">
        <is>
          <t>ÖSTERGÖTLANDS LÄN</t>
        </is>
      </c>
      <c r="E370" t="inlineStr">
        <is>
          <t>LINKÖPING</t>
        </is>
      </c>
      <c r="F370" t="inlineStr">
        <is>
          <t>Övriga Aktiebolag</t>
        </is>
      </c>
      <c r="G370" t="n">
        <v>1.8</v>
      </c>
      <c r="H370" t="n">
        <v>0</v>
      </c>
      <c r="I370" t="n">
        <v>0</v>
      </c>
      <c r="J370" t="n">
        <v>0</v>
      </c>
      <c r="K370" t="n">
        <v>0</v>
      </c>
      <c r="L370" t="n">
        <v>0</v>
      </c>
      <c r="M370" t="n">
        <v>0</v>
      </c>
      <c r="N370" t="n">
        <v>0</v>
      </c>
      <c r="O370" t="n">
        <v>0</v>
      </c>
      <c r="P370" t="n">
        <v>0</v>
      </c>
      <c r="Q370" t="n">
        <v>0</v>
      </c>
      <c r="R370" s="2" t="inlineStr"/>
    </row>
    <row r="371" ht="15" customHeight="1">
      <c r="A371" t="inlineStr">
        <is>
          <t>A 49654-2025</t>
        </is>
      </c>
      <c r="B371" s="1" t="n">
        <v>45938</v>
      </c>
      <c r="C371" s="1" t="n">
        <v>46090</v>
      </c>
      <c r="D371" t="inlineStr">
        <is>
          <t>ÖSTERGÖTLANDS LÄN</t>
        </is>
      </c>
      <c r="E371" t="inlineStr">
        <is>
          <t>LINKÖPING</t>
        </is>
      </c>
      <c r="F371" t="inlineStr">
        <is>
          <t>Övriga Aktiebolag</t>
        </is>
      </c>
      <c r="G371" t="n">
        <v>3.1</v>
      </c>
      <c r="H371" t="n">
        <v>0</v>
      </c>
      <c r="I371" t="n">
        <v>0</v>
      </c>
      <c r="J371" t="n">
        <v>0</v>
      </c>
      <c r="K371" t="n">
        <v>0</v>
      </c>
      <c r="L371" t="n">
        <v>0</v>
      </c>
      <c r="M371" t="n">
        <v>0</v>
      </c>
      <c r="N371" t="n">
        <v>0</v>
      </c>
      <c r="O371" t="n">
        <v>0</v>
      </c>
      <c r="P371" t="n">
        <v>0</v>
      </c>
      <c r="Q371" t="n">
        <v>0</v>
      </c>
      <c r="R371" s="2" t="inlineStr"/>
    </row>
    <row r="372" ht="15" customHeight="1">
      <c r="A372" t="inlineStr">
        <is>
          <t>A 64694-2023</t>
        </is>
      </c>
      <c r="B372" s="1" t="n">
        <v>45281</v>
      </c>
      <c r="C372" s="1" t="n">
        <v>46090</v>
      </c>
      <c r="D372" t="inlineStr">
        <is>
          <t>ÖSTERGÖTLANDS LÄN</t>
        </is>
      </c>
      <c r="E372" t="inlineStr">
        <is>
          <t>LINKÖPING</t>
        </is>
      </c>
      <c r="F372" t="inlineStr">
        <is>
          <t>Övriga statliga verk och myndigheter</t>
        </is>
      </c>
      <c r="G372" t="n">
        <v>4.9</v>
      </c>
      <c r="H372" t="n">
        <v>0</v>
      </c>
      <c r="I372" t="n">
        <v>0</v>
      </c>
      <c r="J372" t="n">
        <v>0</v>
      </c>
      <c r="K372" t="n">
        <v>0</v>
      </c>
      <c r="L372" t="n">
        <v>0</v>
      </c>
      <c r="M372" t="n">
        <v>0</v>
      </c>
      <c r="N372" t="n">
        <v>0</v>
      </c>
      <c r="O372" t="n">
        <v>0</v>
      </c>
      <c r="P372" t="n">
        <v>0</v>
      </c>
      <c r="Q372" t="n">
        <v>0</v>
      </c>
      <c r="R372" s="2" t="inlineStr"/>
    </row>
    <row r="373" ht="15" customHeight="1">
      <c r="A373" t="inlineStr">
        <is>
          <t>A 32602-2022</t>
        </is>
      </c>
      <c r="B373" s="1" t="n">
        <v>44783.43192129629</v>
      </c>
      <c r="C373" s="1" t="n">
        <v>46090</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49615-2025</t>
        </is>
      </c>
      <c r="B374" s="1" t="n">
        <v>45938</v>
      </c>
      <c r="C374" s="1" t="n">
        <v>46090</v>
      </c>
      <c r="D374" t="inlineStr">
        <is>
          <t>ÖSTERGÖTLANDS LÄN</t>
        </is>
      </c>
      <c r="E374" t="inlineStr">
        <is>
          <t>LINKÖPING</t>
        </is>
      </c>
      <c r="F374" t="inlineStr">
        <is>
          <t>Övriga Aktiebolag</t>
        </is>
      </c>
      <c r="G374" t="n">
        <v>1.6</v>
      </c>
      <c r="H374" t="n">
        <v>0</v>
      </c>
      <c r="I374" t="n">
        <v>0</v>
      </c>
      <c r="J374" t="n">
        <v>0</v>
      </c>
      <c r="K374" t="n">
        <v>0</v>
      </c>
      <c r="L374" t="n">
        <v>0</v>
      </c>
      <c r="M374" t="n">
        <v>0</v>
      </c>
      <c r="N374" t="n">
        <v>0</v>
      </c>
      <c r="O374" t="n">
        <v>0</v>
      </c>
      <c r="P374" t="n">
        <v>0</v>
      </c>
      <c r="Q374" t="n">
        <v>0</v>
      </c>
      <c r="R374" s="2" t="inlineStr"/>
    </row>
    <row r="375" ht="15" customHeight="1">
      <c r="A375" t="inlineStr">
        <is>
          <t>A 49619-2025</t>
        </is>
      </c>
      <c r="B375" s="1" t="n">
        <v>45938</v>
      </c>
      <c r="C375" s="1" t="n">
        <v>46090</v>
      </c>
      <c r="D375" t="inlineStr">
        <is>
          <t>ÖSTERGÖTLANDS LÄN</t>
        </is>
      </c>
      <c r="E375" t="inlineStr">
        <is>
          <t>LINKÖPING</t>
        </is>
      </c>
      <c r="F375" t="inlineStr">
        <is>
          <t>Övriga Aktiebolag</t>
        </is>
      </c>
      <c r="G375" t="n">
        <v>2.3</v>
      </c>
      <c r="H375" t="n">
        <v>0</v>
      </c>
      <c r="I375" t="n">
        <v>0</v>
      </c>
      <c r="J375" t="n">
        <v>0</v>
      </c>
      <c r="K375" t="n">
        <v>0</v>
      </c>
      <c r="L375" t="n">
        <v>0</v>
      </c>
      <c r="M375" t="n">
        <v>0</v>
      </c>
      <c r="N375" t="n">
        <v>0</v>
      </c>
      <c r="O375" t="n">
        <v>0</v>
      </c>
      <c r="P375" t="n">
        <v>0</v>
      </c>
      <c r="Q375" t="n">
        <v>0</v>
      </c>
      <c r="R375" s="2" t="inlineStr"/>
    </row>
    <row r="376" ht="15" customHeight="1">
      <c r="A376" t="inlineStr">
        <is>
          <t>A 49629-2025</t>
        </is>
      </c>
      <c r="B376" s="1" t="n">
        <v>45938</v>
      </c>
      <c r="C376" s="1" t="n">
        <v>46090</v>
      </c>
      <c r="D376" t="inlineStr">
        <is>
          <t>ÖSTERGÖTLANDS LÄN</t>
        </is>
      </c>
      <c r="E376" t="inlineStr">
        <is>
          <t>LINKÖPING</t>
        </is>
      </c>
      <c r="F376" t="inlineStr">
        <is>
          <t>Övriga Aktiebolag</t>
        </is>
      </c>
      <c r="G376" t="n">
        <v>4.5</v>
      </c>
      <c r="H376" t="n">
        <v>0</v>
      </c>
      <c r="I376" t="n">
        <v>0</v>
      </c>
      <c r="J376" t="n">
        <v>0</v>
      </c>
      <c r="K376" t="n">
        <v>0</v>
      </c>
      <c r="L376" t="n">
        <v>0</v>
      </c>
      <c r="M376" t="n">
        <v>0</v>
      </c>
      <c r="N376" t="n">
        <v>0</v>
      </c>
      <c r="O376" t="n">
        <v>0</v>
      </c>
      <c r="P376" t="n">
        <v>0</v>
      </c>
      <c r="Q376" t="n">
        <v>0</v>
      </c>
      <c r="R376" s="2" t="inlineStr"/>
    </row>
    <row r="377" ht="15" customHeight="1">
      <c r="A377" t="inlineStr">
        <is>
          <t>A 49650-2025</t>
        </is>
      </c>
      <c r="B377" s="1" t="n">
        <v>45938</v>
      </c>
      <c r="C377" s="1" t="n">
        <v>46090</v>
      </c>
      <c r="D377" t="inlineStr">
        <is>
          <t>ÖSTERGÖTLANDS LÄN</t>
        </is>
      </c>
      <c r="E377" t="inlineStr">
        <is>
          <t>LINKÖPING</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49633-2025</t>
        </is>
      </c>
      <c r="B378" s="1" t="n">
        <v>45938</v>
      </c>
      <c r="C378" s="1" t="n">
        <v>46090</v>
      </c>
      <c r="D378" t="inlineStr">
        <is>
          <t>ÖSTERGÖTLANDS LÄN</t>
        </is>
      </c>
      <c r="E378" t="inlineStr">
        <is>
          <t>LINKÖPING</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35757-2025</t>
        </is>
      </c>
      <c r="B379" s="1" t="n">
        <v>45860.59876157407</v>
      </c>
      <c r="C379" s="1" t="n">
        <v>46090</v>
      </c>
      <c r="D379" t="inlineStr">
        <is>
          <t>ÖSTERGÖTLANDS LÄN</t>
        </is>
      </c>
      <c r="E379" t="inlineStr">
        <is>
          <t>LINKÖPING</t>
        </is>
      </c>
      <c r="G379" t="n">
        <v>5.7</v>
      </c>
      <c r="H379" t="n">
        <v>0</v>
      </c>
      <c r="I379" t="n">
        <v>0</v>
      </c>
      <c r="J379" t="n">
        <v>0</v>
      </c>
      <c r="K379" t="n">
        <v>0</v>
      </c>
      <c r="L379" t="n">
        <v>0</v>
      </c>
      <c r="M379" t="n">
        <v>0</v>
      </c>
      <c r="N379" t="n">
        <v>0</v>
      </c>
      <c r="O379" t="n">
        <v>0</v>
      </c>
      <c r="P379" t="n">
        <v>0</v>
      </c>
      <c r="Q379" t="n">
        <v>0</v>
      </c>
      <c r="R379" s="2" t="inlineStr"/>
    </row>
    <row r="380" ht="15" customHeight="1">
      <c r="A380" t="inlineStr">
        <is>
          <t>A 35745-2025</t>
        </is>
      </c>
      <c r="B380" s="1" t="n">
        <v>45860.54739583333</v>
      </c>
      <c r="C380" s="1" t="n">
        <v>46090</v>
      </c>
      <c r="D380" t="inlineStr">
        <is>
          <t>ÖSTERGÖTLANDS LÄN</t>
        </is>
      </c>
      <c r="E380" t="inlineStr">
        <is>
          <t>LINKÖPING</t>
        </is>
      </c>
      <c r="G380" t="n">
        <v>4.4</v>
      </c>
      <c r="H380" t="n">
        <v>0</v>
      </c>
      <c r="I380" t="n">
        <v>0</v>
      </c>
      <c r="J380" t="n">
        <v>0</v>
      </c>
      <c r="K380" t="n">
        <v>0</v>
      </c>
      <c r="L380" t="n">
        <v>0</v>
      </c>
      <c r="M380" t="n">
        <v>0</v>
      </c>
      <c r="N380" t="n">
        <v>0</v>
      </c>
      <c r="O380" t="n">
        <v>0</v>
      </c>
      <c r="P380" t="n">
        <v>0</v>
      </c>
      <c r="Q380" t="n">
        <v>0</v>
      </c>
      <c r="R380" s="2" t="inlineStr"/>
    </row>
    <row r="381" ht="15" customHeight="1">
      <c r="A381" t="inlineStr">
        <is>
          <t>A 62321-2022</t>
        </is>
      </c>
      <c r="B381" s="1" t="n">
        <v>44916</v>
      </c>
      <c r="C381" s="1" t="n">
        <v>46090</v>
      </c>
      <c r="D381" t="inlineStr">
        <is>
          <t>ÖSTERGÖTLANDS LÄN</t>
        </is>
      </c>
      <c r="E381" t="inlineStr">
        <is>
          <t>LINKÖPING</t>
        </is>
      </c>
      <c r="F381" t="inlineStr">
        <is>
          <t>Kommuner</t>
        </is>
      </c>
      <c r="G381" t="n">
        <v>5.3</v>
      </c>
      <c r="H381" t="n">
        <v>0</v>
      </c>
      <c r="I381" t="n">
        <v>0</v>
      </c>
      <c r="J381" t="n">
        <v>0</v>
      </c>
      <c r="K381" t="n">
        <v>0</v>
      </c>
      <c r="L381" t="n">
        <v>0</v>
      </c>
      <c r="M381" t="n">
        <v>0</v>
      </c>
      <c r="N381" t="n">
        <v>0</v>
      </c>
      <c r="O381" t="n">
        <v>0</v>
      </c>
      <c r="P381" t="n">
        <v>0</v>
      </c>
      <c r="Q381" t="n">
        <v>0</v>
      </c>
      <c r="R381" s="2" t="inlineStr"/>
    </row>
    <row r="382" ht="15" customHeight="1">
      <c r="A382" t="inlineStr">
        <is>
          <t>A 35747-2025</t>
        </is>
      </c>
      <c r="B382" s="1" t="n">
        <v>45860.56385416666</v>
      </c>
      <c r="C382" s="1" t="n">
        <v>46090</v>
      </c>
      <c r="D382" t="inlineStr">
        <is>
          <t>ÖSTERGÖTLANDS LÄN</t>
        </is>
      </c>
      <c r="E382" t="inlineStr">
        <is>
          <t>LINKÖPING</t>
        </is>
      </c>
      <c r="G382" t="n">
        <v>2.4</v>
      </c>
      <c r="H382" t="n">
        <v>0</v>
      </c>
      <c r="I382" t="n">
        <v>0</v>
      </c>
      <c r="J382" t="n">
        <v>0</v>
      </c>
      <c r="K382" t="n">
        <v>0</v>
      </c>
      <c r="L382" t="n">
        <v>0</v>
      </c>
      <c r="M382" t="n">
        <v>0</v>
      </c>
      <c r="N382" t="n">
        <v>0</v>
      </c>
      <c r="O382" t="n">
        <v>0</v>
      </c>
      <c r="P382" t="n">
        <v>0</v>
      </c>
      <c r="Q382" t="n">
        <v>0</v>
      </c>
      <c r="R382" s="2" t="inlineStr"/>
    </row>
    <row r="383" ht="15" customHeight="1">
      <c r="A383" t="inlineStr">
        <is>
          <t>A 40983-2025</t>
        </is>
      </c>
      <c r="B383" s="1" t="n">
        <v>45898</v>
      </c>
      <c r="C383" s="1" t="n">
        <v>46090</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35759-2025</t>
        </is>
      </c>
      <c r="B384" s="1" t="n">
        <v>45860</v>
      </c>
      <c r="C384" s="1" t="n">
        <v>46090</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50056-2025</t>
        </is>
      </c>
      <c r="B385" s="1" t="n">
        <v>45941</v>
      </c>
      <c r="C385" s="1" t="n">
        <v>46090</v>
      </c>
      <c r="D385" t="inlineStr">
        <is>
          <t>ÖSTERGÖTLANDS LÄN</t>
        </is>
      </c>
      <c r="E385" t="inlineStr">
        <is>
          <t>LINKÖPING</t>
        </is>
      </c>
      <c r="G385" t="n">
        <v>0.3</v>
      </c>
      <c r="H385" t="n">
        <v>0</v>
      </c>
      <c r="I385" t="n">
        <v>0</v>
      </c>
      <c r="J385" t="n">
        <v>0</v>
      </c>
      <c r="K385" t="n">
        <v>0</v>
      </c>
      <c r="L385" t="n">
        <v>0</v>
      </c>
      <c r="M385" t="n">
        <v>0</v>
      </c>
      <c r="N385" t="n">
        <v>0</v>
      </c>
      <c r="O385" t="n">
        <v>0</v>
      </c>
      <c r="P385" t="n">
        <v>0</v>
      </c>
      <c r="Q385" t="n">
        <v>0</v>
      </c>
      <c r="R385" s="2" t="inlineStr"/>
    </row>
    <row r="386" ht="15" customHeight="1">
      <c r="A386" t="inlineStr">
        <is>
          <t>A 1084-2023</t>
        </is>
      </c>
      <c r="B386" s="1" t="n">
        <v>44929</v>
      </c>
      <c r="C386" s="1" t="n">
        <v>46090</v>
      </c>
      <c r="D386" t="inlineStr">
        <is>
          <t>ÖSTERGÖTLANDS LÄN</t>
        </is>
      </c>
      <c r="E386" t="inlineStr">
        <is>
          <t>LINKÖPING</t>
        </is>
      </c>
      <c r="G386" t="n">
        <v>10.4</v>
      </c>
      <c r="H386" t="n">
        <v>0</v>
      </c>
      <c r="I386" t="n">
        <v>0</v>
      </c>
      <c r="J386" t="n">
        <v>0</v>
      </c>
      <c r="K386" t="n">
        <v>0</v>
      </c>
      <c r="L386" t="n">
        <v>0</v>
      </c>
      <c r="M386" t="n">
        <v>0</v>
      </c>
      <c r="N386" t="n">
        <v>0</v>
      </c>
      <c r="O386" t="n">
        <v>0</v>
      </c>
      <c r="P386" t="n">
        <v>0</v>
      </c>
      <c r="Q386" t="n">
        <v>0</v>
      </c>
      <c r="R386" s="2" t="inlineStr"/>
    </row>
    <row r="387" ht="15" customHeight="1">
      <c r="A387" t="inlineStr">
        <is>
          <t>A 267-2023</t>
        </is>
      </c>
      <c r="B387" s="1" t="n">
        <v>44928.80907407407</v>
      </c>
      <c r="C387" s="1" t="n">
        <v>46090</v>
      </c>
      <c r="D387" t="inlineStr">
        <is>
          <t>ÖSTERGÖTLANDS LÄN</t>
        </is>
      </c>
      <c r="E387" t="inlineStr">
        <is>
          <t>LINKÖPING</t>
        </is>
      </c>
      <c r="G387" t="n">
        <v>2.7</v>
      </c>
      <c r="H387" t="n">
        <v>0</v>
      </c>
      <c r="I387" t="n">
        <v>0</v>
      </c>
      <c r="J387" t="n">
        <v>0</v>
      </c>
      <c r="K387" t="n">
        <v>0</v>
      </c>
      <c r="L387" t="n">
        <v>0</v>
      </c>
      <c r="M387" t="n">
        <v>0</v>
      </c>
      <c r="N387" t="n">
        <v>0</v>
      </c>
      <c r="O387" t="n">
        <v>0</v>
      </c>
      <c r="P387" t="n">
        <v>0</v>
      </c>
      <c r="Q387" t="n">
        <v>0</v>
      </c>
      <c r="R387" s="2" t="inlineStr"/>
    </row>
    <row r="388" ht="15" customHeight="1">
      <c r="A388" t="inlineStr">
        <is>
          <t>A 940-2023</t>
        </is>
      </c>
      <c r="B388" s="1" t="n">
        <v>44933</v>
      </c>
      <c r="C388" s="1" t="n">
        <v>46090</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50667-2025</t>
        </is>
      </c>
      <c r="B389" s="1" t="n">
        <v>45945</v>
      </c>
      <c r="C389" s="1" t="n">
        <v>46090</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6369-2023</t>
        </is>
      </c>
      <c r="B390" s="1" t="n">
        <v>44965.61106481482</v>
      </c>
      <c r="C390" s="1" t="n">
        <v>46090</v>
      </c>
      <c r="D390" t="inlineStr">
        <is>
          <t>ÖSTERGÖTLANDS LÄN</t>
        </is>
      </c>
      <c r="E390" t="inlineStr">
        <is>
          <t>LINKÖPING</t>
        </is>
      </c>
      <c r="G390" t="n">
        <v>4</v>
      </c>
      <c r="H390" t="n">
        <v>0</v>
      </c>
      <c r="I390" t="n">
        <v>0</v>
      </c>
      <c r="J390" t="n">
        <v>0</v>
      </c>
      <c r="K390" t="n">
        <v>0</v>
      </c>
      <c r="L390" t="n">
        <v>0</v>
      </c>
      <c r="M390" t="n">
        <v>0</v>
      </c>
      <c r="N390" t="n">
        <v>0</v>
      </c>
      <c r="O390" t="n">
        <v>0</v>
      </c>
      <c r="P390" t="n">
        <v>0</v>
      </c>
      <c r="Q390" t="n">
        <v>0</v>
      </c>
      <c r="R390" s="2" t="inlineStr"/>
    </row>
    <row r="391" ht="15" customHeight="1">
      <c r="A391" t="inlineStr">
        <is>
          <t>A 30980-2022</t>
        </is>
      </c>
      <c r="B391" s="1" t="n">
        <v>44768</v>
      </c>
      <c r="C391" s="1" t="n">
        <v>46090</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60007-2022</t>
        </is>
      </c>
      <c r="B392" s="1" t="n">
        <v>44909.47282407407</v>
      </c>
      <c r="C392" s="1" t="n">
        <v>46090</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50799-2022</t>
        </is>
      </c>
      <c r="B393" s="1" t="n">
        <v>44862</v>
      </c>
      <c r="C393" s="1" t="n">
        <v>46090</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56064-2022</t>
        </is>
      </c>
      <c r="B394" s="1" t="n">
        <v>44889.59107638889</v>
      </c>
      <c r="C394" s="1" t="n">
        <v>46090</v>
      </c>
      <c r="D394" t="inlineStr">
        <is>
          <t>ÖSTERGÖTLANDS LÄN</t>
        </is>
      </c>
      <c r="E394" t="inlineStr">
        <is>
          <t>LINKÖPING</t>
        </is>
      </c>
      <c r="F394" t="inlineStr">
        <is>
          <t>Sveaskog</t>
        </is>
      </c>
      <c r="G394" t="n">
        <v>2</v>
      </c>
      <c r="H394" t="n">
        <v>0</v>
      </c>
      <c r="I394" t="n">
        <v>0</v>
      </c>
      <c r="J394" t="n">
        <v>0</v>
      </c>
      <c r="K394" t="n">
        <v>0</v>
      </c>
      <c r="L394" t="n">
        <v>0</v>
      </c>
      <c r="M394" t="n">
        <v>0</v>
      </c>
      <c r="N394" t="n">
        <v>0</v>
      </c>
      <c r="O394" t="n">
        <v>0</v>
      </c>
      <c r="P394" t="n">
        <v>0</v>
      </c>
      <c r="Q394" t="n">
        <v>0</v>
      </c>
      <c r="R394" s="2" t="inlineStr"/>
    </row>
    <row r="395" ht="15" customHeight="1">
      <c r="A395" t="inlineStr">
        <is>
          <t>A 47703-2023</t>
        </is>
      </c>
      <c r="B395" s="1" t="n">
        <v>45203</v>
      </c>
      <c r="C395" s="1" t="n">
        <v>46090</v>
      </c>
      <c r="D395" t="inlineStr">
        <is>
          <t>ÖSTERGÖTLANDS LÄN</t>
        </is>
      </c>
      <c r="E395" t="inlineStr">
        <is>
          <t>LINKÖPING</t>
        </is>
      </c>
      <c r="G395" t="n">
        <v>4.1</v>
      </c>
      <c r="H395" t="n">
        <v>0</v>
      </c>
      <c r="I395" t="n">
        <v>0</v>
      </c>
      <c r="J395" t="n">
        <v>0</v>
      </c>
      <c r="K395" t="n">
        <v>0</v>
      </c>
      <c r="L395" t="n">
        <v>0</v>
      </c>
      <c r="M395" t="n">
        <v>0</v>
      </c>
      <c r="N395" t="n">
        <v>0</v>
      </c>
      <c r="O395" t="n">
        <v>0</v>
      </c>
      <c r="P395" t="n">
        <v>0</v>
      </c>
      <c r="Q395" t="n">
        <v>0</v>
      </c>
      <c r="R395" s="2" t="inlineStr"/>
    </row>
    <row r="396" ht="15" customHeight="1">
      <c r="A396" t="inlineStr">
        <is>
          <t>A 16111-2022</t>
        </is>
      </c>
      <c r="B396" s="1" t="n">
        <v>44665</v>
      </c>
      <c r="C396" s="1" t="n">
        <v>46090</v>
      </c>
      <c r="D396" t="inlineStr">
        <is>
          <t>ÖSTERGÖTLANDS LÄN</t>
        </is>
      </c>
      <c r="E396" t="inlineStr">
        <is>
          <t>LINKÖPING</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48962-2022</t>
        </is>
      </c>
      <c r="B397" s="1" t="n">
        <v>44860.31635416667</v>
      </c>
      <c r="C397" s="1" t="n">
        <v>46090</v>
      </c>
      <c r="D397" t="inlineStr">
        <is>
          <t>ÖSTERGÖTLANDS LÄN</t>
        </is>
      </c>
      <c r="E397" t="inlineStr">
        <is>
          <t>LINKÖPING</t>
        </is>
      </c>
      <c r="G397" t="n">
        <v>2.9</v>
      </c>
      <c r="H397" t="n">
        <v>0</v>
      </c>
      <c r="I397" t="n">
        <v>0</v>
      </c>
      <c r="J397" t="n">
        <v>0</v>
      </c>
      <c r="K397" t="n">
        <v>0</v>
      </c>
      <c r="L397" t="n">
        <v>0</v>
      </c>
      <c r="M397" t="n">
        <v>0</v>
      </c>
      <c r="N397" t="n">
        <v>0</v>
      </c>
      <c r="O397" t="n">
        <v>0</v>
      </c>
      <c r="P397" t="n">
        <v>0</v>
      </c>
      <c r="Q397" t="n">
        <v>0</v>
      </c>
      <c r="R397" s="2" t="inlineStr"/>
    </row>
    <row r="398" ht="15" customHeight="1">
      <c r="A398" t="inlineStr">
        <is>
          <t>A 27891-2021</t>
        </is>
      </c>
      <c r="B398" s="1" t="n">
        <v>44354.65108796296</v>
      </c>
      <c r="C398" s="1" t="n">
        <v>46090</v>
      </c>
      <c r="D398" t="inlineStr">
        <is>
          <t>ÖSTERGÖTLANDS LÄN</t>
        </is>
      </c>
      <c r="E398" t="inlineStr">
        <is>
          <t>LINKÖPING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1268-2023</t>
        </is>
      </c>
      <c r="B399" s="1" t="n">
        <v>44936</v>
      </c>
      <c r="C399" s="1" t="n">
        <v>46090</v>
      </c>
      <c r="D399" t="inlineStr">
        <is>
          <t>ÖSTERGÖTLANDS LÄN</t>
        </is>
      </c>
      <c r="E399" t="inlineStr">
        <is>
          <t>LINKÖPING</t>
        </is>
      </c>
      <c r="G399" t="n">
        <v>4.6</v>
      </c>
      <c r="H399" t="n">
        <v>0</v>
      </c>
      <c r="I399" t="n">
        <v>0</v>
      </c>
      <c r="J399" t="n">
        <v>0</v>
      </c>
      <c r="K399" t="n">
        <v>0</v>
      </c>
      <c r="L399" t="n">
        <v>0</v>
      </c>
      <c r="M399" t="n">
        <v>0</v>
      </c>
      <c r="N399" t="n">
        <v>0</v>
      </c>
      <c r="O399" t="n">
        <v>0</v>
      </c>
      <c r="P399" t="n">
        <v>0</v>
      </c>
      <c r="Q399" t="n">
        <v>0</v>
      </c>
      <c r="R399" s="2" t="inlineStr"/>
    </row>
    <row r="400" ht="15" customHeight="1">
      <c r="A400" t="inlineStr">
        <is>
          <t>A 51802-2025</t>
        </is>
      </c>
      <c r="B400" s="1" t="n">
        <v>45950</v>
      </c>
      <c r="C400" s="1" t="n">
        <v>46090</v>
      </c>
      <c r="D400" t="inlineStr">
        <is>
          <t>ÖSTERGÖTLANDS LÄN</t>
        </is>
      </c>
      <c r="E400" t="inlineStr">
        <is>
          <t>LINKÖPING</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37057-2025</t>
        </is>
      </c>
      <c r="B401" s="1" t="n">
        <v>45875.37489583333</v>
      </c>
      <c r="C401" s="1" t="n">
        <v>46090</v>
      </c>
      <c r="D401" t="inlineStr">
        <is>
          <t>ÖSTERGÖTLANDS LÄN</t>
        </is>
      </c>
      <c r="E401" t="inlineStr">
        <is>
          <t>LINKÖPING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62687-2023</t>
        </is>
      </c>
      <c r="B402" s="1" t="n">
        <v>45271</v>
      </c>
      <c r="C402" s="1" t="n">
        <v>46090</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34641-2022</t>
        </is>
      </c>
      <c r="B403" s="1" t="n">
        <v>44795</v>
      </c>
      <c r="C403" s="1" t="n">
        <v>46090</v>
      </c>
      <c r="D403" t="inlineStr">
        <is>
          <t>ÖSTERGÖTLANDS LÄN</t>
        </is>
      </c>
      <c r="E403" t="inlineStr">
        <is>
          <t>LINKÖPING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938-2023</t>
        </is>
      </c>
      <c r="B404" s="1" t="n">
        <v>44933</v>
      </c>
      <c r="C404" s="1" t="n">
        <v>46090</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2389-2023</t>
        </is>
      </c>
      <c r="B405" s="1" t="n">
        <v>44942</v>
      </c>
      <c r="C405" s="1" t="n">
        <v>46090</v>
      </c>
      <c r="D405" t="inlineStr">
        <is>
          <t>ÖSTERGÖTLANDS LÄN</t>
        </is>
      </c>
      <c r="E405" t="inlineStr">
        <is>
          <t>LINKÖPING</t>
        </is>
      </c>
      <c r="G405" t="n">
        <v>3.3</v>
      </c>
      <c r="H405" t="n">
        <v>0</v>
      </c>
      <c r="I405" t="n">
        <v>0</v>
      </c>
      <c r="J405" t="n">
        <v>0</v>
      </c>
      <c r="K405" t="n">
        <v>0</v>
      </c>
      <c r="L405" t="n">
        <v>0</v>
      </c>
      <c r="M405" t="n">
        <v>0</v>
      </c>
      <c r="N405" t="n">
        <v>0</v>
      </c>
      <c r="O405" t="n">
        <v>0</v>
      </c>
      <c r="P405" t="n">
        <v>0</v>
      </c>
      <c r="Q405" t="n">
        <v>0</v>
      </c>
      <c r="R405" s="2" t="inlineStr"/>
    </row>
    <row r="406" ht="15" customHeight="1">
      <c r="A406" t="inlineStr">
        <is>
          <t>A 48-2024</t>
        </is>
      </c>
      <c r="B406" s="1" t="n">
        <v>45293</v>
      </c>
      <c r="C406" s="1" t="n">
        <v>46090</v>
      </c>
      <c r="D406" t="inlineStr">
        <is>
          <t>ÖSTERGÖTLANDS LÄN</t>
        </is>
      </c>
      <c r="E406" t="inlineStr">
        <is>
          <t>LINKÖPING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45771-2023</t>
        </is>
      </c>
      <c r="B407" s="1" t="n">
        <v>45195.4384375</v>
      </c>
      <c r="C407" s="1" t="n">
        <v>46090</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30547-2023</t>
        </is>
      </c>
      <c r="B408" s="1" t="n">
        <v>45111.75905092592</v>
      </c>
      <c r="C408" s="1" t="n">
        <v>46090</v>
      </c>
      <c r="D408" t="inlineStr">
        <is>
          <t>ÖSTERGÖTLANDS LÄN</t>
        </is>
      </c>
      <c r="E408" t="inlineStr">
        <is>
          <t>LINKÖPING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40502-2024</t>
        </is>
      </c>
      <c r="B409" s="1" t="n">
        <v>45555.57263888889</v>
      </c>
      <c r="C409" s="1" t="n">
        <v>46090</v>
      </c>
      <c r="D409" t="inlineStr">
        <is>
          <t>ÖSTERGÖTLANDS LÄN</t>
        </is>
      </c>
      <c r="E409" t="inlineStr">
        <is>
          <t>LINKÖPING</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52111-2025</t>
        </is>
      </c>
      <c r="B410" s="1" t="n">
        <v>45952.69527777778</v>
      </c>
      <c r="C410" s="1" t="n">
        <v>46090</v>
      </c>
      <c r="D410" t="inlineStr">
        <is>
          <t>ÖSTERGÖTLANDS LÄN</t>
        </is>
      </c>
      <c r="E410" t="inlineStr">
        <is>
          <t>LINKÖPING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24464-2023</t>
        </is>
      </c>
      <c r="B411" s="1" t="n">
        <v>45082.58068287037</v>
      </c>
      <c r="C411" s="1" t="n">
        <v>46090</v>
      </c>
      <c r="D411" t="inlineStr">
        <is>
          <t>ÖSTERGÖTLANDS LÄN</t>
        </is>
      </c>
      <c r="E411" t="inlineStr">
        <is>
          <t>LINKÖPING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24467-2023</t>
        </is>
      </c>
      <c r="B412" s="1" t="n">
        <v>45082</v>
      </c>
      <c r="C412" s="1" t="n">
        <v>46090</v>
      </c>
      <c r="D412" t="inlineStr">
        <is>
          <t>ÖSTERGÖTLANDS LÄN</t>
        </is>
      </c>
      <c r="E412" t="inlineStr">
        <is>
          <t>LINKÖPING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48389-2024</t>
        </is>
      </c>
      <c r="B413" s="1" t="n">
        <v>45590.59991898148</v>
      </c>
      <c r="C413" s="1" t="n">
        <v>46090</v>
      </c>
      <c r="D413" t="inlineStr">
        <is>
          <t>ÖSTERGÖTLANDS LÄN</t>
        </is>
      </c>
      <c r="E413" t="inlineStr">
        <is>
          <t>LINKÖPING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52740-2025</t>
        </is>
      </c>
      <c r="B414" s="1" t="n">
        <v>45957.37747685185</v>
      </c>
      <c r="C414" s="1" t="n">
        <v>46090</v>
      </c>
      <c r="D414" t="inlineStr">
        <is>
          <t>ÖSTERGÖTLANDS LÄN</t>
        </is>
      </c>
      <c r="E414" t="inlineStr">
        <is>
          <t>LINKÖPING</t>
        </is>
      </c>
      <c r="G414" t="n">
        <v>3.7</v>
      </c>
      <c r="H414" t="n">
        <v>0</v>
      </c>
      <c r="I414" t="n">
        <v>0</v>
      </c>
      <c r="J414" t="n">
        <v>0</v>
      </c>
      <c r="K414" t="n">
        <v>0</v>
      </c>
      <c r="L414" t="n">
        <v>0</v>
      </c>
      <c r="M414" t="n">
        <v>0</v>
      </c>
      <c r="N414" t="n">
        <v>0</v>
      </c>
      <c r="O414" t="n">
        <v>0</v>
      </c>
      <c r="P414" t="n">
        <v>0</v>
      </c>
      <c r="Q414" t="n">
        <v>0</v>
      </c>
      <c r="R414" s="2" t="inlineStr"/>
    </row>
    <row r="415" ht="15" customHeight="1">
      <c r="A415" t="inlineStr">
        <is>
          <t>A 56792-2023</t>
        </is>
      </c>
      <c r="B415" s="1" t="n">
        <v>45244</v>
      </c>
      <c r="C415" s="1" t="n">
        <v>46090</v>
      </c>
      <c r="D415" t="inlineStr">
        <is>
          <t>ÖSTERGÖTLANDS LÄN</t>
        </is>
      </c>
      <c r="E415" t="inlineStr">
        <is>
          <t>LINKÖPING</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25829-2025</t>
        </is>
      </c>
      <c r="B416" s="1" t="n">
        <v>45804.44505787037</v>
      </c>
      <c r="C416" s="1" t="n">
        <v>46090</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38046-2025</t>
        </is>
      </c>
      <c r="B417" s="1" t="n">
        <v>45882.39939814815</v>
      </c>
      <c r="C417" s="1" t="n">
        <v>46090</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52800-2025</t>
        </is>
      </c>
      <c r="B418" s="1" t="n">
        <v>45957.44152777778</v>
      </c>
      <c r="C418" s="1" t="n">
        <v>46090</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52802-2025</t>
        </is>
      </c>
      <c r="B419" s="1" t="n">
        <v>45957.44295138889</v>
      </c>
      <c r="C419" s="1" t="n">
        <v>46090</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52743-2025</t>
        </is>
      </c>
      <c r="B420" s="1" t="n">
        <v>45957.38039351852</v>
      </c>
      <c r="C420" s="1" t="n">
        <v>46090</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52807-2025</t>
        </is>
      </c>
      <c r="B421" s="1" t="n">
        <v>45957.44837962963</v>
      </c>
      <c r="C421" s="1" t="n">
        <v>46090</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39017-2021</t>
        </is>
      </c>
      <c r="B422" s="1" t="n">
        <v>44412</v>
      </c>
      <c r="C422" s="1" t="n">
        <v>46090</v>
      </c>
      <c r="D422" t="inlineStr">
        <is>
          <t>ÖSTERGÖTLANDS LÄN</t>
        </is>
      </c>
      <c r="E422" t="inlineStr">
        <is>
          <t>LINKÖPING</t>
        </is>
      </c>
      <c r="F422" t="inlineStr">
        <is>
          <t>Övriga statliga verk och myndigheter</t>
        </is>
      </c>
      <c r="G422" t="n">
        <v>0.8</v>
      </c>
      <c r="H422" t="n">
        <v>0</v>
      </c>
      <c r="I422" t="n">
        <v>0</v>
      </c>
      <c r="J422" t="n">
        <v>0</v>
      </c>
      <c r="K422" t="n">
        <v>0</v>
      </c>
      <c r="L422" t="n">
        <v>0</v>
      </c>
      <c r="M422" t="n">
        <v>0</v>
      </c>
      <c r="N422" t="n">
        <v>0</v>
      </c>
      <c r="O422" t="n">
        <v>0</v>
      </c>
      <c r="P422" t="n">
        <v>0</v>
      </c>
      <c r="Q422" t="n">
        <v>0</v>
      </c>
      <c r="R422" s="2" t="inlineStr"/>
    </row>
    <row r="423" ht="15" customHeight="1">
      <c r="A423" t="inlineStr">
        <is>
          <t>A 1260-2023</t>
        </is>
      </c>
      <c r="B423" s="1" t="n">
        <v>44936</v>
      </c>
      <c r="C423" s="1" t="n">
        <v>46090</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1355-2023</t>
        </is>
      </c>
      <c r="B424" s="1" t="n">
        <v>44931</v>
      </c>
      <c r="C424" s="1" t="n">
        <v>46090</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3007-2025</t>
        </is>
      </c>
      <c r="B425" s="1" t="n">
        <v>45678.56328703704</v>
      </c>
      <c r="C425" s="1" t="n">
        <v>46090</v>
      </c>
      <c r="D425" t="inlineStr">
        <is>
          <t>ÖSTERGÖTLANDS LÄN</t>
        </is>
      </c>
      <c r="E425" t="inlineStr">
        <is>
          <t>LINKÖPING</t>
        </is>
      </c>
      <c r="G425" t="n">
        <v>3.1</v>
      </c>
      <c r="H425" t="n">
        <v>0</v>
      </c>
      <c r="I425" t="n">
        <v>0</v>
      </c>
      <c r="J425" t="n">
        <v>0</v>
      </c>
      <c r="K425" t="n">
        <v>0</v>
      </c>
      <c r="L425" t="n">
        <v>0</v>
      </c>
      <c r="M425" t="n">
        <v>0</v>
      </c>
      <c r="N425" t="n">
        <v>0</v>
      </c>
      <c r="O425" t="n">
        <v>0</v>
      </c>
      <c r="P425" t="n">
        <v>0</v>
      </c>
      <c r="Q425" t="n">
        <v>0</v>
      </c>
      <c r="R425" s="2" t="inlineStr"/>
    </row>
    <row r="426" ht="15" customHeight="1">
      <c r="A426" t="inlineStr">
        <is>
          <t>A 1223-2026</t>
        </is>
      </c>
      <c r="B426" s="1" t="n">
        <v>46031.40233796297</v>
      </c>
      <c r="C426" s="1" t="n">
        <v>46090</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10492-2022</t>
        </is>
      </c>
      <c r="B427" s="1" t="n">
        <v>44623.6377199074</v>
      </c>
      <c r="C427" s="1" t="n">
        <v>46090</v>
      </c>
      <c r="D427" t="inlineStr">
        <is>
          <t>ÖSTERGÖTLANDS LÄN</t>
        </is>
      </c>
      <c r="E427" t="inlineStr">
        <is>
          <t>LINKÖPING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858-2026</t>
        </is>
      </c>
      <c r="B428" s="1" t="n">
        <v>46030.41200231481</v>
      </c>
      <c r="C428" s="1" t="n">
        <v>46090</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873-2026</t>
        </is>
      </c>
      <c r="B429" s="1" t="n">
        <v>46030.43818287037</v>
      </c>
      <c r="C429" s="1" t="n">
        <v>46090</v>
      </c>
      <c r="D429" t="inlineStr">
        <is>
          <t>ÖSTERGÖTLANDS LÄN</t>
        </is>
      </c>
      <c r="E429" t="inlineStr">
        <is>
          <t>LINKÖPING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856-2026</t>
        </is>
      </c>
      <c r="B430" s="1" t="n">
        <v>46030.40644675926</v>
      </c>
      <c r="C430" s="1" t="n">
        <v>46090</v>
      </c>
      <c r="D430" t="inlineStr">
        <is>
          <t>ÖSTERGÖTLANDS LÄN</t>
        </is>
      </c>
      <c r="E430" t="inlineStr">
        <is>
          <t>LINKÖPING</t>
        </is>
      </c>
      <c r="G430" t="n">
        <v>6.4</v>
      </c>
      <c r="H430" t="n">
        <v>0</v>
      </c>
      <c r="I430" t="n">
        <v>0</v>
      </c>
      <c r="J430" t="n">
        <v>0</v>
      </c>
      <c r="K430" t="n">
        <v>0</v>
      </c>
      <c r="L430" t="n">
        <v>0</v>
      </c>
      <c r="M430" t="n">
        <v>0</v>
      </c>
      <c r="N430" t="n">
        <v>0</v>
      </c>
      <c r="O430" t="n">
        <v>0</v>
      </c>
      <c r="P430" t="n">
        <v>0</v>
      </c>
      <c r="Q430" t="n">
        <v>0</v>
      </c>
      <c r="R430" s="2" t="inlineStr"/>
    </row>
    <row r="431" ht="15" customHeight="1">
      <c r="A431" t="inlineStr">
        <is>
          <t>A 30465-2023</t>
        </is>
      </c>
      <c r="B431" s="1" t="n">
        <v>45111</v>
      </c>
      <c r="C431" s="1" t="n">
        <v>46090</v>
      </c>
      <c r="D431" t="inlineStr">
        <is>
          <t>ÖSTERGÖTLANDS LÄN</t>
        </is>
      </c>
      <c r="E431" t="inlineStr">
        <is>
          <t>LINKÖPING</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39021-2021</t>
        </is>
      </c>
      <c r="B432" s="1" t="n">
        <v>44412</v>
      </c>
      <c r="C432" s="1" t="n">
        <v>46090</v>
      </c>
      <c r="D432" t="inlineStr">
        <is>
          <t>ÖSTERGÖTLANDS LÄN</t>
        </is>
      </c>
      <c r="E432" t="inlineStr">
        <is>
          <t>LINKÖPING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61281-2021</t>
        </is>
      </c>
      <c r="B433" s="1" t="n">
        <v>44498.60736111111</v>
      </c>
      <c r="C433" s="1" t="n">
        <v>46090</v>
      </c>
      <c r="D433" t="inlineStr">
        <is>
          <t>ÖSTERGÖTLANDS LÄN</t>
        </is>
      </c>
      <c r="E433" t="inlineStr">
        <is>
          <t>LINKÖPING</t>
        </is>
      </c>
      <c r="G433" t="n">
        <v>4.5</v>
      </c>
      <c r="H433" t="n">
        <v>0</v>
      </c>
      <c r="I433" t="n">
        <v>0</v>
      </c>
      <c r="J433" t="n">
        <v>0</v>
      </c>
      <c r="K433" t="n">
        <v>0</v>
      </c>
      <c r="L433" t="n">
        <v>0</v>
      </c>
      <c r="M433" t="n">
        <v>0</v>
      </c>
      <c r="N433" t="n">
        <v>0</v>
      </c>
      <c r="O433" t="n">
        <v>0</v>
      </c>
      <c r="P433" t="n">
        <v>0</v>
      </c>
      <c r="Q433" t="n">
        <v>0</v>
      </c>
      <c r="R433" s="2" t="inlineStr"/>
    </row>
    <row r="434" ht="15" customHeight="1">
      <c r="A434" t="inlineStr">
        <is>
          <t>A 25292-2021</t>
        </is>
      </c>
      <c r="B434" s="1" t="n">
        <v>44342</v>
      </c>
      <c r="C434" s="1" t="n">
        <v>46090</v>
      </c>
      <c r="D434" t="inlineStr">
        <is>
          <t>ÖSTERGÖTLANDS LÄN</t>
        </is>
      </c>
      <c r="E434" t="inlineStr">
        <is>
          <t>LINKÖPING</t>
        </is>
      </c>
      <c r="F434" t="inlineStr">
        <is>
          <t>Övriga Aktiebolag</t>
        </is>
      </c>
      <c r="G434" t="n">
        <v>12.8</v>
      </c>
      <c r="H434" t="n">
        <v>0</v>
      </c>
      <c r="I434" t="n">
        <v>0</v>
      </c>
      <c r="J434" t="n">
        <v>0</v>
      </c>
      <c r="K434" t="n">
        <v>0</v>
      </c>
      <c r="L434" t="n">
        <v>0</v>
      </c>
      <c r="M434" t="n">
        <v>0</v>
      </c>
      <c r="N434" t="n">
        <v>0</v>
      </c>
      <c r="O434" t="n">
        <v>0</v>
      </c>
      <c r="P434" t="n">
        <v>0</v>
      </c>
      <c r="Q434" t="n">
        <v>0</v>
      </c>
      <c r="R434" s="2" t="inlineStr"/>
    </row>
    <row r="435" ht="15" customHeight="1">
      <c r="A435" t="inlineStr">
        <is>
          <t>A 62353-2022</t>
        </is>
      </c>
      <c r="B435" s="1" t="n">
        <v>44923</v>
      </c>
      <c r="C435" s="1" t="n">
        <v>46090</v>
      </c>
      <c r="D435" t="inlineStr">
        <is>
          <t>ÖSTERGÖTLANDS LÄN</t>
        </is>
      </c>
      <c r="E435" t="inlineStr">
        <is>
          <t>LINKÖPING</t>
        </is>
      </c>
      <c r="F435" t="inlineStr">
        <is>
          <t>Allmännings- och besparingsskogar</t>
        </is>
      </c>
      <c r="G435" t="n">
        <v>1.7</v>
      </c>
      <c r="H435" t="n">
        <v>0</v>
      </c>
      <c r="I435" t="n">
        <v>0</v>
      </c>
      <c r="J435" t="n">
        <v>0</v>
      </c>
      <c r="K435" t="n">
        <v>0</v>
      </c>
      <c r="L435" t="n">
        <v>0</v>
      </c>
      <c r="M435" t="n">
        <v>0</v>
      </c>
      <c r="N435" t="n">
        <v>0</v>
      </c>
      <c r="O435" t="n">
        <v>0</v>
      </c>
      <c r="P435" t="n">
        <v>0</v>
      </c>
      <c r="Q435" t="n">
        <v>0</v>
      </c>
      <c r="R435" s="2" t="inlineStr"/>
    </row>
    <row r="436" ht="15" customHeight="1">
      <c r="A436" t="inlineStr">
        <is>
          <t>A 54332-2025</t>
        </is>
      </c>
      <c r="B436" s="1" t="n">
        <v>45965.34915509259</v>
      </c>
      <c r="C436" s="1" t="n">
        <v>46090</v>
      </c>
      <c r="D436" t="inlineStr">
        <is>
          <t>ÖSTERGÖTLANDS LÄN</t>
        </is>
      </c>
      <c r="E436" t="inlineStr">
        <is>
          <t>LINKÖPING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63935-2021</t>
        </is>
      </c>
      <c r="B437" s="1" t="n">
        <v>44509</v>
      </c>
      <c r="C437" s="1" t="n">
        <v>46090</v>
      </c>
      <c r="D437" t="inlineStr">
        <is>
          <t>ÖSTERGÖTLANDS LÄN</t>
        </is>
      </c>
      <c r="E437" t="inlineStr">
        <is>
          <t>LINKÖPING</t>
        </is>
      </c>
      <c r="F437" t="inlineStr">
        <is>
          <t>Övriga statliga verk och myndigheter</t>
        </is>
      </c>
      <c r="G437" t="n">
        <v>2.8</v>
      </c>
      <c r="H437" t="n">
        <v>0</v>
      </c>
      <c r="I437" t="n">
        <v>0</v>
      </c>
      <c r="J437" t="n">
        <v>0</v>
      </c>
      <c r="K437" t="n">
        <v>0</v>
      </c>
      <c r="L437" t="n">
        <v>0</v>
      </c>
      <c r="M437" t="n">
        <v>0</v>
      </c>
      <c r="N437" t="n">
        <v>0</v>
      </c>
      <c r="O437" t="n">
        <v>0</v>
      </c>
      <c r="P437" t="n">
        <v>0</v>
      </c>
      <c r="Q437" t="n">
        <v>0</v>
      </c>
      <c r="R437" s="2" t="inlineStr"/>
    </row>
    <row r="438" ht="15" customHeight="1">
      <c r="A438" t="inlineStr">
        <is>
          <t>A 30111-2024</t>
        </is>
      </c>
      <c r="B438" s="1" t="n">
        <v>45489.46947916667</v>
      </c>
      <c r="C438" s="1" t="n">
        <v>46090</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30119-2024</t>
        </is>
      </c>
      <c r="B439" s="1" t="n">
        <v>45489</v>
      </c>
      <c r="C439" s="1" t="n">
        <v>46090</v>
      </c>
      <c r="D439" t="inlineStr">
        <is>
          <t>ÖSTERGÖTLANDS LÄN</t>
        </is>
      </c>
      <c r="E439" t="inlineStr">
        <is>
          <t>LINKÖPING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38971-2025</t>
        </is>
      </c>
      <c r="B440" s="1" t="n">
        <v>45887.71827546296</v>
      </c>
      <c r="C440" s="1" t="n">
        <v>46090</v>
      </c>
      <c r="D440" t="inlineStr">
        <is>
          <t>ÖSTERGÖTLANDS LÄN</t>
        </is>
      </c>
      <c r="E440" t="inlineStr">
        <is>
          <t>LINKÖPING</t>
        </is>
      </c>
      <c r="G440" t="n">
        <v>3.9</v>
      </c>
      <c r="H440" t="n">
        <v>0</v>
      </c>
      <c r="I440" t="n">
        <v>0</v>
      </c>
      <c r="J440" t="n">
        <v>0</v>
      </c>
      <c r="K440" t="n">
        <v>0</v>
      </c>
      <c r="L440" t="n">
        <v>0</v>
      </c>
      <c r="M440" t="n">
        <v>0</v>
      </c>
      <c r="N440" t="n">
        <v>0</v>
      </c>
      <c r="O440" t="n">
        <v>0</v>
      </c>
      <c r="P440" t="n">
        <v>0</v>
      </c>
      <c r="Q440" t="n">
        <v>0</v>
      </c>
      <c r="R440" s="2" t="inlineStr"/>
    </row>
    <row r="441" ht="15" customHeight="1">
      <c r="A441" t="inlineStr">
        <is>
          <t>A 55345-2021</t>
        </is>
      </c>
      <c r="B441" s="1" t="n">
        <v>44475</v>
      </c>
      <c r="C441" s="1" t="n">
        <v>46090</v>
      </c>
      <c r="D441" t="inlineStr">
        <is>
          <t>ÖSTERGÖTLANDS LÄN</t>
        </is>
      </c>
      <c r="E441" t="inlineStr">
        <is>
          <t>LINKÖPING</t>
        </is>
      </c>
      <c r="G441" t="n">
        <v>5.7</v>
      </c>
      <c r="H441" t="n">
        <v>0</v>
      </c>
      <c r="I441" t="n">
        <v>0</v>
      </c>
      <c r="J441" t="n">
        <v>0</v>
      </c>
      <c r="K441" t="n">
        <v>0</v>
      </c>
      <c r="L441" t="n">
        <v>0</v>
      </c>
      <c r="M441" t="n">
        <v>0</v>
      </c>
      <c r="N441" t="n">
        <v>0</v>
      </c>
      <c r="O441" t="n">
        <v>0</v>
      </c>
      <c r="P441" t="n">
        <v>0</v>
      </c>
      <c r="Q441" t="n">
        <v>0</v>
      </c>
      <c r="R441" s="2" t="inlineStr"/>
    </row>
    <row r="442" ht="15" customHeight="1">
      <c r="A442" t="inlineStr">
        <is>
          <t>A 54329-2025</t>
        </is>
      </c>
      <c r="B442" s="1" t="n">
        <v>45965.34706018519</v>
      </c>
      <c r="C442" s="1" t="n">
        <v>46090</v>
      </c>
      <c r="D442" t="inlineStr">
        <is>
          <t>ÖSTERGÖTLANDS LÄN</t>
        </is>
      </c>
      <c r="E442" t="inlineStr">
        <is>
          <t>LINKÖPING</t>
        </is>
      </c>
      <c r="F442" t="inlineStr">
        <is>
          <t>Sveaskog</t>
        </is>
      </c>
      <c r="G442" t="n">
        <v>5.1</v>
      </c>
      <c r="H442" t="n">
        <v>0</v>
      </c>
      <c r="I442" t="n">
        <v>0</v>
      </c>
      <c r="J442" t="n">
        <v>0</v>
      </c>
      <c r="K442" t="n">
        <v>0</v>
      </c>
      <c r="L442" t="n">
        <v>0</v>
      </c>
      <c r="M442" t="n">
        <v>0</v>
      </c>
      <c r="N442" t="n">
        <v>0</v>
      </c>
      <c r="O442" t="n">
        <v>0</v>
      </c>
      <c r="P442" t="n">
        <v>0</v>
      </c>
      <c r="Q442" t="n">
        <v>0</v>
      </c>
      <c r="R442" s="2" t="inlineStr"/>
    </row>
    <row r="443" ht="15" customHeight="1">
      <c r="A443" t="inlineStr">
        <is>
          <t>A 29411-2023</t>
        </is>
      </c>
      <c r="B443" s="1" t="n">
        <v>45106.46225694445</v>
      </c>
      <c r="C443" s="1" t="n">
        <v>46090</v>
      </c>
      <c r="D443" t="inlineStr">
        <is>
          <t>ÖSTERGÖTLANDS LÄN</t>
        </is>
      </c>
      <c r="E443" t="inlineStr">
        <is>
          <t>LINKÖPING</t>
        </is>
      </c>
      <c r="G443" t="n">
        <v>2.5</v>
      </c>
      <c r="H443" t="n">
        <v>0</v>
      </c>
      <c r="I443" t="n">
        <v>0</v>
      </c>
      <c r="J443" t="n">
        <v>0</v>
      </c>
      <c r="K443" t="n">
        <v>0</v>
      </c>
      <c r="L443" t="n">
        <v>0</v>
      </c>
      <c r="M443" t="n">
        <v>0</v>
      </c>
      <c r="N443" t="n">
        <v>0</v>
      </c>
      <c r="O443" t="n">
        <v>0</v>
      </c>
      <c r="P443" t="n">
        <v>0</v>
      </c>
      <c r="Q443" t="n">
        <v>0</v>
      </c>
      <c r="R443" s="2" t="inlineStr"/>
    </row>
    <row r="444" ht="15" customHeight="1">
      <c r="A444" t="inlineStr">
        <is>
          <t>A 29412-2023</t>
        </is>
      </c>
      <c r="B444" s="1" t="n">
        <v>45106.46359953703</v>
      </c>
      <c r="C444" s="1" t="n">
        <v>46090</v>
      </c>
      <c r="D444" t="inlineStr">
        <is>
          <t>ÖSTERGÖTLANDS LÄN</t>
        </is>
      </c>
      <c r="E444" t="inlineStr">
        <is>
          <t>LINKÖPING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31792-2021</t>
        </is>
      </c>
      <c r="B445" s="1" t="n">
        <v>44369</v>
      </c>
      <c r="C445" s="1" t="n">
        <v>46090</v>
      </c>
      <c r="D445" t="inlineStr">
        <is>
          <t>ÖSTERGÖTLANDS LÄN</t>
        </is>
      </c>
      <c r="E445" t="inlineStr">
        <is>
          <t>LINKÖPING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421-2024</t>
        </is>
      </c>
      <c r="B446" s="1" t="n">
        <v>45296.51877314815</v>
      </c>
      <c r="C446" s="1" t="n">
        <v>46090</v>
      </c>
      <c r="D446" t="inlineStr">
        <is>
          <t>ÖSTERGÖTLANDS LÄN</t>
        </is>
      </c>
      <c r="E446" t="inlineStr">
        <is>
          <t>LINKÖPING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860-2026</t>
        </is>
      </c>
      <c r="B447" s="1" t="n">
        <v>46030.41974537037</v>
      </c>
      <c r="C447" s="1" t="n">
        <v>46090</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22043-2023</t>
        </is>
      </c>
      <c r="B448" s="1" t="n">
        <v>45069.39050925926</v>
      </c>
      <c r="C448" s="1" t="n">
        <v>46090</v>
      </c>
      <c r="D448" t="inlineStr">
        <is>
          <t>ÖSTERGÖTLANDS LÄN</t>
        </is>
      </c>
      <c r="E448" t="inlineStr">
        <is>
          <t>LINKÖPING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54333-2025</t>
        </is>
      </c>
      <c r="B449" s="1" t="n">
        <v>45965.35090277778</v>
      </c>
      <c r="C449" s="1" t="n">
        <v>46090</v>
      </c>
      <c r="D449" t="inlineStr">
        <is>
          <t>ÖSTERGÖTLANDS LÄN</t>
        </is>
      </c>
      <c r="E449" t="inlineStr">
        <is>
          <t>LINKÖPING</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61532-2021</t>
        </is>
      </c>
      <c r="B450" s="1" t="n">
        <v>44501</v>
      </c>
      <c r="C450" s="1" t="n">
        <v>46090</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940-2026</t>
        </is>
      </c>
      <c r="B451" s="1" t="n">
        <v>46030.53052083333</v>
      </c>
      <c r="C451" s="1" t="n">
        <v>46090</v>
      </c>
      <c r="D451" t="inlineStr">
        <is>
          <t>ÖSTERGÖTLANDS LÄN</t>
        </is>
      </c>
      <c r="E451" t="inlineStr">
        <is>
          <t>LINKÖPING</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944-2026</t>
        </is>
      </c>
      <c r="B452" s="1" t="n">
        <v>46030.53461805556</v>
      </c>
      <c r="C452" s="1" t="n">
        <v>46090</v>
      </c>
      <c r="D452" t="inlineStr">
        <is>
          <t>ÖSTERGÖTLANDS LÄN</t>
        </is>
      </c>
      <c r="E452" t="inlineStr">
        <is>
          <t>LINKÖPING</t>
        </is>
      </c>
      <c r="F452" t="inlineStr">
        <is>
          <t>Allmännings- och besparingsskogar</t>
        </is>
      </c>
      <c r="G452" t="n">
        <v>0.9</v>
      </c>
      <c r="H452" t="n">
        <v>0</v>
      </c>
      <c r="I452" t="n">
        <v>0</v>
      </c>
      <c r="J452" t="n">
        <v>0</v>
      </c>
      <c r="K452" t="n">
        <v>0</v>
      </c>
      <c r="L452" t="n">
        <v>0</v>
      </c>
      <c r="M452" t="n">
        <v>0</v>
      </c>
      <c r="N452" t="n">
        <v>0</v>
      </c>
      <c r="O452" t="n">
        <v>0</v>
      </c>
      <c r="P452" t="n">
        <v>0</v>
      </c>
      <c r="Q452" t="n">
        <v>0</v>
      </c>
      <c r="R452" s="2" t="inlineStr"/>
    </row>
    <row r="453" ht="15" customHeight="1">
      <c r="A453" t="inlineStr">
        <is>
          <t>A 14028-2024</t>
        </is>
      </c>
      <c r="B453" s="1" t="n">
        <v>45392</v>
      </c>
      <c r="C453" s="1" t="n">
        <v>46090</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40431-2024</t>
        </is>
      </c>
      <c r="B454" s="1" t="n">
        <v>45555.47070601852</v>
      </c>
      <c r="C454" s="1" t="n">
        <v>46090</v>
      </c>
      <c r="D454" t="inlineStr">
        <is>
          <t>ÖSTERGÖTLANDS LÄN</t>
        </is>
      </c>
      <c r="E454" t="inlineStr">
        <is>
          <t>LINKÖPING</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60860-2024</t>
        </is>
      </c>
      <c r="B455" s="1" t="n">
        <v>45644.6893287037</v>
      </c>
      <c r="C455" s="1" t="n">
        <v>46090</v>
      </c>
      <c r="D455" t="inlineStr">
        <is>
          <t>ÖSTERGÖTLANDS LÄN</t>
        </is>
      </c>
      <c r="E455" t="inlineStr">
        <is>
          <t>LINKÖPING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927-2026</t>
        </is>
      </c>
      <c r="B456" s="1" t="n">
        <v>46030.50560185185</v>
      </c>
      <c r="C456" s="1" t="n">
        <v>46090</v>
      </c>
      <c r="D456" t="inlineStr">
        <is>
          <t>ÖSTERGÖTLANDS LÄN</t>
        </is>
      </c>
      <c r="E456" t="inlineStr">
        <is>
          <t>LINKÖPING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2697-2023</t>
        </is>
      </c>
      <c r="B457" s="1" t="n">
        <v>44944</v>
      </c>
      <c r="C457" s="1" t="n">
        <v>46090</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55102-2025</t>
        </is>
      </c>
      <c r="B458" s="1" t="n">
        <v>45968.35410879629</v>
      </c>
      <c r="C458" s="1" t="n">
        <v>46090</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859-2026</t>
        </is>
      </c>
      <c r="B459" s="1" t="n">
        <v>46030.41450231482</v>
      </c>
      <c r="C459" s="1" t="n">
        <v>46090</v>
      </c>
      <c r="D459" t="inlineStr">
        <is>
          <t>ÖSTERGÖTLANDS LÄN</t>
        </is>
      </c>
      <c r="E459" t="inlineStr">
        <is>
          <t>LINKÖPING</t>
        </is>
      </c>
      <c r="G459" t="n">
        <v>0.2</v>
      </c>
      <c r="H459" t="n">
        <v>0</v>
      </c>
      <c r="I459" t="n">
        <v>0</v>
      </c>
      <c r="J459" t="n">
        <v>0</v>
      </c>
      <c r="K459" t="n">
        <v>0</v>
      </c>
      <c r="L459" t="n">
        <v>0</v>
      </c>
      <c r="M459" t="n">
        <v>0</v>
      </c>
      <c r="N459" t="n">
        <v>0</v>
      </c>
      <c r="O459" t="n">
        <v>0</v>
      </c>
      <c r="P459" t="n">
        <v>0</v>
      </c>
      <c r="Q459" t="n">
        <v>0</v>
      </c>
      <c r="R459" s="2" t="inlineStr"/>
    </row>
    <row r="460" ht="15" customHeight="1">
      <c r="A460" t="inlineStr">
        <is>
          <t>A 55132-2025</t>
        </is>
      </c>
      <c r="B460" s="1" t="n">
        <v>45968.41912037037</v>
      </c>
      <c r="C460" s="1" t="n">
        <v>46090</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55109-2025</t>
        </is>
      </c>
      <c r="B461" s="1" t="n">
        <v>45968.37731481482</v>
      </c>
      <c r="C461" s="1" t="n">
        <v>46090</v>
      </c>
      <c r="D461" t="inlineStr">
        <is>
          <t>ÖSTERGÖTLANDS LÄN</t>
        </is>
      </c>
      <c r="E461" t="inlineStr">
        <is>
          <t>LINKÖPING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45806-2024</t>
        </is>
      </c>
      <c r="B462" s="1" t="n">
        <v>45579.69619212963</v>
      </c>
      <c r="C462" s="1" t="n">
        <v>46090</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56756-2023</t>
        </is>
      </c>
      <c r="B463" s="1" t="n">
        <v>45244</v>
      </c>
      <c r="C463" s="1" t="n">
        <v>46090</v>
      </c>
      <c r="D463" t="inlineStr">
        <is>
          <t>ÖSTERGÖTLANDS LÄN</t>
        </is>
      </c>
      <c r="E463" t="inlineStr">
        <is>
          <t>LINKÖPING</t>
        </is>
      </c>
      <c r="F463" t="inlineStr">
        <is>
          <t>Övriga Aktiebolag</t>
        </is>
      </c>
      <c r="G463" t="n">
        <v>0.8</v>
      </c>
      <c r="H463" t="n">
        <v>0</v>
      </c>
      <c r="I463" t="n">
        <v>0</v>
      </c>
      <c r="J463" t="n">
        <v>0</v>
      </c>
      <c r="K463" t="n">
        <v>0</v>
      </c>
      <c r="L463" t="n">
        <v>0</v>
      </c>
      <c r="M463" t="n">
        <v>0</v>
      </c>
      <c r="N463" t="n">
        <v>0</v>
      </c>
      <c r="O463" t="n">
        <v>0</v>
      </c>
      <c r="P463" t="n">
        <v>0</v>
      </c>
      <c r="Q463" t="n">
        <v>0</v>
      </c>
      <c r="R463" s="2" t="inlineStr"/>
    </row>
    <row r="464" ht="15" customHeight="1">
      <c r="A464" t="inlineStr">
        <is>
          <t>A 55165-2025</t>
        </is>
      </c>
      <c r="B464" s="1" t="n">
        <v>45968.48194444444</v>
      </c>
      <c r="C464" s="1" t="n">
        <v>46090</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2030-2026</t>
        </is>
      </c>
      <c r="B465" s="1" t="n">
        <v>46035.73590277778</v>
      </c>
      <c r="C465" s="1" t="n">
        <v>46090</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10477-2026</t>
        </is>
      </c>
      <c r="B466" s="1" t="n">
        <v>46077.4871875</v>
      </c>
      <c r="C466" s="1" t="n">
        <v>46090</v>
      </c>
      <c r="D466" t="inlineStr">
        <is>
          <t>ÖSTERGÖTLANDS LÄN</t>
        </is>
      </c>
      <c r="E466" t="inlineStr">
        <is>
          <t>LINKÖPING</t>
        </is>
      </c>
      <c r="G466" t="n">
        <v>9.6</v>
      </c>
      <c r="H466" t="n">
        <v>0</v>
      </c>
      <c r="I466" t="n">
        <v>0</v>
      </c>
      <c r="J466" t="n">
        <v>0</v>
      </c>
      <c r="K466" t="n">
        <v>0</v>
      </c>
      <c r="L466" t="n">
        <v>0</v>
      </c>
      <c r="M466" t="n">
        <v>0</v>
      </c>
      <c r="N466" t="n">
        <v>0</v>
      </c>
      <c r="O466" t="n">
        <v>0</v>
      </c>
      <c r="P466" t="n">
        <v>0</v>
      </c>
      <c r="Q466" t="n">
        <v>0</v>
      </c>
      <c r="R466" s="2" t="inlineStr"/>
    </row>
    <row r="467" ht="15" customHeight="1">
      <c r="A467" t="inlineStr">
        <is>
          <t>A 10479-2026</t>
        </is>
      </c>
      <c r="B467" s="1" t="n">
        <v>46077.49231481482</v>
      </c>
      <c r="C467" s="1" t="n">
        <v>46090</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60985-2023</t>
        </is>
      </c>
      <c r="B468" s="1" t="n">
        <v>45261.48429398148</v>
      </c>
      <c r="C468" s="1" t="n">
        <v>46090</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56113-2025</t>
        </is>
      </c>
      <c r="B469" s="1" t="n">
        <v>45973.73924768518</v>
      </c>
      <c r="C469" s="1" t="n">
        <v>46090</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56105-2025</t>
        </is>
      </c>
      <c r="B470" s="1" t="n">
        <v>45973.72855324074</v>
      </c>
      <c r="C470" s="1" t="n">
        <v>46090</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24904-2024</t>
        </is>
      </c>
      <c r="B471" s="1" t="n">
        <v>45461</v>
      </c>
      <c r="C471" s="1" t="n">
        <v>46090</v>
      </c>
      <c r="D471" t="inlineStr">
        <is>
          <t>ÖSTERGÖTLANDS LÄN</t>
        </is>
      </c>
      <c r="E471" t="inlineStr">
        <is>
          <t>LINKÖPING</t>
        </is>
      </c>
      <c r="G471" t="n">
        <v>3.8</v>
      </c>
      <c r="H471" t="n">
        <v>0</v>
      </c>
      <c r="I471" t="n">
        <v>0</v>
      </c>
      <c r="J471" t="n">
        <v>0</v>
      </c>
      <c r="K471" t="n">
        <v>0</v>
      </c>
      <c r="L471" t="n">
        <v>0</v>
      </c>
      <c r="M471" t="n">
        <v>0</v>
      </c>
      <c r="N471" t="n">
        <v>0</v>
      </c>
      <c r="O471" t="n">
        <v>0</v>
      </c>
      <c r="P471" t="n">
        <v>0</v>
      </c>
      <c r="Q471" t="n">
        <v>0</v>
      </c>
      <c r="R471" s="2" t="inlineStr"/>
    </row>
    <row r="472" ht="15" customHeight="1">
      <c r="A472" t="inlineStr">
        <is>
          <t>A 55009-2023</t>
        </is>
      </c>
      <c r="B472" s="1" t="n">
        <v>45237</v>
      </c>
      <c r="C472" s="1" t="n">
        <v>46090</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56403-2025</t>
        </is>
      </c>
      <c r="B473" s="1" t="n">
        <v>45974</v>
      </c>
      <c r="C473" s="1" t="n">
        <v>46090</v>
      </c>
      <c r="D473" t="inlineStr">
        <is>
          <t>ÖSTERGÖTLANDS LÄN</t>
        </is>
      </c>
      <c r="E473" t="inlineStr">
        <is>
          <t>LINKÖPING</t>
        </is>
      </c>
      <c r="G473" t="n">
        <v>3.3</v>
      </c>
      <c r="H473" t="n">
        <v>0</v>
      </c>
      <c r="I473" t="n">
        <v>0</v>
      </c>
      <c r="J473" t="n">
        <v>0</v>
      </c>
      <c r="K473" t="n">
        <v>0</v>
      </c>
      <c r="L473" t="n">
        <v>0</v>
      </c>
      <c r="M473" t="n">
        <v>0</v>
      </c>
      <c r="N473" t="n">
        <v>0</v>
      </c>
      <c r="O473" t="n">
        <v>0</v>
      </c>
      <c r="P473" t="n">
        <v>0</v>
      </c>
      <c r="Q473" t="n">
        <v>0</v>
      </c>
      <c r="R473" s="2" t="inlineStr"/>
    </row>
    <row r="474" ht="15" customHeight="1">
      <c r="A474" t="inlineStr">
        <is>
          <t>A 34872-2023</t>
        </is>
      </c>
      <c r="B474" s="1" t="n">
        <v>45140</v>
      </c>
      <c r="C474" s="1" t="n">
        <v>46090</v>
      </c>
      <c r="D474" t="inlineStr">
        <is>
          <t>ÖSTERGÖTLANDS LÄN</t>
        </is>
      </c>
      <c r="E474" t="inlineStr">
        <is>
          <t>LINKÖPING</t>
        </is>
      </c>
      <c r="G474" t="n">
        <v>4.8</v>
      </c>
      <c r="H474" t="n">
        <v>0</v>
      </c>
      <c r="I474" t="n">
        <v>0</v>
      </c>
      <c r="J474" t="n">
        <v>0</v>
      </c>
      <c r="K474" t="n">
        <v>0</v>
      </c>
      <c r="L474" t="n">
        <v>0</v>
      </c>
      <c r="M474" t="n">
        <v>0</v>
      </c>
      <c r="N474" t="n">
        <v>0</v>
      </c>
      <c r="O474" t="n">
        <v>0</v>
      </c>
      <c r="P474" t="n">
        <v>0</v>
      </c>
      <c r="Q474" t="n">
        <v>0</v>
      </c>
      <c r="R474" s="2" t="inlineStr"/>
    </row>
    <row r="475" ht="15" customHeight="1">
      <c r="A475" t="inlineStr">
        <is>
          <t>A 36336-2022</t>
        </is>
      </c>
      <c r="B475" s="1" t="n">
        <v>44803</v>
      </c>
      <c r="C475" s="1" t="n">
        <v>46090</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56704-2025</t>
        </is>
      </c>
      <c r="B476" s="1" t="n">
        <v>45977.50608796296</v>
      </c>
      <c r="C476" s="1" t="n">
        <v>46090</v>
      </c>
      <c r="D476" t="inlineStr">
        <is>
          <t>ÖSTERGÖTLANDS LÄN</t>
        </is>
      </c>
      <c r="E476" t="inlineStr">
        <is>
          <t>LINKÖPING</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25097-2023</t>
        </is>
      </c>
      <c r="B477" s="1" t="n">
        <v>45086</v>
      </c>
      <c r="C477" s="1" t="n">
        <v>46090</v>
      </c>
      <c r="D477" t="inlineStr">
        <is>
          <t>ÖSTERGÖTLANDS LÄN</t>
        </is>
      </c>
      <c r="E477" t="inlineStr">
        <is>
          <t>LINKÖPING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2031-2026</t>
        </is>
      </c>
      <c r="B478" s="1" t="n">
        <v>46035.74182870371</v>
      </c>
      <c r="C478" s="1" t="n">
        <v>46090</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10461-2023</t>
        </is>
      </c>
      <c r="B479" s="1" t="n">
        <v>44987.5969212963</v>
      </c>
      <c r="C479" s="1" t="n">
        <v>46090</v>
      </c>
      <c r="D479" t="inlineStr">
        <is>
          <t>ÖSTERGÖTLANDS LÄN</t>
        </is>
      </c>
      <c r="E479" t="inlineStr">
        <is>
          <t>LINKÖPING</t>
        </is>
      </c>
      <c r="G479" t="n">
        <v>7.8</v>
      </c>
      <c r="H479" t="n">
        <v>0</v>
      </c>
      <c r="I479" t="n">
        <v>0</v>
      </c>
      <c r="J479" t="n">
        <v>0</v>
      </c>
      <c r="K479" t="n">
        <v>0</v>
      </c>
      <c r="L479" t="n">
        <v>0</v>
      </c>
      <c r="M479" t="n">
        <v>0</v>
      </c>
      <c r="N479" t="n">
        <v>0</v>
      </c>
      <c r="O479" t="n">
        <v>0</v>
      </c>
      <c r="P479" t="n">
        <v>0</v>
      </c>
      <c r="Q479" t="n">
        <v>0</v>
      </c>
      <c r="R479" s="2" t="inlineStr"/>
    </row>
    <row r="480" ht="15" customHeight="1">
      <c r="A480" t="inlineStr">
        <is>
          <t>A 11033-2026</t>
        </is>
      </c>
      <c r="B480" s="1" t="n">
        <v>46079.57361111111</v>
      </c>
      <c r="C480" s="1" t="n">
        <v>46090</v>
      </c>
      <c r="D480" t="inlineStr">
        <is>
          <t>ÖSTERGÖTLANDS LÄN</t>
        </is>
      </c>
      <c r="E480" t="inlineStr">
        <is>
          <t>LINKÖPING</t>
        </is>
      </c>
      <c r="G480" t="n">
        <v>7.9</v>
      </c>
      <c r="H480" t="n">
        <v>0</v>
      </c>
      <c r="I480" t="n">
        <v>0</v>
      </c>
      <c r="J480" t="n">
        <v>0</v>
      </c>
      <c r="K480" t="n">
        <v>0</v>
      </c>
      <c r="L480" t="n">
        <v>0</v>
      </c>
      <c r="M480" t="n">
        <v>0</v>
      </c>
      <c r="N480" t="n">
        <v>0</v>
      </c>
      <c r="O480" t="n">
        <v>0</v>
      </c>
      <c r="P480" t="n">
        <v>0</v>
      </c>
      <c r="Q480" t="n">
        <v>0</v>
      </c>
      <c r="R480" s="2" t="inlineStr"/>
    </row>
    <row r="481" ht="15" customHeight="1">
      <c r="A481" t="inlineStr">
        <is>
          <t>A 50386-2021</t>
        </is>
      </c>
      <c r="B481" s="1" t="n">
        <v>44459</v>
      </c>
      <c r="C481" s="1" t="n">
        <v>46090</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350-2022</t>
        </is>
      </c>
      <c r="B482" s="1" t="n">
        <v>44565</v>
      </c>
      <c r="C482" s="1" t="n">
        <v>46090</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18891-2022</t>
        </is>
      </c>
      <c r="B483" s="1" t="n">
        <v>44690</v>
      </c>
      <c r="C483" s="1" t="n">
        <v>46090</v>
      </c>
      <c r="D483" t="inlineStr">
        <is>
          <t>ÖSTERGÖTLANDS LÄN</t>
        </is>
      </c>
      <c r="E483" t="inlineStr">
        <is>
          <t>LINKÖPING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30976-2022</t>
        </is>
      </c>
      <c r="B484" s="1" t="n">
        <v>44768</v>
      </c>
      <c r="C484" s="1" t="n">
        <v>46090</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10756-2026</t>
        </is>
      </c>
      <c r="B485" s="1" t="n">
        <v>46078.55412037037</v>
      </c>
      <c r="C485" s="1" t="n">
        <v>46090</v>
      </c>
      <c r="D485" t="inlineStr">
        <is>
          <t>ÖSTERGÖTLANDS LÄN</t>
        </is>
      </c>
      <c r="E485" t="inlineStr">
        <is>
          <t>LINKÖPING</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55736-2022</t>
        </is>
      </c>
      <c r="B486" s="1" t="n">
        <v>44888</v>
      </c>
      <c r="C486" s="1" t="n">
        <v>46090</v>
      </c>
      <c r="D486" t="inlineStr">
        <is>
          <t>ÖSTERGÖTLANDS LÄN</t>
        </is>
      </c>
      <c r="E486" t="inlineStr">
        <is>
          <t>LINKÖPING</t>
        </is>
      </c>
      <c r="G486" t="n">
        <v>5.5</v>
      </c>
      <c r="H486" t="n">
        <v>0</v>
      </c>
      <c r="I486" t="n">
        <v>0</v>
      </c>
      <c r="J486" t="n">
        <v>0</v>
      </c>
      <c r="K486" t="n">
        <v>0</v>
      </c>
      <c r="L486" t="n">
        <v>0</v>
      </c>
      <c r="M486" t="n">
        <v>0</v>
      </c>
      <c r="N486" t="n">
        <v>0</v>
      </c>
      <c r="O486" t="n">
        <v>0</v>
      </c>
      <c r="P486" t="n">
        <v>0</v>
      </c>
      <c r="Q486" t="n">
        <v>0</v>
      </c>
      <c r="R486" s="2" t="inlineStr"/>
    </row>
    <row r="487" ht="15" customHeight="1">
      <c r="A487" t="inlineStr">
        <is>
          <t>A 58802-2025</t>
        </is>
      </c>
      <c r="B487" s="1" t="n">
        <v>45986.8768287037</v>
      </c>
      <c r="C487" s="1" t="n">
        <v>46090</v>
      </c>
      <c r="D487" t="inlineStr">
        <is>
          <t>ÖSTERGÖTLANDS LÄN</t>
        </is>
      </c>
      <c r="E487" t="inlineStr">
        <is>
          <t>LINKÖPING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10194-2023</t>
        </is>
      </c>
      <c r="B488" s="1" t="n">
        <v>44986.52277777778</v>
      </c>
      <c r="C488" s="1" t="n">
        <v>46090</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55004-2025</t>
        </is>
      </c>
      <c r="B489" s="1" t="n">
        <v>45967</v>
      </c>
      <c r="C489" s="1" t="n">
        <v>46090</v>
      </c>
      <c r="D489" t="inlineStr">
        <is>
          <t>ÖSTERGÖTLANDS LÄN</t>
        </is>
      </c>
      <c r="E489" t="inlineStr">
        <is>
          <t>LINKÖPING</t>
        </is>
      </c>
      <c r="G489" t="n">
        <v>2.5</v>
      </c>
      <c r="H489" t="n">
        <v>0</v>
      </c>
      <c r="I489" t="n">
        <v>0</v>
      </c>
      <c r="J489" t="n">
        <v>0</v>
      </c>
      <c r="K489" t="n">
        <v>0</v>
      </c>
      <c r="L489" t="n">
        <v>0</v>
      </c>
      <c r="M489" t="n">
        <v>0</v>
      </c>
      <c r="N489" t="n">
        <v>0</v>
      </c>
      <c r="O489" t="n">
        <v>0</v>
      </c>
      <c r="P489" t="n">
        <v>0</v>
      </c>
      <c r="Q489" t="n">
        <v>0</v>
      </c>
      <c r="R489" s="2" t="inlineStr"/>
    </row>
    <row r="490" ht="15" customHeight="1">
      <c r="A490" t="inlineStr">
        <is>
          <t>A 11057-2026</t>
        </is>
      </c>
      <c r="B490" s="1" t="n">
        <v>46079.59515046296</v>
      </c>
      <c r="C490" s="1" t="n">
        <v>46090</v>
      </c>
      <c r="D490" t="inlineStr">
        <is>
          <t>ÖSTERGÖTLANDS LÄN</t>
        </is>
      </c>
      <c r="E490" t="inlineStr">
        <is>
          <t>LINKÖPING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59205-2025</t>
        </is>
      </c>
      <c r="B491" s="1" t="n">
        <v>45988.60721064815</v>
      </c>
      <c r="C491" s="1" t="n">
        <v>46090</v>
      </c>
      <c r="D491" t="inlineStr">
        <is>
          <t>ÖSTERGÖTLANDS LÄN</t>
        </is>
      </c>
      <c r="E491" t="inlineStr">
        <is>
          <t>LINKÖPING</t>
        </is>
      </c>
      <c r="F491" t="inlineStr">
        <is>
          <t>Sveaskog</t>
        </is>
      </c>
      <c r="G491" t="n">
        <v>11.3</v>
      </c>
      <c r="H491" t="n">
        <v>0</v>
      </c>
      <c r="I491" t="n">
        <v>0</v>
      </c>
      <c r="J491" t="n">
        <v>0</v>
      </c>
      <c r="K491" t="n">
        <v>0</v>
      </c>
      <c r="L491" t="n">
        <v>0</v>
      </c>
      <c r="M491" t="n">
        <v>0</v>
      </c>
      <c r="N491" t="n">
        <v>0</v>
      </c>
      <c r="O491" t="n">
        <v>0</v>
      </c>
      <c r="P491" t="n">
        <v>0</v>
      </c>
      <c r="Q491" t="n">
        <v>0</v>
      </c>
      <c r="R491" s="2" t="inlineStr"/>
    </row>
    <row r="492" ht="15" customHeight="1">
      <c r="A492" t="inlineStr">
        <is>
          <t>A 59472-2025</t>
        </is>
      </c>
      <c r="B492" s="1" t="n">
        <v>45989.58321759259</v>
      </c>
      <c r="C492" s="1" t="n">
        <v>46090</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60087-2025</t>
        </is>
      </c>
      <c r="B493" s="1" t="n">
        <v>45993.71726851852</v>
      </c>
      <c r="C493" s="1" t="n">
        <v>46090</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7702-2023</t>
        </is>
      </c>
      <c r="B494" s="1" t="n">
        <v>44967</v>
      </c>
      <c r="C494" s="1" t="n">
        <v>46090</v>
      </c>
      <c r="D494" t="inlineStr">
        <is>
          <t>ÖSTERGÖTLANDS LÄN</t>
        </is>
      </c>
      <c r="E494" t="inlineStr">
        <is>
          <t>LINKÖPING</t>
        </is>
      </c>
      <c r="F494" t="inlineStr">
        <is>
          <t>Övriga statliga verk och myndigheter</t>
        </is>
      </c>
      <c r="G494" t="n">
        <v>8</v>
      </c>
      <c r="H494" t="n">
        <v>0</v>
      </c>
      <c r="I494" t="n">
        <v>0</v>
      </c>
      <c r="J494" t="n">
        <v>0</v>
      </c>
      <c r="K494" t="n">
        <v>0</v>
      </c>
      <c r="L494" t="n">
        <v>0</v>
      </c>
      <c r="M494" t="n">
        <v>0</v>
      </c>
      <c r="N494" t="n">
        <v>0</v>
      </c>
      <c r="O494" t="n">
        <v>0</v>
      </c>
      <c r="P494" t="n">
        <v>0</v>
      </c>
      <c r="Q494" t="n">
        <v>0</v>
      </c>
      <c r="R494" s="2" t="inlineStr"/>
    </row>
    <row r="495" ht="15" customHeight="1">
      <c r="A495" t="inlineStr">
        <is>
          <t>A 11036-2026</t>
        </is>
      </c>
      <c r="B495" s="1" t="n">
        <v>46079.57836805555</v>
      </c>
      <c r="C495" s="1" t="n">
        <v>46090</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42000-2023</t>
        </is>
      </c>
      <c r="B496" s="1" t="n">
        <v>45177</v>
      </c>
      <c r="C496" s="1" t="n">
        <v>46090</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31534-2023</t>
        </is>
      </c>
      <c r="B497" s="1" t="n">
        <v>45116</v>
      </c>
      <c r="C497" s="1" t="n">
        <v>46090</v>
      </c>
      <c r="D497" t="inlineStr">
        <is>
          <t>ÖSTERGÖTLANDS LÄN</t>
        </is>
      </c>
      <c r="E497" t="inlineStr">
        <is>
          <t>LINKÖPING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35427-2023</t>
        </is>
      </c>
      <c r="B498" s="1" t="n">
        <v>45146</v>
      </c>
      <c r="C498" s="1" t="n">
        <v>46090</v>
      </c>
      <c r="D498" t="inlineStr">
        <is>
          <t>ÖSTERGÖTLANDS LÄN</t>
        </is>
      </c>
      <c r="E498" t="inlineStr">
        <is>
          <t>LINKÖPING</t>
        </is>
      </c>
      <c r="F498" t="inlineStr">
        <is>
          <t>Övriga Aktiebolag</t>
        </is>
      </c>
      <c r="G498" t="n">
        <v>2.5</v>
      </c>
      <c r="H498" t="n">
        <v>0</v>
      </c>
      <c r="I498" t="n">
        <v>0</v>
      </c>
      <c r="J498" t="n">
        <v>0</v>
      </c>
      <c r="K498" t="n">
        <v>0</v>
      </c>
      <c r="L498" t="n">
        <v>0</v>
      </c>
      <c r="M498" t="n">
        <v>0</v>
      </c>
      <c r="N498" t="n">
        <v>0</v>
      </c>
      <c r="O498" t="n">
        <v>0</v>
      </c>
      <c r="P498" t="n">
        <v>0</v>
      </c>
      <c r="Q498" t="n">
        <v>0</v>
      </c>
      <c r="R498" s="2" t="inlineStr"/>
    </row>
    <row r="499" ht="15" customHeight="1">
      <c r="A499" t="inlineStr">
        <is>
          <t>A 60306-2025</t>
        </is>
      </c>
      <c r="B499" s="1" t="n">
        <v>45994.68326388889</v>
      </c>
      <c r="C499" s="1" t="n">
        <v>46090</v>
      </c>
      <c r="D499" t="inlineStr">
        <is>
          <t>ÖSTERGÖTLANDS LÄN</t>
        </is>
      </c>
      <c r="E499" t="inlineStr">
        <is>
          <t>LINKÖPING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3045-2026</t>
        </is>
      </c>
      <c r="B500" s="1" t="n">
        <v>46038.74047453704</v>
      </c>
      <c r="C500" s="1" t="n">
        <v>46090</v>
      </c>
      <c r="D500" t="inlineStr">
        <is>
          <t>ÖSTERGÖTLANDS LÄN</t>
        </is>
      </c>
      <c r="E500" t="inlineStr">
        <is>
          <t>LINKÖPING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60284-2025</t>
        </is>
      </c>
      <c r="B501" s="1" t="n">
        <v>45994.64373842593</v>
      </c>
      <c r="C501" s="1" t="n">
        <v>46090</v>
      </c>
      <c r="D501" t="inlineStr">
        <is>
          <t>ÖSTERGÖTLANDS LÄN</t>
        </is>
      </c>
      <c r="E501" t="inlineStr">
        <is>
          <t>LINKÖPING</t>
        </is>
      </c>
      <c r="G501" t="n">
        <v>3.5</v>
      </c>
      <c r="H501" t="n">
        <v>0</v>
      </c>
      <c r="I501" t="n">
        <v>0</v>
      </c>
      <c r="J501" t="n">
        <v>0</v>
      </c>
      <c r="K501" t="n">
        <v>0</v>
      </c>
      <c r="L501" t="n">
        <v>0</v>
      </c>
      <c r="M501" t="n">
        <v>0</v>
      </c>
      <c r="N501" t="n">
        <v>0</v>
      </c>
      <c r="O501" t="n">
        <v>0</v>
      </c>
      <c r="P501" t="n">
        <v>0</v>
      </c>
      <c r="Q501" t="n">
        <v>0</v>
      </c>
      <c r="R501" s="2" t="inlineStr"/>
    </row>
    <row r="502" ht="15" customHeight="1">
      <c r="A502" t="inlineStr">
        <is>
          <t>A 36725-2023</t>
        </is>
      </c>
      <c r="B502" s="1" t="n">
        <v>45153.68471064815</v>
      </c>
      <c r="C502" s="1" t="n">
        <v>46090</v>
      </c>
      <c r="D502" t="inlineStr">
        <is>
          <t>ÖSTERGÖTLANDS LÄN</t>
        </is>
      </c>
      <c r="E502" t="inlineStr">
        <is>
          <t>LINKÖPING</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11169-2026</t>
        </is>
      </c>
      <c r="B503" s="1" t="n">
        <v>46080.37020833333</v>
      </c>
      <c r="C503" s="1" t="n">
        <v>46090</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53639-2023</t>
        </is>
      </c>
      <c r="B504" s="1" t="n">
        <v>45230.59686342593</v>
      </c>
      <c r="C504" s="1" t="n">
        <v>46090</v>
      </c>
      <c r="D504" t="inlineStr">
        <is>
          <t>ÖSTERGÖTLANDS LÄN</t>
        </is>
      </c>
      <c r="E504" t="inlineStr">
        <is>
          <t>LINKÖPING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1657-2024</t>
        </is>
      </c>
      <c r="B505" s="1" t="n">
        <v>45306.82501157407</v>
      </c>
      <c r="C505" s="1" t="n">
        <v>46090</v>
      </c>
      <c r="D505" t="inlineStr">
        <is>
          <t>ÖSTERGÖTLANDS LÄN</t>
        </is>
      </c>
      <c r="E505" t="inlineStr">
        <is>
          <t>LINKÖPING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50784-2022</t>
        </is>
      </c>
      <c r="B506" s="1" t="n">
        <v>44862</v>
      </c>
      <c r="C506" s="1" t="n">
        <v>46090</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26803-2024</t>
        </is>
      </c>
      <c r="B507" s="1" t="n">
        <v>45470</v>
      </c>
      <c r="C507" s="1" t="n">
        <v>46090</v>
      </c>
      <c r="D507" t="inlineStr">
        <is>
          <t>ÖSTERGÖTLANDS LÄN</t>
        </is>
      </c>
      <c r="E507" t="inlineStr">
        <is>
          <t>LINKÖPING</t>
        </is>
      </c>
      <c r="F507" t="inlineStr">
        <is>
          <t>Allmännings- och besparingsskogar</t>
        </is>
      </c>
      <c r="G507" t="n">
        <v>4.5</v>
      </c>
      <c r="H507" t="n">
        <v>0</v>
      </c>
      <c r="I507" t="n">
        <v>0</v>
      </c>
      <c r="J507" t="n">
        <v>0</v>
      </c>
      <c r="K507" t="n">
        <v>0</v>
      </c>
      <c r="L507" t="n">
        <v>0</v>
      </c>
      <c r="M507" t="n">
        <v>0</v>
      </c>
      <c r="N507" t="n">
        <v>0</v>
      </c>
      <c r="O507" t="n">
        <v>0</v>
      </c>
      <c r="P507" t="n">
        <v>0</v>
      </c>
      <c r="Q507" t="n">
        <v>0</v>
      </c>
      <c r="R507" s="2" t="inlineStr"/>
    </row>
    <row r="508" ht="15" customHeight="1">
      <c r="A508" t="inlineStr">
        <is>
          <t>A 60703-2025</t>
        </is>
      </c>
      <c r="B508" s="1" t="n">
        <v>45996.6052662037</v>
      </c>
      <c r="C508" s="1" t="n">
        <v>46090</v>
      </c>
      <c r="D508" t="inlineStr">
        <is>
          <t>ÖSTERGÖTLANDS LÄN</t>
        </is>
      </c>
      <c r="E508" t="inlineStr">
        <is>
          <t>LINKÖPING</t>
        </is>
      </c>
      <c r="F508" t="inlineStr">
        <is>
          <t>Övriga Aktiebolag</t>
        </is>
      </c>
      <c r="G508" t="n">
        <v>1.3</v>
      </c>
      <c r="H508" t="n">
        <v>0</v>
      </c>
      <c r="I508" t="n">
        <v>0</v>
      </c>
      <c r="J508" t="n">
        <v>0</v>
      </c>
      <c r="K508" t="n">
        <v>0</v>
      </c>
      <c r="L508" t="n">
        <v>0</v>
      </c>
      <c r="M508" t="n">
        <v>0</v>
      </c>
      <c r="N508" t="n">
        <v>0</v>
      </c>
      <c r="O508" t="n">
        <v>0</v>
      </c>
      <c r="P508" t="n">
        <v>0</v>
      </c>
      <c r="Q508" t="n">
        <v>0</v>
      </c>
      <c r="R508" s="2" t="inlineStr"/>
    </row>
    <row r="509" ht="15" customHeight="1">
      <c r="A509" t="inlineStr">
        <is>
          <t>A 3043-2026</t>
        </is>
      </c>
      <c r="B509" s="1" t="n">
        <v>46038.73675925926</v>
      </c>
      <c r="C509" s="1" t="n">
        <v>46090</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60866-2025</t>
        </is>
      </c>
      <c r="B510" s="1" t="n">
        <v>45999</v>
      </c>
      <c r="C510" s="1" t="n">
        <v>46090</v>
      </c>
      <c r="D510" t="inlineStr">
        <is>
          <t>ÖSTERGÖTLANDS LÄN</t>
        </is>
      </c>
      <c r="E510" t="inlineStr">
        <is>
          <t>LINKÖPING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3044-2026</t>
        </is>
      </c>
      <c r="B511" s="1" t="n">
        <v>46038.73855324074</v>
      </c>
      <c r="C511" s="1" t="n">
        <v>46090</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19187-2021</t>
        </is>
      </c>
      <c r="B512" s="1" t="n">
        <v>44308</v>
      </c>
      <c r="C512" s="1" t="n">
        <v>46090</v>
      </c>
      <c r="D512" t="inlineStr">
        <is>
          <t>ÖSTERGÖTLANDS LÄN</t>
        </is>
      </c>
      <c r="E512" t="inlineStr">
        <is>
          <t>LINKÖPING</t>
        </is>
      </c>
      <c r="F512" t="inlineStr">
        <is>
          <t>Allmännings- och besparingsskogar</t>
        </is>
      </c>
      <c r="G512" t="n">
        <v>20</v>
      </c>
      <c r="H512" t="n">
        <v>0</v>
      </c>
      <c r="I512" t="n">
        <v>0</v>
      </c>
      <c r="J512" t="n">
        <v>0</v>
      </c>
      <c r="K512" t="n">
        <v>0</v>
      </c>
      <c r="L512" t="n">
        <v>0</v>
      </c>
      <c r="M512" t="n">
        <v>0</v>
      </c>
      <c r="N512" t="n">
        <v>0</v>
      </c>
      <c r="O512" t="n">
        <v>0</v>
      </c>
      <c r="P512" t="n">
        <v>0</v>
      </c>
      <c r="Q512" t="n">
        <v>0</v>
      </c>
      <c r="R512" s="2" t="inlineStr"/>
    </row>
    <row r="513" ht="15" customHeight="1">
      <c r="A513" t="inlineStr">
        <is>
          <t>A 10764-2026</t>
        </is>
      </c>
      <c r="B513" s="1" t="n">
        <v>46078</v>
      </c>
      <c r="C513" s="1" t="n">
        <v>46090</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60472-2022</t>
        </is>
      </c>
      <c r="B514" s="1" t="n">
        <v>44911.41037037037</v>
      </c>
      <c r="C514" s="1" t="n">
        <v>46090</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61230-2025</t>
        </is>
      </c>
      <c r="B515" s="1" t="n">
        <v>46000.63111111111</v>
      </c>
      <c r="C515" s="1" t="n">
        <v>46090</v>
      </c>
      <c r="D515" t="inlineStr">
        <is>
          <t>ÖSTERGÖTLANDS LÄN</t>
        </is>
      </c>
      <c r="E515" t="inlineStr">
        <is>
          <t>LINKÖPING</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43934-2023</t>
        </is>
      </c>
      <c r="B516" s="1" t="n">
        <v>45187</v>
      </c>
      <c r="C516" s="1" t="n">
        <v>46090</v>
      </c>
      <c r="D516" t="inlineStr">
        <is>
          <t>ÖSTERGÖTLANDS LÄN</t>
        </is>
      </c>
      <c r="E516" t="inlineStr">
        <is>
          <t>LINKÖPING</t>
        </is>
      </c>
      <c r="F516" t="inlineStr">
        <is>
          <t>Övriga Aktiebolag</t>
        </is>
      </c>
      <c r="G516" t="n">
        <v>3.8</v>
      </c>
      <c r="H516" t="n">
        <v>0</v>
      </c>
      <c r="I516" t="n">
        <v>0</v>
      </c>
      <c r="J516" t="n">
        <v>0</v>
      </c>
      <c r="K516" t="n">
        <v>0</v>
      </c>
      <c r="L516" t="n">
        <v>0</v>
      </c>
      <c r="M516" t="n">
        <v>0</v>
      </c>
      <c r="N516" t="n">
        <v>0</v>
      </c>
      <c r="O516" t="n">
        <v>0</v>
      </c>
      <c r="P516" t="n">
        <v>0</v>
      </c>
      <c r="Q516" t="n">
        <v>0</v>
      </c>
      <c r="R516" s="2" t="inlineStr"/>
    </row>
    <row r="517" ht="15" customHeight="1">
      <c r="A517" t="inlineStr">
        <is>
          <t>A 22774-2024</t>
        </is>
      </c>
      <c r="B517" s="1" t="n">
        <v>45448.46924768519</v>
      </c>
      <c r="C517" s="1" t="n">
        <v>46090</v>
      </c>
      <c r="D517" t="inlineStr">
        <is>
          <t>ÖSTERGÖTLANDS LÄN</t>
        </is>
      </c>
      <c r="E517" t="inlineStr">
        <is>
          <t>LINKÖPING</t>
        </is>
      </c>
      <c r="F517" t="inlineStr">
        <is>
          <t>Sveaskog</t>
        </is>
      </c>
      <c r="G517" t="n">
        <v>3.3</v>
      </c>
      <c r="H517" t="n">
        <v>0</v>
      </c>
      <c r="I517" t="n">
        <v>0</v>
      </c>
      <c r="J517" t="n">
        <v>0</v>
      </c>
      <c r="K517" t="n">
        <v>0</v>
      </c>
      <c r="L517" t="n">
        <v>0</v>
      </c>
      <c r="M517" t="n">
        <v>0</v>
      </c>
      <c r="N517" t="n">
        <v>0</v>
      </c>
      <c r="O517" t="n">
        <v>0</v>
      </c>
      <c r="P517" t="n">
        <v>0</v>
      </c>
      <c r="Q517" t="n">
        <v>0</v>
      </c>
      <c r="R517" s="2" t="inlineStr"/>
    </row>
    <row r="518" ht="15" customHeight="1">
      <c r="A518" t="inlineStr">
        <is>
          <t>A 22778-2024</t>
        </is>
      </c>
      <c r="B518" s="1" t="n">
        <v>45448.47233796296</v>
      </c>
      <c r="C518" s="1" t="n">
        <v>46090</v>
      </c>
      <c r="D518" t="inlineStr">
        <is>
          <t>ÖSTERGÖTLANDS LÄN</t>
        </is>
      </c>
      <c r="E518" t="inlineStr">
        <is>
          <t>LINKÖPING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1209-2023</t>
        </is>
      </c>
      <c r="B519" s="1" t="n">
        <v>44930</v>
      </c>
      <c r="C519" s="1" t="n">
        <v>46090</v>
      </c>
      <c r="D519" t="inlineStr">
        <is>
          <t>ÖSTERGÖTLANDS LÄN</t>
        </is>
      </c>
      <c r="E519" t="inlineStr">
        <is>
          <t>LINKÖPING</t>
        </is>
      </c>
      <c r="F519" t="inlineStr">
        <is>
          <t>Övriga statliga verk och myndigheter</t>
        </is>
      </c>
      <c r="G519" t="n">
        <v>25.8</v>
      </c>
      <c r="H519" t="n">
        <v>0</v>
      </c>
      <c r="I519" t="n">
        <v>0</v>
      </c>
      <c r="J519" t="n">
        <v>0</v>
      </c>
      <c r="K519" t="n">
        <v>0</v>
      </c>
      <c r="L519" t="n">
        <v>0</v>
      </c>
      <c r="M519" t="n">
        <v>0</v>
      </c>
      <c r="N519" t="n">
        <v>0</v>
      </c>
      <c r="O519" t="n">
        <v>0</v>
      </c>
      <c r="P519" t="n">
        <v>0</v>
      </c>
      <c r="Q519" t="n">
        <v>0</v>
      </c>
      <c r="R519" s="2" t="inlineStr"/>
    </row>
    <row r="520" ht="15" customHeight="1">
      <c r="A520" t="inlineStr">
        <is>
          <t>A 61447-2025</t>
        </is>
      </c>
      <c r="B520" s="1" t="n">
        <v>46001.57554398148</v>
      </c>
      <c r="C520" s="1" t="n">
        <v>46090</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10407-2025</t>
        </is>
      </c>
      <c r="B521" s="1" t="n">
        <v>45720.62863425926</v>
      </c>
      <c r="C521" s="1" t="n">
        <v>46090</v>
      </c>
      <c r="D521" t="inlineStr">
        <is>
          <t>ÖSTERGÖTLANDS LÄN</t>
        </is>
      </c>
      <c r="E521" t="inlineStr">
        <is>
          <t>LINKÖPING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11590-2023</t>
        </is>
      </c>
      <c r="B522" s="1" t="n">
        <v>44994.36689814815</v>
      </c>
      <c r="C522" s="1" t="n">
        <v>46090</v>
      </c>
      <c r="D522" t="inlineStr">
        <is>
          <t>ÖSTERGÖTLANDS LÄN</t>
        </is>
      </c>
      <c r="E522" t="inlineStr">
        <is>
          <t>LINKÖPING</t>
        </is>
      </c>
      <c r="G522" t="n">
        <v>3.1</v>
      </c>
      <c r="H522" t="n">
        <v>0</v>
      </c>
      <c r="I522" t="n">
        <v>0</v>
      </c>
      <c r="J522" t="n">
        <v>0</v>
      </c>
      <c r="K522" t="n">
        <v>0</v>
      </c>
      <c r="L522" t="n">
        <v>0</v>
      </c>
      <c r="M522" t="n">
        <v>0</v>
      </c>
      <c r="N522" t="n">
        <v>0</v>
      </c>
      <c r="O522" t="n">
        <v>0</v>
      </c>
      <c r="P522" t="n">
        <v>0</v>
      </c>
      <c r="Q522" t="n">
        <v>0</v>
      </c>
      <c r="R522" s="2" t="inlineStr"/>
    </row>
    <row r="523" ht="15" customHeight="1">
      <c r="A523" t="inlineStr">
        <is>
          <t>A 61899-2025</t>
        </is>
      </c>
      <c r="B523" s="1" t="n">
        <v>46003.46635416667</v>
      </c>
      <c r="C523" s="1" t="n">
        <v>46090</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19169-2023</t>
        </is>
      </c>
      <c r="B524" s="1" t="n">
        <v>45044</v>
      </c>
      <c r="C524" s="1" t="n">
        <v>46090</v>
      </c>
      <c r="D524" t="inlineStr">
        <is>
          <t>ÖSTERGÖTLANDS LÄN</t>
        </is>
      </c>
      <c r="E524" t="inlineStr">
        <is>
          <t>LINKÖPING</t>
        </is>
      </c>
      <c r="G524" t="n">
        <v>2.7</v>
      </c>
      <c r="H524" t="n">
        <v>0</v>
      </c>
      <c r="I524" t="n">
        <v>0</v>
      </c>
      <c r="J524" t="n">
        <v>0</v>
      </c>
      <c r="K524" t="n">
        <v>0</v>
      </c>
      <c r="L524" t="n">
        <v>0</v>
      </c>
      <c r="M524" t="n">
        <v>0</v>
      </c>
      <c r="N524" t="n">
        <v>0</v>
      </c>
      <c r="O524" t="n">
        <v>0</v>
      </c>
      <c r="P524" t="n">
        <v>0</v>
      </c>
      <c r="Q524" t="n">
        <v>0</v>
      </c>
      <c r="R524" s="2" t="inlineStr"/>
    </row>
    <row r="525" ht="15" customHeight="1">
      <c r="A525" t="inlineStr">
        <is>
          <t>A 3046-2026</t>
        </is>
      </c>
      <c r="B525" s="1" t="n">
        <v>46038.74182870371</v>
      </c>
      <c r="C525" s="1" t="n">
        <v>46090</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11888-2026</t>
        </is>
      </c>
      <c r="B526" s="1" t="n">
        <v>46085.51813657407</v>
      </c>
      <c r="C526" s="1" t="n">
        <v>46090</v>
      </c>
      <c r="D526" t="inlineStr">
        <is>
          <t>ÖSTERGÖTLANDS LÄN</t>
        </is>
      </c>
      <c r="E526" t="inlineStr">
        <is>
          <t>LINKÖPING</t>
        </is>
      </c>
      <c r="G526" t="n">
        <v>3.6</v>
      </c>
      <c r="H526" t="n">
        <v>0</v>
      </c>
      <c r="I526" t="n">
        <v>0</v>
      </c>
      <c r="J526" t="n">
        <v>0</v>
      </c>
      <c r="K526" t="n">
        <v>0</v>
      </c>
      <c r="L526" t="n">
        <v>0</v>
      </c>
      <c r="M526" t="n">
        <v>0</v>
      </c>
      <c r="N526" t="n">
        <v>0</v>
      </c>
      <c r="O526" t="n">
        <v>0</v>
      </c>
      <c r="P526" t="n">
        <v>0</v>
      </c>
      <c r="Q526" t="n">
        <v>0</v>
      </c>
      <c r="R526" s="2" t="inlineStr"/>
    </row>
    <row r="527" ht="15" customHeight="1">
      <c r="A527" t="inlineStr">
        <is>
          <t>A 672-2024</t>
        </is>
      </c>
      <c r="B527" s="1" t="n">
        <v>45300</v>
      </c>
      <c r="C527" s="1" t="n">
        <v>46090</v>
      </c>
      <c r="D527" t="inlineStr">
        <is>
          <t>ÖSTERGÖTLANDS LÄN</t>
        </is>
      </c>
      <c r="E527" t="inlineStr">
        <is>
          <t>LINKÖPING</t>
        </is>
      </c>
      <c r="F527" t="inlineStr">
        <is>
          <t>Sveaskog</t>
        </is>
      </c>
      <c r="G527" t="n">
        <v>4.5</v>
      </c>
      <c r="H527" t="n">
        <v>0</v>
      </c>
      <c r="I527" t="n">
        <v>0</v>
      </c>
      <c r="J527" t="n">
        <v>0</v>
      </c>
      <c r="K527" t="n">
        <v>0</v>
      </c>
      <c r="L527" t="n">
        <v>0</v>
      </c>
      <c r="M527" t="n">
        <v>0</v>
      </c>
      <c r="N527" t="n">
        <v>0</v>
      </c>
      <c r="O527" t="n">
        <v>0</v>
      </c>
      <c r="P527" t="n">
        <v>0</v>
      </c>
      <c r="Q527" t="n">
        <v>0</v>
      </c>
      <c r="R527" s="2" t="inlineStr"/>
    </row>
    <row r="528" ht="15" customHeight="1">
      <c r="A528" t="inlineStr">
        <is>
          <t>A 55493-2021</t>
        </is>
      </c>
      <c r="B528" s="1" t="n">
        <v>44475.61988425926</v>
      </c>
      <c r="C528" s="1" t="n">
        <v>46090</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61643-2025</t>
        </is>
      </c>
      <c r="B529" s="1" t="n">
        <v>46002.43575231481</v>
      </c>
      <c r="C529" s="1" t="n">
        <v>46090</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61645-2025</t>
        </is>
      </c>
      <c r="B530" s="1" t="n">
        <v>46002.43697916667</v>
      </c>
      <c r="C530" s="1" t="n">
        <v>46090</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14093-2024</t>
        </is>
      </c>
      <c r="B531" s="1" t="n">
        <v>45392.60278935185</v>
      </c>
      <c r="C531" s="1" t="n">
        <v>46090</v>
      </c>
      <c r="D531" t="inlineStr">
        <is>
          <t>ÖSTERGÖTLANDS LÄN</t>
        </is>
      </c>
      <c r="E531" t="inlineStr">
        <is>
          <t>LINKÖPING</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62019-2024</t>
        </is>
      </c>
      <c r="B532" s="1" t="n">
        <v>45655.82</v>
      </c>
      <c r="C532" s="1" t="n">
        <v>46090</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5099-2026</t>
        </is>
      </c>
      <c r="B533" s="1" t="n">
        <v>46049.56158564815</v>
      </c>
      <c r="C533" s="1" t="n">
        <v>46090</v>
      </c>
      <c r="D533" t="inlineStr">
        <is>
          <t>ÖSTERGÖTLANDS LÄN</t>
        </is>
      </c>
      <c r="E533" t="inlineStr">
        <is>
          <t>LINKÖPING</t>
        </is>
      </c>
      <c r="G533" t="n">
        <v>5</v>
      </c>
      <c r="H533" t="n">
        <v>0</v>
      </c>
      <c r="I533" t="n">
        <v>0</v>
      </c>
      <c r="J533" t="n">
        <v>0</v>
      </c>
      <c r="K533" t="n">
        <v>0</v>
      </c>
      <c r="L533" t="n">
        <v>0</v>
      </c>
      <c r="M533" t="n">
        <v>0</v>
      </c>
      <c r="N533" t="n">
        <v>0</v>
      </c>
      <c r="O533" t="n">
        <v>0</v>
      </c>
      <c r="P533" t="n">
        <v>0</v>
      </c>
      <c r="Q533" t="n">
        <v>0</v>
      </c>
      <c r="R533" s="2" t="inlineStr"/>
    </row>
    <row r="534" ht="15" customHeight="1">
      <c r="A534" t="inlineStr">
        <is>
          <t>A 25119-2023</t>
        </is>
      </c>
      <c r="B534" s="1" t="n">
        <v>45086.42326388889</v>
      </c>
      <c r="C534" s="1" t="n">
        <v>46090</v>
      </c>
      <c r="D534" t="inlineStr">
        <is>
          <t>ÖSTERGÖTLANDS LÄN</t>
        </is>
      </c>
      <c r="E534" t="inlineStr">
        <is>
          <t>LINKÖPING</t>
        </is>
      </c>
      <c r="G534" t="n">
        <v>3.2</v>
      </c>
      <c r="H534" t="n">
        <v>0</v>
      </c>
      <c r="I534" t="n">
        <v>0</v>
      </c>
      <c r="J534" t="n">
        <v>0</v>
      </c>
      <c r="K534" t="n">
        <v>0</v>
      </c>
      <c r="L534" t="n">
        <v>0</v>
      </c>
      <c r="M534" t="n">
        <v>0</v>
      </c>
      <c r="N534" t="n">
        <v>0</v>
      </c>
      <c r="O534" t="n">
        <v>0</v>
      </c>
      <c r="P534" t="n">
        <v>0</v>
      </c>
      <c r="Q534" t="n">
        <v>0</v>
      </c>
      <c r="R534" s="2" t="inlineStr"/>
    </row>
    <row r="535" ht="15" customHeight="1">
      <c r="A535" t="inlineStr">
        <is>
          <t>A 57396-2021</t>
        </is>
      </c>
      <c r="B535" s="1" t="n">
        <v>44483.56151620371</v>
      </c>
      <c r="C535" s="1" t="n">
        <v>46090</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51571-2024</t>
        </is>
      </c>
      <c r="B536" s="1" t="n">
        <v>45604</v>
      </c>
      <c r="C536" s="1" t="n">
        <v>46090</v>
      </c>
      <c r="D536" t="inlineStr">
        <is>
          <t>ÖSTERGÖTLANDS LÄN</t>
        </is>
      </c>
      <c r="E536" t="inlineStr">
        <is>
          <t>LINKÖPING</t>
        </is>
      </c>
      <c r="F536" t="inlineStr">
        <is>
          <t>Övriga Aktiebolag</t>
        </is>
      </c>
      <c r="G536" t="n">
        <v>1.4</v>
      </c>
      <c r="H536" t="n">
        <v>0</v>
      </c>
      <c r="I536" t="n">
        <v>0</v>
      </c>
      <c r="J536" t="n">
        <v>0</v>
      </c>
      <c r="K536" t="n">
        <v>0</v>
      </c>
      <c r="L536" t="n">
        <v>0</v>
      </c>
      <c r="M536" t="n">
        <v>0</v>
      </c>
      <c r="N536" t="n">
        <v>0</v>
      </c>
      <c r="O536" t="n">
        <v>0</v>
      </c>
      <c r="P536" t="n">
        <v>0</v>
      </c>
      <c r="Q536" t="n">
        <v>0</v>
      </c>
      <c r="R536" s="2" t="inlineStr"/>
    </row>
    <row r="537" ht="15" customHeight="1">
      <c r="A537" t="inlineStr">
        <is>
          <t>A 17143-2025</t>
        </is>
      </c>
      <c r="B537" s="1" t="n">
        <v>45755.92731481481</v>
      </c>
      <c r="C537" s="1" t="n">
        <v>46090</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11891-2026</t>
        </is>
      </c>
      <c r="B538" s="1" t="n">
        <v>46085.5197800926</v>
      </c>
      <c r="C538" s="1" t="n">
        <v>46090</v>
      </c>
      <c r="D538" t="inlineStr">
        <is>
          <t>ÖSTERGÖTLANDS LÄN</t>
        </is>
      </c>
      <c r="E538" t="inlineStr">
        <is>
          <t>LINKÖPING</t>
        </is>
      </c>
      <c r="G538" t="n">
        <v>2.8</v>
      </c>
      <c r="H538" t="n">
        <v>0</v>
      </c>
      <c r="I538" t="n">
        <v>0</v>
      </c>
      <c r="J538" t="n">
        <v>0</v>
      </c>
      <c r="K538" t="n">
        <v>0</v>
      </c>
      <c r="L538" t="n">
        <v>0</v>
      </c>
      <c r="M538" t="n">
        <v>0</v>
      </c>
      <c r="N538" t="n">
        <v>0</v>
      </c>
      <c r="O538" t="n">
        <v>0</v>
      </c>
      <c r="P538" t="n">
        <v>0</v>
      </c>
      <c r="Q538" t="n">
        <v>0</v>
      </c>
      <c r="R538" s="2" t="inlineStr"/>
    </row>
    <row r="539" ht="15" customHeight="1">
      <c r="A539" t="inlineStr">
        <is>
          <t>A 62515-2025</t>
        </is>
      </c>
      <c r="B539" s="1" t="n">
        <v>46007.60548611111</v>
      </c>
      <c r="C539" s="1" t="n">
        <v>46090</v>
      </c>
      <c r="D539" t="inlineStr">
        <is>
          <t>ÖSTERGÖTLANDS LÄN</t>
        </is>
      </c>
      <c r="E539" t="inlineStr">
        <is>
          <t>LINKÖPING</t>
        </is>
      </c>
      <c r="G539" t="n">
        <v>2.2</v>
      </c>
      <c r="H539" t="n">
        <v>0</v>
      </c>
      <c r="I539" t="n">
        <v>0</v>
      </c>
      <c r="J539" t="n">
        <v>0</v>
      </c>
      <c r="K539" t="n">
        <v>0</v>
      </c>
      <c r="L539" t="n">
        <v>0</v>
      </c>
      <c r="M539" t="n">
        <v>0</v>
      </c>
      <c r="N539" t="n">
        <v>0</v>
      </c>
      <c r="O539" t="n">
        <v>0</v>
      </c>
      <c r="P539" t="n">
        <v>0</v>
      </c>
      <c r="Q539" t="n">
        <v>0</v>
      </c>
      <c r="R539" s="2" t="inlineStr"/>
    </row>
    <row r="540" ht="15" customHeight="1">
      <c r="A540" t="inlineStr">
        <is>
          <t>A 17124-2025</t>
        </is>
      </c>
      <c r="B540" s="1" t="n">
        <v>45755.69678240741</v>
      </c>
      <c r="C540" s="1" t="n">
        <v>46090</v>
      </c>
      <c r="D540" t="inlineStr">
        <is>
          <t>ÖSTERGÖTLANDS LÄN</t>
        </is>
      </c>
      <c r="E540" t="inlineStr">
        <is>
          <t>LINKÖPING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17126-2025</t>
        </is>
      </c>
      <c r="B541" s="1" t="n">
        <v>45755.70814814815</v>
      </c>
      <c r="C541" s="1" t="n">
        <v>46090</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31640-2023</t>
        </is>
      </c>
      <c r="B542" s="1" t="n">
        <v>45117</v>
      </c>
      <c r="C542" s="1" t="n">
        <v>46090</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5545-2026</t>
        </is>
      </c>
      <c r="B543" s="1" t="n">
        <v>46050.70089120371</v>
      </c>
      <c r="C543" s="1" t="n">
        <v>46090</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11790-2024</t>
        </is>
      </c>
      <c r="B544" s="1" t="n">
        <v>45374</v>
      </c>
      <c r="C544" s="1" t="n">
        <v>46090</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62791-2025</t>
        </is>
      </c>
      <c r="B545" s="1" t="n">
        <v>46008.63266203704</v>
      </c>
      <c r="C545" s="1" t="n">
        <v>46090</v>
      </c>
      <c r="D545" t="inlineStr">
        <is>
          <t>ÖSTERGÖTLANDS LÄN</t>
        </is>
      </c>
      <c r="E545" t="inlineStr">
        <is>
          <t>LINKÖPING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61281-2021</t>
        </is>
      </c>
      <c r="B546" s="1" t="n">
        <v>44498.60736111111</v>
      </c>
      <c r="C546" s="1" t="n">
        <v>46090</v>
      </c>
      <c r="D546" t="inlineStr">
        <is>
          <t>ÖSTERGÖTLANDS LÄN</t>
        </is>
      </c>
      <c r="E546" t="inlineStr">
        <is>
          <t>LINKÖPING</t>
        </is>
      </c>
      <c r="G546" t="n">
        <v>4.5</v>
      </c>
      <c r="H546" t="n">
        <v>0</v>
      </c>
      <c r="I546" t="n">
        <v>0</v>
      </c>
      <c r="J546" t="n">
        <v>0</v>
      </c>
      <c r="K546" t="n">
        <v>0</v>
      </c>
      <c r="L546" t="n">
        <v>0</v>
      </c>
      <c r="M546" t="n">
        <v>0</v>
      </c>
      <c r="N546" t="n">
        <v>0</v>
      </c>
      <c r="O546" t="n">
        <v>0</v>
      </c>
      <c r="P546" t="n">
        <v>0</v>
      </c>
      <c r="Q546" t="n">
        <v>0</v>
      </c>
      <c r="R546" s="2" t="inlineStr"/>
    </row>
    <row r="547" ht="15" customHeight="1">
      <c r="A547" t="inlineStr">
        <is>
          <t>A 62686-2025</t>
        </is>
      </c>
      <c r="B547" s="1" t="n">
        <v>46008.46769675926</v>
      </c>
      <c r="C547" s="1" t="n">
        <v>46090</v>
      </c>
      <c r="D547" t="inlineStr">
        <is>
          <t>ÖSTERGÖTLANDS LÄN</t>
        </is>
      </c>
      <c r="E547" t="inlineStr">
        <is>
          <t>LINKÖPING</t>
        </is>
      </c>
      <c r="G547" t="n">
        <v>7.6</v>
      </c>
      <c r="H547" t="n">
        <v>0</v>
      </c>
      <c r="I547" t="n">
        <v>0</v>
      </c>
      <c r="J547" t="n">
        <v>0</v>
      </c>
      <c r="K547" t="n">
        <v>0</v>
      </c>
      <c r="L547" t="n">
        <v>0</v>
      </c>
      <c r="M547" t="n">
        <v>0</v>
      </c>
      <c r="N547" t="n">
        <v>0</v>
      </c>
      <c r="O547" t="n">
        <v>0</v>
      </c>
      <c r="P547" t="n">
        <v>0</v>
      </c>
      <c r="Q547" t="n">
        <v>0</v>
      </c>
      <c r="R547" s="2" t="inlineStr"/>
    </row>
    <row r="548" ht="15" customHeight="1">
      <c r="A548" t="inlineStr">
        <is>
          <t>A 63147-2025</t>
        </is>
      </c>
      <c r="B548" s="1" t="n">
        <v>46010.35003472222</v>
      </c>
      <c r="C548" s="1" t="n">
        <v>46090</v>
      </c>
      <c r="D548" t="inlineStr">
        <is>
          <t>ÖSTERGÖTLANDS LÄN</t>
        </is>
      </c>
      <c r="E548" t="inlineStr">
        <is>
          <t>LINKÖPING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12251-2026</t>
        </is>
      </c>
      <c r="B549" s="1" t="n">
        <v>46087.45278935185</v>
      </c>
      <c r="C549" s="1" t="n">
        <v>46090</v>
      </c>
      <c r="D549" t="inlineStr">
        <is>
          <t>ÖSTERGÖTLANDS LÄN</t>
        </is>
      </c>
      <c r="E549" t="inlineStr">
        <is>
          <t>LINKÖPING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12254-2026</t>
        </is>
      </c>
      <c r="B550" s="1" t="n">
        <v>46087.46196759259</v>
      </c>
      <c r="C550" s="1" t="n">
        <v>46090</v>
      </c>
      <c r="D550" t="inlineStr">
        <is>
          <t>ÖSTERGÖTLANDS LÄN</t>
        </is>
      </c>
      <c r="E550" t="inlineStr">
        <is>
          <t>LINKÖPING</t>
        </is>
      </c>
      <c r="G550" t="n">
        <v>10.4</v>
      </c>
      <c r="H550" t="n">
        <v>0</v>
      </c>
      <c r="I550" t="n">
        <v>0</v>
      </c>
      <c r="J550" t="n">
        <v>0</v>
      </c>
      <c r="K550" t="n">
        <v>0</v>
      </c>
      <c r="L550" t="n">
        <v>0</v>
      </c>
      <c r="M550" t="n">
        <v>0</v>
      </c>
      <c r="N550" t="n">
        <v>0</v>
      </c>
      <c r="O550" t="n">
        <v>0</v>
      </c>
      <c r="P550" t="n">
        <v>0</v>
      </c>
      <c r="Q550" t="n">
        <v>0</v>
      </c>
      <c r="R550" s="2" t="inlineStr"/>
    </row>
    <row r="551" ht="15" customHeight="1">
      <c r="A551" t="inlineStr">
        <is>
          <t>A 6206-2024</t>
        </is>
      </c>
      <c r="B551" s="1" t="n">
        <v>45337.5977662037</v>
      </c>
      <c r="C551" s="1" t="n">
        <v>46090</v>
      </c>
      <c r="D551" t="inlineStr">
        <is>
          <t>ÖSTERGÖTLANDS LÄN</t>
        </is>
      </c>
      <c r="E551" t="inlineStr">
        <is>
          <t>LINKÖPING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6164-2026</t>
        </is>
      </c>
      <c r="B552" s="1" t="n">
        <v>46055.32596064815</v>
      </c>
      <c r="C552" s="1" t="n">
        <v>46090</v>
      </c>
      <c r="D552" t="inlineStr">
        <is>
          <t>ÖSTERGÖTLANDS LÄN</t>
        </is>
      </c>
      <c r="E552" t="inlineStr">
        <is>
          <t>LINKÖPING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168-2024</t>
        </is>
      </c>
      <c r="B553" s="1" t="n">
        <v>45294</v>
      </c>
      <c r="C553" s="1" t="n">
        <v>46090</v>
      </c>
      <c r="D553" t="inlineStr">
        <is>
          <t>ÖSTERGÖTLANDS LÄN</t>
        </is>
      </c>
      <c r="E553" t="inlineStr">
        <is>
          <t>LINKÖPING</t>
        </is>
      </c>
      <c r="F553" t="inlineStr">
        <is>
          <t>Allmännings- och besparingsskogar</t>
        </is>
      </c>
      <c r="G553" t="n">
        <v>8.9</v>
      </c>
      <c r="H553" t="n">
        <v>0</v>
      </c>
      <c r="I553" t="n">
        <v>0</v>
      </c>
      <c r="J553" t="n">
        <v>0</v>
      </c>
      <c r="K553" t="n">
        <v>0</v>
      </c>
      <c r="L553" t="n">
        <v>0</v>
      </c>
      <c r="M553" t="n">
        <v>0</v>
      </c>
      <c r="N553" t="n">
        <v>0</v>
      </c>
      <c r="O553" t="n">
        <v>0</v>
      </c>
      <c r="P553" t="n">
        <v>0</v>
      </c>
      <c r="Q553" t="n">
        <v>0</v>
      </c>
      <c r="R553" s="2" t="inlineStr"/>
    </row>
    <row r="554" ht="15" customHeight="1">
      <c r="A554" t="inlineStr">
        <is>
          <t>A 4469-2026</t>
        </is>
      </c>
      <c r="B554" s="1" t="n">
        <v>46045.65662037037</v>
      </c>
      <c r="C554" s="1" t="n">
        <v>46090</v>
      </c>
      <c r="D554" t="inlineStr">
        <is>
          <t>ÖSTERGÖTLANDS LÄN</t>
        </is>
      </c>
      <c r="E554" t="inlineStr">
        <is>
          <t>LINKÖPING</t>
        </is>
      </c>
      <c r="F554" t="inlineStr">
        <is>
          <t>Övriga Aktiebolag</t>
        </is>
      </c>
      <c r="G554" t="n">
        <v>3.8</v>
      </c>
      <c r="H554" t="n">
        <v>0</v>
      </c>
      <c r="I554" t="n">
        <v>0</v>
      </c>
      <c r="J554" t="n">
        <v>0</v>
      </c>
      <c r="K554" t="n">
        <v>0</v>
      </c>
      <c r="L554" t="n">
        <v>0</v>
      </c>
      <c r="M554" t="n">
        <v>0</v>
      </c>
      <c r="N554" t="n">
        <v>0</v>
      </c>
      <c r="O554" t="n">
        <v>0</v>
      </c>
      <c r="P554" t="n">
        <v>0</v>
      </c>
      <c r="Q554" t="n">
        <v>0</v>
      </c>
      <c r="R554" s="2" t="inlineStr"/>
    </row>
    <row r="555" ht="15" customHeight="1">
      <c r="A555" t="inlineStr">
        <is>
          <t>A 51919-2024</t>
        </is>
      </c>
      <c r="B555" s="1" t="n">
        <v>45607.60791666667</v>
      </c>
      <c r="C555" s="1" t="n">
        <v>46090</v>
      </c>
      <c r="D555" t="inlineStr">
        <is>
          <t>ÖSTERGÖTLANDS LÄN</t>
        </is>
      </c>
      <c r="E555" t="inlineStr">
        <is>
          <t>LINKÖPING</t>
        </is>
      </c>
      <c r="G555" t="n">
        <v>2.5</v>
      </c>
      <c r="H555" t="n">
        <v>0</v>
      </c>
      <c r="I555" t="n">
        <v>0</v>
      </c>
      <c r="J555" t="n">
        <v>0</v>
      </c>
      <c r="K555" t="n">
        <v>0</v>
      </c>
      <c r="L555" t="n">
        <v>0</v>
      </c>
      <c r="M555" t="n">
        <v>0</v>
      </c>
      <c r="N555" t="n">
        <v>0</v>
      </c>
      <c r="O555" t="n">
        <v>0</v>
      </c>
      <c r="P555" t="n">
        <v>0</v>
      </c>
      <c r="Q555" t="n">
        <v>0</v>
      </c>
      <c r="R555" s="2" t="inlineStr"/>
    </row>
    <row r="556" ht="15" customHeight="1">
      <c r="A556" t="inlineStr">
        <is>
          <t>A 56623-2024</t>
        </is>
      </c>
      <c r="B556" s="1" t="n">
        <v>45625</v>
      </c>
      <c r="C556" s="1" t="n">
        <v>46090</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11330-2023</t>
        </is>
      </c>
      <c r="B557" s="1" t="n">
        <v>44993.24648148148</v>
      </c>
      <c r="C557" s="1" t="n">
        <v>46090</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63304-2021</t>
        </is>
      </c>
      <c r="B558" s="1" t="n">
        <v>44508.4396412037</v>
      </c>
      <c r="C558" s="1" t="n">
        <v>46090</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6384-2026</t>
        </is>
      </c>
      <c r="B559" s="1" t="n">
        <v>46055.63732638889</v>
      </c>
      <c r="C559" s="1" t="n">
        <v>46090</v>
      </c>
      <c r="D559" t="inlineStr">
        <is>
          <t>ÖSTERGÖTLANDS LÄN</t>
        </is>
      </c>
      <c r="E559" t="inlineStr">
        <is>
          <t>LINKÖPING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12247-2026</t>
        </is>
      </c>
      <c r="B560" s="1" t="n">
        <v>46087.44436342592</v>
      </c>
      <c r="C560" s="1" t="n">
        <v>46090</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12255-2026</t>
        </is>
      </c>
      <c r="B561" s="1" t="n">
        <v>46087.46630787037</v>
      </c>
      <c r="C561" s="1" t="n">
        <v>46090</v>
      </c>
      <c r="D561" t="inlineStr">
        <is>
          <t>ÖSTERGÖTLANDS LÄN</t>
        </is>
      </c>
      <c r="E561" t="inlineStr">
        <is>
          <t>LINKÖPING</t>
        </is>
      </c>
      <c r="F561" t="inlineStr">
        <is>
          <t>Övriga Aktiebolag</t>
        </is>
      </c>
      <c r="G561" t="n">
        <v>3.2</v>
      </c>
      <c r="H561" t="n">
        <v>0</v>
      </c>
      <c r="I561" t="n">
        <v>0</v>
      </c>
      <c r="J561" t="n">
        <v>0</v>
      </c>
      <c r="K561" t="n">
        <v>0</v>
      </c>
      <c r="L561" t="n">
        <v>0</v>
      </c>
      <c r="M561" t="n">
        <v>0</v>
      </c>
      <c r="N561" t="n">
        <v>0</v>
      </c>
      <c r="O561" t="n">
        <v>0</v>
      </c>
      <c r="P561" t="n">
        <v>0</v>
      </c>
      <c r="Q561" t="n">
        <v>0</v>
      </c>
      <c r="R561" s="2" t="inlineStr"/>
    </row>
    <row r="562" ht="15" customHeight="1">
      <c r="A562" t="inlineStr">
        <is>
          <t>A 14528-2025</t>
        </is>
      </c>
      <c r="B562" s="1" t="n">
        <v>45741</v>
      </c>
      <c r="C562" s="1" t="n">
        <v>46090</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63144-2025</t>
        </is>
      </c>
      <c r="B563" s="1" t="n">
        <v>46010.34716435185</v>
      </c>
      <c r="C563" s="1" t="n">
        <v>46090</v>
      </c>
      <c r="D563" t="inlineStr">
        <is>
          <t>ÖSTERGÖTLANDS LÄN</t>
        </is>
      </c>
      <c r="E563" t="inlineStr">
        <is>
          <t>LINKÖPING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3530-2024</t>
        </is>
      </c>
      <c r="B564" s="1" t="n">
        <v>45320.54717592592</v>
      </c>
      <c r="C564" s="1" t="n">
        <v>46090</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62073-2023</t>
        </is>
      </c>
      <c r="B565" s="1" t="n">
        <v>45266.73844907407</v>
      </c>
      <c r="C565" s="1" t="n">
        <v>46090</v>
      </c>
      <c r="D565" t="inlineStr">
        <is>
          <t>ÖSTERGÖTLANDS LÄN</t>
        </is>
      </c>
      <c r="E565" t="inlineStr">
        <is>
          <t>LINKÖPING</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5872-2025</t>
        </is>
      </c>
      <c r="B566" s="1" t="n">
        <v>45695.36659722222</v>
      </c>
      <c r="C566" s="1" t="n">
        <v>46090</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53814-2023</t>
        </is>
      </c>
      <c r="B567" s="1" t="n">
        <v>45231</v>
      </c>
      <c r="C567" s="1" t="n">
        <v>46090</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38886-2024</t>
        </is>
      </c>
      <c r="B568" s="1" t="n">
        <v>45547.66443287037</v>
      </c>
      <c r="C568" s="1" t="n">
        <v>46090</v>
      </c>
      <c r="D568" t="inlineStr">
        <is>
          <t>ÖSTERGÖTLANDS LÄN</t>
        </is>
      </c>
      <c r="E568" t="inlineStr">
        <is>
          <t>LINKÖPING</t>
        </is>
      </c>
      <c r="G568" t="n">
        <v>5.3</v>
      </c>
      <c r="H568" t="n">
        <v>0</v>
      </c>
      <c r="I568" t="n">
        <v>0</v>
      </c>
      <c r="J568" t="n">
        <v>0</v>
      </c>
      <c r="K568" t="n">
        <v>0</v>
      </c>
      <c r="L568" t="n">
        <v>0</v>
      </c>
      <c r="M568" t="n">
        <v>0</v>
      </c>
      <c r="N568" t="n">
        <v>0</v>
      </c>
      <c r="O568" t="n">
        <v>0</v>
      </c>
      <c r="P568" t="n">
        <v>0</v>
      </c>
      <c r="Q568" t="n">
        <v>0</v>
      </c>
      <c r="R568" s="2" t="inlineStr"/>
    </row>
    <row r="569" ht="15" customHeight="1">
      <c r="A569" t="inlineStr">
        <is>
          <t>A 3432-2023</t>
        </is>
      </c>
      <c r="B569" s="1" t="n">
        <v>44949</v>
      </c>
      <c r="C569" s="1" t="n">
        <v>46090</v>
      </c>
      <c r="D569" t="inlineStr">
        <is>
          <t>ÖSTERGÖTLANDS LÄN</t>
        </is>
      </c>
      <c r="E569" t="inlineStr">
        <is>
          <t>LINKÖPING</t>
        </is>
      </c>
      <c r="G569" t="n">
        <v>1.9</v>
      </c>
      <c r="H569" t="n">
        <v>0</v>
      </c>
      <c r="I569" t="n">
        <v>0</v>
      </c>
      <c r="J569" t="n">
        <v>0</v>
      </c>
      <c r="K569" t="n">
        <v>0</v>
      </c>
      <c r="L569" t="n">
        <v>0</v>
      </c>
      <c r="M569" t="n">
        <v>0</v>
      </c>
      <c r="N569" t="n">
        <v>0</v>
      </c>
      <c r="O569" t="n">
        <v>0</v>
      </c>
      <c r="P569" t="n">
        <v>0</v>
      </c>
      <c r="Q569" t="n">
        <v>0</v>
      </c>
      <c r="R569" s="2" t="inlineStr"/>
    </row>
    <row r="570" ht="15" customHeight="1">
      <c r="A570" t="inlineStr">
        <is>
          <t>A 54425-2022</t>
        </is>
      </c>
      <c r="B570" s="1" t="n">
        <v>44882.57453703704</v>
      </c>
      <c r="C570" s="1" t="n">
        <v>46090</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54428-2022</t>
        </is>
      </c>
      <c r="B571" s="1" t="n">
        <v>44882.57643518518</v>
      </c>
      <c r="C571" s="1" t="n">
        <v>46090</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660-2023</t>
        </is>
      </c>
      <c r="B572" s="1" t="n">
        <v>44930</v>
      </c>
      <c r="C572" s="1" t="n">
        <v>46090</v>
      </c>
      <c r="D572" t="inlineStr">
        <is>
          <t>ÖSTERGÖTLANDS LÄN</t>
        </is>
      </c>
      <c r="E572" t="inlineStr">
        <is>
          <t>LINKÖPING</t>
        </is>
      </c>
      <c r="F572" t="inlineStr">
        <is>
          <t>Kyrkan</t>
        </is>
      </c>
      <c r="G572" t="n">
        <v>1.6</v>
      </c>
      <c r="H572" t="n">
        <v>0</v>
      </c>
      <c r="I572" t="n">
        <v>0</v>
      </c>
      <c r="J572" t="n">
        <v>0</v>
      </c>
      <c r="K572" t="n">
        <v>0</v>
      </c>
      <c r="L572" t="n">
        <v>0</v>
      </c>
      <c r="M572" t="n">
        <v>0</v>
      </c>
      <c r="N572" t="n">
        <v>0</v>
      </c>
      <c r="O572" t="n">
        <v>0</v>
      </c>
      <c r="P572" t="n">
        <v>0</v>
      </c>
      <c r="Q572" t="n">
        <v>0</v>
      </c>
      <c r="R572" s="2" t="inlineStr"/>
    </row>
    <row r="573" ht="15" customHeight="1">
      <c r="A573" t="inlineStr">
        <is>
          <t>A 62501-2023</t>
        </is>
      </c>
      <c r="B573" s="1" t="n">
        <v>45268</v>
      </c>
      <c r="C573" s="1" t="n">
        <v>46090</v>
      </c>
      <c r="D573" t="inlineStr">
        <is>
          <t>ÖSTERGÖTLANDS LÄN</t>
        </is>
      </c>
      <c r="E573" t="inlineStr">
        <is>
          <t>LINKÖPING</t>
        </is>
      </c>
      <c r="G573" t="n">
        <v>7.4</v>
      </c>
      <c r="H573" t="n">
        <v>0</v>
      </c>
      <c r="I573" t="n">
        <v>0</v>
      </c>
      <c r="J573" t="n">
        <v>0</v>
      </c>
      <c r="K573" t="n">
        <v>0</v>
      </c>
      <c r="L573" t="n">
        <v>0</v>
      </c>
      <c r="M573" t="n">
        <v>0</v>
      </c>
      <c r="N573" t="n">
        <v>0</v>
      </c>
      <c r="O573" t="n">
        <v>0</v>
      </c>
      <c r="P573" t="n">
        <v>0</v>
      </c>
      <c r="Q573" t="n">
        <v>0</v>
      </c>
      <c r="R573" s="2" t="inlineStr"/>
    </row>
    <row r="574" ht="15" customHeight="1">
      <c r="A574" t="inlineStr">
        <is>
          <t>A 13413-2023</t>
        </is>
      </c>
      <c r="B574" s="1" t="n">
        <v>45005.58341435185</v>
      </c>
      <c r="C574" s="1" t="n">
        <v>46090</v>
      </c>
      <c r="D574" t="inlineStr">
        <is>
          <t>ÖSTERGÖTLANDS LÄN</t>
        </is>
      </c>
      <c r="E574" t="inlineStr">
        <is>
          <t>LINKÖPING</t>
        </is>
      </c>
      <c r="G574" t="n">
        <v>2.4</v>
      </c>
      <c r="H574" t="n">
        <v>0</v>
      </c>
      <c r="I574" t="n">
        <v>0</v>
      </c>
      <c r="J574" t="n">
        <v>0</v>
      </c>
      <c r="K574" t="n">
        <v>0</v>
      </c>
      <c r="L574" t="n">
        <v>0</v>
      </c>
      <c r="M574" t="n">
        <v>0</v>
      </c>
      <c r="N574" t="n">
        <v>0</v>
      </c>
      <c r="O574" t="n">
        <v>0</v>
      </c>
      <c r="P574" t="n">
        <v>0</v>
      </c>
      <c r="Q574" t="n">
        <v>0</v>
      </c>
      <c r="R574" s="2" t="inlineStr"/>
    </row>
    <row r="575" ht="15" customHeight="1">
      <c r="A575" t="inlineStr">
        <is>
          <t>A 26620-2023</t>
        </is>
      </c>
      <c r="B575" s="1" t="n">
        <v>45092.70390046296</v>
      </c>
      <c r="C575" s="1" t="n">
        <v>46090</v>
      </c>
      <c r="D575" t="inlineStr">
        <is>
          <t>ÖSTERGÖTLANDS LÄN</t>
        </is>
      </c>
      <c r="E575" t="inlineStr">
        <is>
          <t>LINKÖPING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16462-2021</t>
        </is>
      </c>
      <c r="B576" s="1" t="n">
        <v>44293</v>
      </c>
      <c r="C576" s="1" t="n">
        <v>46090</v>
      </c>
      <c r="D576" t="inlineStr">
        <is>
          <t>ÖSTERGÖTLANDS LÄN</t>
        </is>
      </c>
      <c r="E576" t="inlineStr">
        <is>
          <t>LINKÖPING</t>
        </is>
      </c>
      <c r="F576" t="inlineStr">
        <is>
          <t>Allmännings- och besparingsskogar</t>
        </is>
      </c>
      <c r="G576" t="n">
        <v>24.7</v>
      </c>
      <c r="H576" t="n">
        <v>0</v>
      </c>
      <c r="I576" t="n">
        <v>0</v>
      </c>
      <c r="J576" t="n">
        <v>0</v>
      </c>
      <c r="K576" t="n">
        <v>0</v>
      </c>
      <c r="L576" t="n">
        <v>0</v>
      </c>
      <c r="M576" t="n">
        <v>0</v>
      </c>
      <c r="N576" t="n">
        <v>0</v>
      </c>
      <c r="O576" t="n">
        <v>0</v>
      </c>
      <c r="P576" t="n">
        <v>0</v>
      </c>
      <c r="Q576" t="n">
        <v>0</v>
      </c>
      <c r="R576" s="2" t="inlineStr"/>
    </row>
    <row r="577" ht="15" customHeight="1">
      <c r="A577" t="inlineStr">
        <is>
          <t>A 63554-2023</t>
        </is>
      </c>
      <c r="B577" s="1" t="n">
        <v>45275</v>
      </c>
      <c r="C577" s="1" t="n">
        <v>46090</v>
      </c>
      <c r="D577" t="inlineStr">
        <is>
          <t>ÖSTERGÖTLANDS LÄN</t>
        </is>
      </c>
      <c r="E577" t="inlineStr">
        <is>
          <t>LINKÖPING</t>
        </is>
      </c>
      <c r="G577" t="n">
        <v>4.3</v>
      </c>
      <c r="H577" t="n">
        <v>0</v>
      </c>
      <c r="I577" t="n">
        <v>0</v>
      </c>
      <c r="J577" t="n">
        <v>0</v>
      </c>
      <c r="K577" t="n">
        <v>0</v>
      </c>
      <c r="L577" t="n">
        <v>0</v>
      </c>
      <c r="M577" t="n">
        <v>0</v>
      </c>
      <c r="N577" t="n">
        <v>0</v>
      </c>
      <c r="O577" t="n">
        <v>0</v>
      </c>
      <c r="P577" t="n">
        <v>0</v>
      </c>
      <c r="Q577" t="n">
        <v>0</v>
      </c>
      <c r="R577" s="2" t="inlineStr"/>
    </row>
    <row r="578" ht="15" customHeight="1">
      <c r="A578" t="inlineStr">
        <is>
          <t>A 63638-2023</t>
        </is>
      </c>
      <c r="B578" s="1" t="n">
        <v>45275</v>
      </c>
      <c r="C578" s="1" t="n">
        <v>46090</v>
      </c>
      <c r="D578" t="inlineStr">
        <is>
          <t>ÖSTERGÖTLANDS LÄN</t>
        </is>
      </c>
      <c r="E578" t="inlineStr">
        <is>
          <t>LINKÖPING</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63658-2023</t>
        </is>
      </c>
      <c r="B579" s="1" t="n">
        <v>45275</v>
      </c>
      <c r="C579" s="1" t="n">
        <v>46090</v>
      </c>
      <c r="D579" t="inlineStr">
        <is>
          <t>ÖSTERGÖTLANDS LÄN</t>
        </is>
      </c>
      <c r="E579" t="inlineStr">
        <is>
          <t>LINKÖPING</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16820-2024</t>
        </is>
      </c>
      <c r="B580" s="1" t="n">
        <v>45411.46809027778</v>
      </c>
      <c r="C580" s="1" t="n">
        <v>46090</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4456-2024</t>
        </is>
      </c>
      <c r="B581" s="1" t="n">
        <v>45327.52847222222</v>
      </c>
      <c r="C581" s="1" t="n">
        <v>46090</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20298-2025</t>
        </is>
      </c>
      <c r="B582" s="1" t="n">
        <v>45774.75024305555</v>
      </c>
      <c r="C582" s="1" t="n">
        <v>46090</v>
      </c>
      <c r="D582" t="inlineStr">
        <is>
          <t>ÖSTERGÖTLANDS LÄN</t>
        </is>
      </c>
      <c r="E582" t="inlineStr">
        <is>
          <t>LINKÖPING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15121-2022</t>
        </is>
      </c>
      <c r="B583" s="1" t="n">
        <v>44658</v>
      </c>
      <c r="C583" s="1" t="n">
        <v>46090</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50743-2023</t>
        </is>
      </c>
      <c r="B584" s="1" t="n">
        <v>45217</v>
      </c>
      <c r="C584" s="1" t="n">
        <v>46090</v>
      </c>
      <c r="D584" t="inlineStr">
        <is>
          <t>ÖSTERGÖTLANDS LÄN</t>
        </is>
      </c>
      <c r="E584" t="inlineStr">
        <is>
          <t>LINKÖPING</t>
        </is>
      </c>
      <c r="G584" t="n">
        <v>2.7</v>
      </c>
      <c r="H584" t="n">
        <v>0</v>
      </c>
      <c r="I584" t="n">
        <v>0</v>
      </c>
      <c r="J584" t="n">
        <v>0</v>
      </c>
      <c r="K584" t="n">
        <v>0</v>
      </c>
      <c r="L584" t="n">
        <v>0</v>
      </c>
      <c r="M584" t="n">
        <v>0</v>
      </c>
      <c r="N584" t="n">
        <v>0</v>
      </c>
      <c r="O584" t="n">
        <v>0</v>
      </c>
      <c r="P584" t="n">
        <v>0</v>
      </c>
      <c r="Q584" t="n">
        <v>0</v>
      </c>
      <c r="R584" s="2" t="inlineStr"/>
    </row>
    <row r="585" ht="15" customHeight="1">
      <c r="A585" t="inlineStr">
        <is>
          <t>A 13687-2025</t>
        </is>
      </c>
      <c r="B585" s="1" t="n">
        <v>45737.31425925926</v>
      </c>
      <c r="C585" s="1" t="n">
        <v>46090</v>
      </c>
      <c r="D585" t="inlineStr">
        <is>
          <t>ÖSTERGÖTLANDS LÄN</t>
        </is>
      </c>
      <c r="E585" t="inlineStr">
        <is>
          <t>LINKÖPING</t>
        </is>
      </c>
      <c r="G585" t="n">
        <v>2.7</v>
      </c>
      <c r="H585" t="n">
        <v>0</v>
      </c>
      <c r="I585" t="n">
        <v>0</v>
      </c>
      <c r="J585" t="n">
        <v>0</v>
      </c>
      <c r="K585" t="n">
        <v>0</v>
      </c>
      <c r="L585" t="n">
        <v>0</v>
      </c>
      <c r="M585" t="n">
        <v>0</v>
      </c>
      <c r="N585" t="n">
        <v>0</v>
      </c>
      <c r="O585" t="n">
        <v>0</v>
      </c>
      <c r="P585" t="n">
        <v>0</v>
      </c>
      <c r="Q585" t="n">
        <v>0</v>
      </c>
      <c r="R585" s="2" t="inlineStr"/>
    </row>
    <row r="586" ht="15" customHeight="1">
      <c r="A586" t="inlineStr">
        <is>
          <t>A 13695-2025</t>
        </is>
      </c>
      <c r="B586" s="1" t="n">
        <v>45737.32219907407</v>
      </c>
      <c r="C586" s="1" t="n">
        <v>46090</v>
      </c>
      <c r="D586" t="inlineStr">
        <is>
          <t>ÖSTERGÖTLANDS LÄN</t>
        </is>
      </c>
      <c r="E586" t="inlineStr">
        <is>
          <t>LINKÖPING</t>
        </is>
      </c>
      <c r="G586" t="n">
        <v>5.3</v>
      </c>
      <c r="H586" t="n">
        <v>0</v>
      </c>
      <c r="I586" t="n">
        <v>0</v>
      </c>
      <c r="J586" t="n">
        <v>0</v>
      </c>
      <c r="K586" t="n">
        <v>0</v>
      </c>
      <c r="L586" t="n">
        <v>0</v>
      </c>
      <c r="M586" t="n">
        <v>0</v>
      </c>
      <c r="N586" t="n">
        <v>0</v>
      </c>
      <c r="O586" t="n">
        <v>0</v>
      </c>
      <c r="P586" t="n">
        <v>0</v>
      </c>
      <c r="Q586" t="n">
        <v>0</v>
      </c>
      <c r="R586" s="2" t="inlineStr"/>
    </row>
    <row r="587" ht="15" customHeight="1">
      <c r="A587" t="inlineStr">
        <is>
          <t>A 20294-2025</t>
        </is>
      </c>
      <c r="B587" s="1" t="n">
        <v>45774.74667824074</v>
      </c>
      <c r="C587" s="1" t="n">
        <v>46090</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17128-2025</t>
        </is>
      </c>
      <c r="B588" s="1" t="n">
        <v>45755.72622685185</v>
      </c>
      <c r="C588" s="1" t="n">
        <v>46090</v>
      </c>
      <c r="D588" t="inlineStr">
        <is>
          <t>ÖSTERGÖTLANDS LÄN</t>
        </is>
      </c>
      <c r="E588" t="inlineStr">
        <is>
          <t>LINKÖPING</t>
        </is>
      </c>
      <c r="G588" t="n">
        <v>2.9</v>
      </c>
      <c r="H588" t="n">
        <v>0</v>
      </c>
      <c r="I588" t="n">
        <v>0</v>
      </c>
      <c r="J588" t="n">
        <v>0</v>
      </c>
      <c r="K588" t="n">
        <v>0</v>
      </c>
      <c r="L588" t="n">
        <v>0</v>
      </c>
      <c r="M588" t="n">
        <v>0</v>
      </c>
      <c r="N588" t="n">
        <v>0</v>
      </c>
      <c r="O588" t="n">
        <v>0</v>
      </c>
      <c r="P588" t="n">
        <v>0</v>
      </c>
      <c r="Q588" t="n">
        <v>0</v>
      </c>
      <c r="R588" s="2" t="inlineStr"/>
    </row>
    <row r="589" ht="15" customHeight="1">
      <c r="A589" t="inlineStr">
        <is>
          <t>A 52125-2022</t>
        </is>
      </c>
      <c r="B589" s="1" t="n">
        <v>44873</v>
      </c>
      <c r="C589" s="1" t="n">
        <v>46090</v>
      </c>
      <c r="D589" t="inlineStr">
        <is>
          <t>ÖSTERGÖTLANDS LÄN</t>
        </is>
      </c>
      <c r="E589" t="inlineStr">
        <is>
          <t>LINKÖPING</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27343-2023</t>
        </is>
      </c>
      <c r="B590" s="1" t="n">
        <v>45096</v>
      </c>
      <c r="C590" s="1" t="n">
        <v>46090</v>
      </c>
      <c r="D590" t="inlineStr">
        <is>
          <t>ÖSTERGÖTLANDS LÄN</t>
        </is>
      </c>
      <c r="E590" t="inlineStr">
        <is>
          <t>LINKÖPING</t>
        </is>
      </c>
      <c r="F590" t="inlineStr">
        <is>
          <t>Allmännings- och besparingsskogar</t>
        </is>
      </c>
      <c r="G590" t="n">
        <v>6.9</v>
      </c>
      <c r="H590" t="n">
        <v>0</v>
      </c>
      <c r="I590" t="n">
        <v>0</v>
      </c>
      <c r="J590" t="n">
        <v>0</v>
      </c>
      <c r="K590" t="n">
        <v>0</v>
      </c>
      <c r="L590" t="n">
        <v>0</v>
      </c>
      <c r="M590" t="n">
        <v>0</v>
      </c>
      <c r="N590" t="n">
        <v>0</v>
      </c>
      <c r="O590" t="n">
        <v>0</v>
      </c>
      <c r="P590" t="n">
        <v>0</v>
      </c>
      <c r="Q590" t="n">
        <v>0</v>
      </c>
      <c r="R590" s="2" t="inlineStr"/>
    </row>
    <row r="591" ht="15" customHeight="1">
      <c r="A591" t="inlineStr">
        <is>
          <t>A 22842-2023</t>
        </is>
      </c>
      <c r="B591" s="1" t="n">
        <v>45071</v>
      </c>
      <c r="C591" s="1" t="n">
        <v>46090</v>
      </c>
      <c r="D591" t="inlineStr">
        <is>
          <t>ÖSTERGÖTLANDS LÄN</t>
        </is>
      </c>
      <c r="E591" t="inlineStr">
        <is>
          <t>LINKÖPING</t>
        </is>
      </c>
      <c r="F591" t="inlineStr">
        <is>
          <t>Kommuner</t>
        </is>
      </c>
      <c r="G591" t="n">
        <v>1.3</v>
      </c>
      <c r="H591" t="n">
        <v>0</v>
      </c>
      <c r="I591" t="n">
        <v>0</v>
      </c>
      <c r="J591" t="n">
        <v>0</v>
      </c>
      <c r="K591" t="n">
        <v>0</v>
      </c>
      <c r="L591" t="n">
        <v>0</v>
      </c>
      <c r="M591" t="n">
        <v>0</v>
      </c>
      <c r="N591" t="n">
        <v>0</v>
      </c>
      <c r="O591" t="n">
        <v>0</v>
      </c>
      <c r="P591" t="n">
        <v>0</v>
      </c>
      <c r="Q591" t="n">
        <v>0</v>
      </c>
      <c r="R591" s="2" t="inlineStr"/>
    </row>
    <row r="592" ht="15" customHeight="1">
      <c r="A592" t="inlineStr">
        <is>
          <t>A 14520-2025</t>
        </is>
      </c>
      <c r="B592" s="1" t="n">
        <v>45741</v>
      </c>
      <c r="C592" s="1" t="n">
        <v>46090</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31548-2022</t>
        </is>
      </c>
      <c r="B593" s="1" t="n">
        <v>44775.39832175926</v>
      </c>
      <c r="C593" s="1" t="n">
        <v>46090</v>
      </c>
      <c r="D593" t="inlineStr">
        <is>
          <t>ÖSTERGÖTLANDS LÄN</t>
        </is>
      </c>
      <c r="E593" t="inlineStr">
        <is>
          <t>LINKÖPING</t>
        </is>
      </c>
      <c r="G593" t="n">
        <v>0.9</v>
      </c>
      <c r="H593" t="n">
        <v>0</v>
      </c>
      <c r="I593" t="n">
        <v>0</v>
      </c>
      <c r="J593" t="n">
        <v>0</v>
      </c>
      <c r="K593" t="n">
        <v>0</v>
      </c>
      <c r="L593" t="n">
        <v>0</v>
      </c>
      <c r="M593" t="n">
        <v>0</v>
      </c>
      <c r="N593" t="n">
        <v>0</v>
      </c>
      <c r="O593" t="n">
        <v>0</v>
      </c>
      <c r="P593" t="n">
        <v>0</v>
      </c>
      <c r="Q593" t="n">
        <v>0</v>
      </c>
      <c r="R593" s="2" t="inlineStr"/>
    </row>
    <row r="594" ht="15" customHeight="1">
      <c r="A594" t="inlineStr">
        <is>
          <t>A 62017-2024</t>
        </is>
      </c>
      <c r="B594" s="1" t="n">
        <v>45655.81140046296</v>
      </c>
      <c r="C594" s="1" t="n">
        <v>46090</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17785-2023</t>
        </is>
      </c>
      <c r="B595" s="1" t="n">
        <v>45037.55094907407</v>
      </c>
      <c r="C595" s="1" t="n">
        <v>46090</v>
      </c>
      <c r="D595" t="inlineStr">
        <is>
          <t>ÖSTERGÖTLANDS LÄN</t>
        </is>
      </c>
      <c r="E595" t="inlineStr">
        <is>
          <t>LINKÖPING</t>
        </is>
      </c>
      <c r="F595" t="inlineStr">
        <is>
          <t>Allmännings- och besparingsskogar</t>
        </is>
      </c>
      <c r="G595" t="n">
        <v>3.1</v>
      </c>
      <c r="H595" t="n">
        <v>0</v>
      </c>
      <c r="I595" t="n">
        <v>0</v>
      </c>
      <c r="J595" t="n">
        <v>0</v>
      </c>
      <c r="K595" t="n">
        <v>0</v>
      </c>
      <c r="L595" t="n">
        <v>0</v>
      </c>
      <c r="M595" t="n">
        <v>0</v>
      </c>
      <c r="N595" t="n">
        <v>0</v>
      </c>
      <c r="O595" t="n">
        <v>0</v>
      </c>
      <c r="P595" t="n">
        <v>0</v>
      </c>
      <c r="Q595" t="n">
        <v>0</v>
      </c>
      <c r="R595" s="2" t="inlineStr"/>
    </row>
    <row r="596" ht="15" customHeight="1">
      <c r="A596" t="inlineStr">
        <is>
          <t>A 62686-2023</t>
        </is>
      </c>
      <c r="B596" s="1" t="n">
        <v>45271</v>
      </c>
      <c r="C596" s="1" t="n">
        <v>46090</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42044-2023</t>
        </is>
      </c>
      <c r="B597" s="1" t="n">
        <v>45177</v>
      </c>
      <c r="C597" s="1" t="n">
        <v>46090</v>
      </c>
      <c r="D597" t="inlineStr">
        <is>
          <t>ÖSTERGÖTLANDS LÄN</t>
        </is>
      </c>
      <c r="E597" t="inlineStr">
        <is>
          <t>LINKÖPING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49656-2021</t>
        </is>
      </c>
      <c r="B598" s="1" t="n">
        <v>44454</v>
      </c>
      <c r="C598" s="1" t="n">
        <v>46090</v>
      </c>
      <c r="D598" t="inlineStr">
        <is>
          <t>ÖSTERGÖTLANDS LÄN</t>
        </is>
      </c>
      <c r="E598" t="inlineStr">
        <is>
          <t>LINKÖPING</t>
        </is>
      </c>
      <c r="G598" t="n">
        <v>2.3</v>
      </c>
      <c r="H598" t="n">
        <v>0</v>
      </c>
      <c r="I598" t="n">
        <v>0</v>
      </c>
      <c r="J598" t="n">
        <v>0</v>
      </c>
      <c r="K598" t="n">
        <v>0</v>
      </c>
      <c r="L598" t="n">
        <v>0</v>
      </c>
      <c r="M598" t="n">
        <v>0</v>
      </c>
      <c r="N598" t="n">
        <v>0</v>
      </c>
      <c r="O598" t="n">
        <v>0</v>
      </c>
      <c r="P598" t="n">
        <v>0</v>
      </c>
      <c r="Q598" t="n">
        <v>0</v>
      </c>
      <c r="R598" s="2" t="inlineStr"/>
    </row>
    <row r="599" ht="15" customHeight="1">
      <c r="A599" t="inlineStr">
        <is>
          <t>A 38230-2023</t>
        </is>
      </c>
      <c r="B599" s="1" t="n">
        <v>45161.55373842592</v>
      </c>
      <c r="C599" s="1" t="n">
        <v>46090</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45442-2024</t>
        </is>
      </c>
      <c r="B600" s="1" t="n">
        <v>45576.64189814815</v>
      </c>
      <c r="C600" s="1" t="n">
        <v>46090</v>
      </c>
      <c r="D600" t="inlineStr">
        <is>
          <t>ÖSTERGÖTLANDS LÄN</t>
        </is>
      </c>
      <c r="E600" t="inlineStr">
        <is>
          <t>LINKÖPING</t>
        </is>
      </c>
      <c r="G600" t="n">
        <v>1.8</v>
      </c>
      <c r="H600" t="n">
        <v>0</v>
      </c>
      <c r="I600" t="n">
        <v>0</v>
      </c>
      <c r="J600" t="n">
        <v>0</v>
      </c>
      <c r="K600" t="n">
        <v>0</v>
      </c>
      <c r="L600" t="n">
        <v>0</v>
      </c>
      <c r="M600" t="n">
        <v>0</v>
      </c>
      <c r="N600" t="n">
        <v>0</v>
      </c>
      <c r="O600" t="n">
        <v>0</v>
      </c>
      <c r="P600" t="n">
        <v>0</v>
      </c>
      <c r="Q600" t="n">
        <v>0</v>
      </c>
      <c r="R600" s="2" t="inlineStr"/>
    </row>
    <row r="601" ht="15" customHeight="1">
      <c r="A601" t="inlineStr">
        <is>
          <t>A 4908-2023</t>
        </is>
      </c>
      <c r="B601" s="1" t="n">
        <v>44958</v>
      </c>
      <c r="C601" s="1" t="n">
        <v>46090</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1265-2023</t>
        </is>
      </c>
      <c r="B602" s="1" t="n">
        <v>44936</v>
      </c>
      <c r="C602" s="1" t="n">
        <v>46090</v>
      </c>
      <c r="D602" t="inlineStr">
        <is>
          <t>ÖSTERGÖTLANDS LÄN</t>
        </is>
      </c>
      <c r="E602" t="inlineStr">
        <is>
          <t>LINKÖPING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12411-2022</t>
        </is>
      </c>
      <c r="B603" s="1" t="n">
        <v>44638.21601851852</v>
      </c>
      <c r="C603" s="1" t="n">
        <v>46090</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23491-2024</t>
        </is>
      </c>
      <c r="B604" s="1" t="n">
        <v>45453</v>
      </c>
      <c r="C604" s="1" t="n">
        <v>46090</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70-2024</t>
        </is>
      </c>
      <c r="B605" s="1" t="n">
        <v>45293</v>
      </c>
      <c r="C605" s="1" t="n">
        <v>46090</v>
      </c>
      <c r="D605" t="inlineStr">
        <is>
          <t>ÖSTERGÖTLANDS LÄN</t>
        </is>
      </c>
      <c r="E605" t="inlineStr">
        <is>
          <t>LINKÖPING</t>
        </is>
      </c>
      <c r="G605" t="n">
        <v>1.3</v>
      </c>
      <c r="H605" t="n">
        <v>0</v>
      </c>
      <c r="I605" t="n">
        <v>0</v>
      </c>
      <c r="J605" t="n">
        <v>0</v>
      </c>
      <c r="K605" t="n">
        <v>0</v>
      </c>
      <c r="L605" t="n">
        <v>0</v>
      </c>
      <c r="M605" t="n">
        <v>0</v>
      </c>
      <c r="N605" t="n">
        <v>0</v>
      </c>
      <c r="O605" t="n">
        <v>0</v>
      </c>
      <c r="P605" t="n">
        <v>0</v>
      </c>
      <c r="Q605" t="n">
        <v>0</v>
      </c>
      <c r="R605" s="2" t="inlineStr"/>
    </row>
    <row r="606" ht="15" customHeight="1">
      <c r="A606" t="inlineStr">
        <is>
          <t>A 6054-2022</t>
        </is>
      </c>
      <c r="B606" s="1" t="n">
        <v>44599.53623842593</v>
      </c>
      <c r="C606" s="1" t="n">
        <v>46090</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31725-2022</t>
        </is>
      </c>
      <c r="B607" s="1" t="n">
        <v>44776.48541666667</v>
      </c>
      <c r="C607" s="1" t="n">
        <v>46090</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57391-2023</t>
        </is>
      </c>
      <c r="B608" s="1" t="n">
        <v>45245</v>
      </c>
      <c r="C608" s="1" t="n">
        <v>46090</v>
      </c>
      <c r="D608" t="inlineStr">
        <is>
          <t>ÖSTERGÖTLANDS LÄN</t>
        </is>
      </c>
      <c r="E608" t="inlineStr">
        <is>
          <t>LINKÖPING</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7992-2023</t>
        </is>
      </c>
      <c r="B609" s="1" t="n">
        <v>44970</v>
      </c>
      <c r="C609" s="1" t="n">
        <v>46090</v>
      </c>
      <c r="D609" t="inlineStr">
        <is>
          <t>ÖSTERGÖTLANDS LÄN</t>
        </is>
      </c>
      <c r="E609" t="inlineStr">
        <is>
          <t>LINKÖPING</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13689-2025</t>
        </is>
      </c>
      <c r="B610" s="1" t="n">
        <v>45737.31590277778</v>
      </c>
      <c r="C610" s="1" t="n">
        <v>46090</v>
      </c>
      <c r="D610" t="inlineStr">
        <is>
          <t>ÖSTERGÖTLANDS LÄN</t>
        </is>
      </c>
      <c r="E610" t="inlineStr">
        <is>
          <t>LINKÖPING</t>
        </is>
      </c>
      <c r="G610" t="n">
        <v>0.8</v>
      </c>
      <c r="H610" t="n">
        <v>0</v>
      </c>
      <c r="I610" t="n">
        <v>0</v>
      </c>
      <c r="J610" t="n">
        <v>0</v>
      </c>
      <c r="K610" t="n">
        <v>0</v>
      </c>
      <c r="L610" t="n">
        <v>0</v>
      </c>
      <c r="M610" t="n">
        <v>0</v>
      </c>
      <c r="N610" t="n">
        <v>0</v>
      </c>
      <c r="O610" t="n">
        <v>0</v>
      </c>
      <c r="P610" t="n">
        <v>0</v>
      </c>
      <c r="Q610" t="n">
        <v>0</v>
      </c>
      <c r="R610" s="2" t="inlineStr"/>
    </row>
    <row r="611" ht="15" customHeight="1">
      <c r="A611" t="inlineStr">
        <is>
          <t>A 13696-2025</t>
        </is>
      </c>
      <c r="B611" s="1" t="n">
        <v>45737.32273148148</v>
      </c>
      <c r="C611" s="1" t="n">
        <v>46090</v>
      </c>
      <c r="D611" t="inlineStr">
        <is>
          <t>ÖSTERGÖTLANDS LÄN</t>
        </is>
      </c>
      <c r="E611" t="inlineStr">
        <is>
          <t>LINKÖPING</t>
        </is>
      </c>
      <c r="G611" t="n">
        <v>3.5</v>
      </c>
      <c r="H611" t="n">
        <v>0</v>
      </c>
      <c r="I611" t="n">
        <v>0</v>
      </c>
      <c r="J611" t="n">
        <v>0</v>
      </c>
      <c r="K611" t="n">
        <v>0</v>
      </c>
      <c r="L611" t="n">
        <v>0</v>
      </c>
      <c r="M611" t="n">
        <v>0</v>
      </c>
      <c r="N611" t="n">
        <v>0</v>
      </c>
      <c r="O611" t="n">
        <v>0</v>
      </c>
      <c r="P611" t="n">
        <v>0</v>
      </c>
      <c r="Q611" t="n">
        <v>0</v>
      </c>
      <c r="R611" s="2" t="inlineStr"/>
    </row>
    <row r="612" ht="15" customHeight="1">
      <c r="A612" t="inlineStr">
        <is>
          <t>A 1924-2024</t>
        </is>
      </c>
      <c r="B612" s="1" t="n">
        <v>45308</v>
      </c>
      <c r="C612" s="1" t="n">
        <v>46090</v>
      </c>
      <c r="D612" t="inlineStr">
        <is>
          <t>ÖSTERGÖTLANDS LÄN</t>
        </is>
      </c>
      <c r="E612" t="inlineStr">
        <is>
          <t>LINKÖPING</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32346-2023</t>
        </is>
      </c>
      <c r="B613" s="1" t="n">
        <v>45120</v>
      </c>
      <c r="C613" s="1" t="n">
        <v>46090</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50508-2024</t>
        </is>
      </c>
      <c r="B614" s="1" t="n">
        <v>45601.53907407408</v>
      </c>
      <c r="C614" s="1" t="n">
        <v>46090</v>
      </c>
      <c r="D614" t="inlineStr">
        <is>
          <t>ÖSTERGÖTLANDS LÄN</t>
        </is>
      </c>
      <c r="E614" t="inlineStr">
        <is>
          <t>LINKÖPING</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7808-2022</t>
        </is>
      </c>
      <c r="B615" s="1" t="n">
        <v>44608</v>
      </c>
      <c r="C615" s="1" t="n">
        <v>46090</v>
      </c>
      <c r="D615" t="inlineStr">
        <is>
          <t>ÖSTERGÖTLANDS LÄN</t>
        </is>
      </c>
      <c r="E615" t="inlineStr">
        <is>
          <t>LINKÖPING</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27844-2024</t>
        </is>
      </c>
      <c r="B616" s="1" t="n">
        <v>45475.63047453704</v>
      </c>
      <c r="C616" s="1" t="n">
        <v>46090</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40810-2022</t>
        </is>
      </c>
      <c r="B617" s="1" t="n">
        <v>44824</v>
      </c>
      <c r="C617" s="1" t="n">
        <v>46090</v>
      </c>
      <c r="D617" t="inlineStr">
        <is>
          <t>ÖSTERGÖTLANDS LÄN</t>
        </is>
      </c>
      <c r="E617" t="inlineStr">
        <is>
          <t>LINKÖPING</t>
        </is>
      </c>
      <c r="G617" t="n">
        <v>2.8</v>
      </c>
      <c r="H617" t="n">
        <v>0</v>
      </c>
      <c r="I617" t="n">
        <v>0</v>
      </c>
      <c r="J617" t="n">
        <v>0</v>
      </c>
      <c r="K617" t="n">
        <v>0</v>
      </c>
      <c r="L617" t="n">
        <v>0</v>
      </c>
      <c r="M617" t="n">
        <v>0</v>
      </c>
      <c r="N617" t="n">
        <v>0</v>
      </c>
      <c r="O617" t="n">
        <v>0</v>
      </c>
      <c r="P617" t="n">
        <v>0</v>
      </c>
      <c r="Q617" t="n">
        <v>0</v>
      </c>
      <c r="R617" s="2" t="inlineStr"/>
    </row>
    <row r="618" ht="15" customHeight="1">
      <c r="A618" t="inlineStr">
        <is>
          <t>A 51559-2024</t>
        </is>
      </c>
      <c r="B618" s="1" t="n">
        <v>45604.61431712963</v>
      </c>
      <c r="C618" s="1" t="n">
        <v>46090</v>
      </c>
      <c r="D618" t="inlineStr">
        <is>
          <t>ÖSTERGÖTLANDS LÄN</t>
        </is>
      </c>
      <c r="E618" t="inlineStr">
        <is>
          <t>LINKÖPING</t>
        </is>
      </c>
      <c r="F618" t="inlineStr">
        <is>
          <t>Övriga Aktiebolag</t>
        </is>
      </c>
      <c r="G618" t="n">
        <v>2.4</v>
      </c>
      <c r="H618" t="n">
        <v>0</v>
      </c>
      <c r="I618" t="n">
        <v>0</v>
      </c>
      <c r="J618" t="n">
        <v>0</v>
      </c>
      <c r="K618" t="n">
        <v>0</v>
      </c>
      <c r="L618" t="n">
        <v>0</v>
      </c>
      <c r="M618" t="n">
        <v>0</v>
      </c>
      <c r="N618" t="n">
        <v>0</v>
      </c>
      <c r="O618" t="n">
        <v>0</v>
      </c>
      <c r="P618" t="n">
        <v>0</v>
      </c>
      <c r="Q618" t="n">
        <v>0</v>
      </c>
      <c r="R618" s="2" t="inlineStr"/>
    </row>
    <row r="619" ht="15" customHeight="1">
      <c r="A619" t="inlineStr">
        <is>
          <t>A 49979-2022</t>
        </is>
      </c>
      <c r="B619" s="1" t="n">
        <v>44865</v>
      </c>
      <c r="C619" s="1" t="n">
        <v>46090</v>
      </c>
      <c r="D619" t="inlineStr">
        <is>
          <t>ÖSTERGÖTLANDS LÄN</t>
        </is>
      </c>
      <c r="E619" t="inlineStr">
        <is>
          <t>LINKÖPING</t>
        </is>
      </c>
      <c r="F619" t="inlineStr">
        <is>
          <t>Övriga Aktiebolag</t>
        </is>
      </c>
      <c r="G619" t="n">
        <v>11.4</v>
      </c>
      <c r="H619" t="n">
        <v>0</v>
      </c>
      <c r="I619" t="n">
        <v>0</v>
      </c>
      <c r="J619" t="n">
        <v>0</v>
      </c>
      <c r="K619" t="n">
        <v>0</v>
      </c>
      <c r="L619" t="n">
        <v>0</v>
      </c>
      <c r="M619" t="n">
        <v>0</v>
      </c>
      <c r="N619" t="n">
        <v>0</v>
      </c>
      <c r="O619" t="n">
        <v>0</v>
      </c>
      <c r="P619" t="n">
        <v>0</v>
      </c>
      <c r="Q619" t="n">
        <v>0</v>
      </c>
      <c r="R619" s="2" t="inlineStr"/>
    </row>
    <row r="620" ht="15" customHeight="1">
      <c r="A620" t="inlineStr">
        <is>
          <t>A 39219-2021</t>
        </is>
      </c>
      <c r="B620" s="1" t="n">
        <v>44413</v>
      </c>
      <c r="C620" s="1" t="n">
        <v>46090</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39224-2021</t>
        </is>
      </c>
      <c r="B621" s="1" t="n">
        <v>44413</v>
      </c>
      <c r="C621" s="1" t="n">
        <v>46090</v>
      </c>
      <c r="D621" t="inlineStr">
        <is>
          <t>ÖSTERGÖTLANDS LÄN</t>
        </is>
      </c>
      <c r="E621" t="inlineStr">
        <is>
          <t>LINKÖPING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62495-2023</t>
        </is>
      </c>
      <c r="B622" s="1" t="n">
        <v>45268.59717592593</v>
      </c>
      <c r="C622" s="1" t="n">
        <v>46090</v>
      </c>
      <c r="D622" t="inlineStr">
        <is>
          <t>ÖSTERGÖTLANDS LÄN</t>
        </is>
      </c>
      <c r="E622" t="inlineStr">
        <is>
          <t>LINKÖPING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29413-2023</t>
        </is>
      </c>
      <c r="B623" s="1" t="n">
        <v>45106.46465277778</v>
      </c>
      <c r="C623" s="1" t="n">
        <v>46090</v>
      </c>
      <c r="D623" t="inlineStr">
        <is>
          <t>ÖSTERGÖTLANDS LÄN</t>
        </is>
      </c>
      <c r="E623" t="inlineStr">
        <is>
          <t>LINKÖPING</t>
        </is>
      </c>
      <c r="G623" t="n">
        <v>8</v>
      </c>
      <c r="H623" t="n">
        <v>0</v>
      </c>
      <c r="I623" t="n">
        <v>0</v>
      </c>
      <c r="J623" t="n">
        <v>0</v>
      </c>
      <c r="K623" t="n">
        <v>0</v>
      </c>
      <c r="L623" t="n">
        <v>0</v>
      </c>
      <c r="M623" t="n">
        <v>0</v>
      </c>
      <c r="N623" t="n">
        <v>0</v>
      </c>
      <c r="O623" t="n">
        <v>0</v>
      </c>
      <c r="P623" t="n">
        <v>0</v>
      </c>
      <c r="Q623" t="n">
        <v>0</v>
      </c>
      <c r="R623" s="2" t="inlineStr"/>
    </row>
    <row r="624" ht="15" customHeight="1">
      <c r="A624" t="inlineStr">
        <is>
          <t>A 25948-2023</t>
        </is>
      </c>
      <c r="B624" s="1" t="n">
        <v>45090</v>
      </c>
      <c r="C624" s="1" t="n">
        <v>46090</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1627-2023</t>
        </is>
      </c>
      <c r="B625" s="1" t="n">
        <v>44937</v>
      </c>
      <c r="C625" s="1" t="n">
        <v>46090</v>
      </c>
      <c r="D625" t="inlineStr">
        <is>
          <t>ÖSTERGÖTLANDS LÄN</t>
        </is>
      </c>
      <c r="E625" t="inlineStr">
        <is>
          <t>LINKÖPING</t>
        </is>
      </c>
      <c r="G625" t="n">
        <v>10.8</v>
      </c>
      <c r="H625" t="n">
        <v>0</v>
      </c>
      <c r="I625" t="n">
        <v>0</v>
      </c>
      <c r="J625" t="n">
        <v>0</v>
      </c>
      <c r="K625" t="n">
        <v>0</v>
      </c>
      <c r="L625" t="n">
        <v>0</v>
      </c>
      <c r="M625" t="n">
        <v>0</v>
      </c>
      <c r="N625" t="n">
        <v>0</v>
      </c>
      <c r="O625" t="n">
        <v>0</v>
      </c>
      <c r="P625" t="n">
        <v>0</v>
      </c>
      <c r="Q625" t="n">
        <v>0</v>
      </c>
      <c r="R625" s="2" t="inlineStr"/>
    </row>
    <row r="626" ht="15" customHeight="1">
      <c r="A626" t="inlineStr">
        <is>
          <t>A 30481-2023</t>
        </is>
      </c>
      <c r="B626" s="1" t="n">
        <v>45111</v>
      </c>
      <c r="C626" s="1" t="n">
        <v>46090</v>
      </c>
      <c r="D626" t="inlineStr">
        <is>
          <t>ÖSTERGÖTLANDS LÄN</t>
        </is>
      </c>
      <c r="E626" t="inlineStr">
        <is>
          <t>LINKÖPING</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21782-2024</t>
        </is>
      </c>
      <c r="B627" s="1" t="n">
        <v>45442.63368055555</v>
      </c>
      <c r="C627" s="1" t="n">
        <v>46090</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11671-2023</t>
        </is>
      </c>
      <c r="B628" s="1" t="n">
        <v>44994.48125</v>
      </c>
      <c r="C628" s="1" t="n">
        <v>46090</v>
      </c>
      <c r="D628" t="inlineStr">
        <is>
          <t>ÖSTERGÖTLANDS LÄN</t>
        </is>
      </c>
      <c r="E628" t="inlineStr">
        <is>
          <t>LINKÖPING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3013-2023</t>
        </is>
      </c>
      <c r="B629" s="1" t="n">
        <v>44945.8092824074</v>
      </c>
      <c r="C629" s="1" t="n">
        <v>46090</v>
      </c>
      <c r="D629" t="inlineStr">
        <is>
          <t>ÖSTERGÖTLANDS LÄN</t>
        </is>
      </c>
      <c r="E629" t="inlineStr">
        <is>
          <t>LINKÖPING</t>
        </is>
      </c>
      <c r="G629" t="n">
        <v>5.2</v>
      </c>
      <c r="H629" t="n">
        <v>0</v>
      </c>
      <c r="I629" t="n">
        <v>0</v>
      </c>
      <c r="J629" t="n">
        <v>0</v>
      </c>
      <c r="K629" t="n">
        <v>0</v>
      </c>
      <c r="L629" t="n">
        <v>0</v>
      </c>
      <c r="M629" t="n">
        <v>0</v>
      </c>
      <c r="N629" t="n">
        <v>0</v>
      </c>
      <c r="O629" t="n">
        <v>0</v>
      </c>
      <c r="P629" t="n">
        <v>0</v>
      </c>
      <c r="Q629" t="n">
        <v>0</v>
      </c>
      <c r="R629" s="2" t="inlineStr"/>
    </row>
    <row r="630" ht="15" customHeight="1">
      <c r="A630" t="inlineStr">
        <is>
          <t>A 49747-2024</t>
        </is>
      </c>
      <c r="B630" s="1" t="n">
        <v>45596</v>
      </c>
      <c r="C630" s="1" t="n">
        <v>46090</v>
      </c>
      <c r="D630" t="inlineStr">
        <is>
          <t>ÖSTERGÖTLANDS LÄN</t>
        </is>
      </c>
      <c r="E630" t="inlineStr">
        <is>
          <t>LINKÖPING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42997-2021</t>
        </is>
      </c>
      <c r="B631" s="1" t="n">
        <v>44431.45556712963</v>
      </c>
      <c r="C631" s="1" t="n">
        <v>46090</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3011-2023</t>
        </is>
      </c>
      <c r="B632" s="1" t="n">
        <v>44945</v>
      </c>
      <c r="C632" s="1" t="n">
        <v>46090</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23735-2023</t>
        </is>
      </c>
      <c r="B633" s="1" t="n">
        <v>45077</v>
      </c>
      <c r="C633" s="1" t="n">
        <v>46090</v>
      </c>
      <c r="D633" t="inlineStr">
        <is>
          <t>ÖSTERGÖTLANDS LÄN</t>
        </is>
      </c>
      <c r="E633" t="inlineStr">
        <is>
          <t>LINKÖPING</t>
        </is>
      </c>
      <c r="G633" t="n">
        <v>1.7</v>
      </c>
      <c r="H633" t="n">
        <v>0</v>
      </c>
      <c r="I633" t="n">
        <v>0</v>
      </c>
      <c r="J633" t="n">
        <v>0</v>
      </c>
      <c r="K633" t="n">
        <v>0</v>
      </c>
      <c r="L633" t="n">
        <v>0</v>
      </c>
      <c r="M633" t="n">
        <v>0</v>
      </c>
      <c r="N633" t="n">
        <v>0</v>
      </c>
      <c r="O633" t="n">
        <v>0</v>
      </c>
      <c r="P633" t="n">
        <v>0</v>
      </c>
      <c r="Q633" t="n">
        <v>0</v>
      </c>
      <c r="R633" s="2" t="inlineStr"/>
    </row>
    <row r="634" ht="15" customHeight="1">
      <c r="A634" t="inlineStr">
        <is>
          <t>A 45821-2024</t>
        </is>
      </c>
      <c r="B634" s="1" t="n">
        <v>45579.75803240741</v>
      </c>
      <c r="C634" s="1" t="n">
        <v>46090</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53647-2021</t>
        </is>
      </c>
      <c r="B635" s="1" t="n">
        <v>44469</v>
      </c>
      <c r="C635" s="1" t="n">
        <v>46090</v>
      </c>
      <c r="D635" t="inlineStr">
        <is>
          <t>ÖSTERGÖTLANDS LÄN</t>
        </is>
      </c>
      <c r="E635" t="inlineStr">
        <is>
          <t>LINKÖPING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6599-2023</t>
        </is>
      </c>
      <c r="B636" s="1" t="n">
        <v>44966.52603009259</v>
      </c>
      <c r="C636" s="1" t="n">
        <v>46090</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35735-2023</t>
        </is>
      </c>
      <c r="B637" s="1" t="n">
        <v>45147</v>
      </c>
      <c r="C637" s="1" t="n">
        <v>46090</v>
      </c>
      <c r="D637" t="inlineStr">
        <is>
          <t>ÖSTERGÖTLANDS LÄN</t>
        </is>
      </c>
      <c r="E637" t="inlineStr">
        <is>
          <t>LINKÖPING</t>
        </is>
      </c>
      <c r="G637" t="n">
        <v>2.8</v>
      </c>
      <c r="H637" t="n">
        <v>0</v>
      </c>
      <c r="I637" t="n">
        <v>0</v>
      </c>
      <c r="J637" t="n">
        <v>0</v>
      </c>
      <c r="K637" t="n">
        <v>0</v>
      </c>
      <c r="L637" t="n">
        <v>0</v>
      </c>
      <c r="M637" t="n">
        <v>0</v>
      </c>
      <c r="N637" t="n">
        <v>0</v>
      </c>
      <c r="O637" t="n">
        <v>0</v>
      </c>
      <c r="P637" t="n">
        <v>0</v>
      </c>
      <c r="Q637" t="n">
        <v>0</v>
      </c>
      <c r="R637" s="2" t="inlineStr"/>
    </row>
    <row r="638" ht="15" customHeight="1">
      <c r="A638" t="inlineStr">
        <is>
          <t>A 45831-2024</t>
        </is>
      </c>
      <c r="B638" s="1" t="n">
        <v>45579.90508101852</v>
      </c>
      <c r="C638" s="1" t="n">
        <v>46090</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17157-2024</t>
        </is>
      </c>
      <c r="B639" s="1" t="n">
        <v>45412.70567129629</v>
      </c>
      <c r="C639" s="1" t="n">
        <v>46090</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37154-2023</t>
        </is>
      </c>
      <c r="B640" s="1" t="n">
        <v>45155</v>
      </c>
      <c r="C640" s="1" t="n">
        <v>46090</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53812-2023</t>
        </is>
      </c>
      <c r="B641" s="1" t="n">
        <v>45231.39583333334</v>
      </c>
      <c r="C641" s="1" t="n">
        <v>46090</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53830-2023</t>
        </is>
      </c>
      <c r="B642" s="1" t="n">
        <v>45230</v>
      </c>
      <c r="C642" s="1" t="n">
        <v>46090</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56841-2023</t>
        </is>
      </c>
      <c r="B643" s="1" t="n">
        <v>45244</v>
      </c>
      <c r="C643" s="1" t="n">
        <v>46090</v>
      </c>
      <c r="D643" t="inlineStr">
        <is>
          <t>ÖSTERGÖTLANDS LÄN</t>
        </is>
      </c>
      <c r="E643" t="inlineStr">
        <is>
          <t>LINKÖPING</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56741-2023</t>
        </is>
      </c>
      <c r="B644" s="1" t="n">
        <v>45244</v>
      </c>
      <c r="C644" s="1" t="n">
        <v>46090</v>
      </c>
      <c r="D644" t="inlineStr">
        <is>
          <t>ÖSTERGÖTLANDS LÄN</t>
        </is>
      </c>
      <c r="E644" t="inlineStr">
        <is>
          <t>LINKÖPING</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53816-2023</t>
        </is>
      </c>
      <c r="B645" s="1" t="n">
        <v>45231.40012731482</v>
      </c>
      <c r="C645" s="1" t="n">
        <v>46090</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63935-2021</t>
        </is>
      </c>
      <c r="B646" s="1" t="n">
        <v>44509</v>
      </c>
      <c r="C646" s="1" t="n">
        <v>46090</v>
      </c>
      <c r="D646" t="inlineStr">
        <is>
          <t>ÖSTERGÖTLANDS LÄN</t>
        </is>
      </c>
      <c r="E646" t="inlineStr">
        <is>
          <t>LINKÖPING</t>
        </is>
      </c>
      <c r="F646" t="inlineStr">
        <is>
          <t>Övriga statliga verk och myndigheter</t>
        </is>
      </c>
      <c r="G646" t="n">
        <v>2.8</v>
      </c>
      <c r="H646" t="n">
        <v>0</v>
      </c>
      <c r="I646" t="n">
        <v>0</v>
      </c>
      <c r="J646" t="n">
        <v>0</v>
      </c>
      <c r="K646" t="n">
        <v>0</v>
      </c>
      <c r="L646" t="n">
        <v>0</v>
      </c>
      <c r="M646" t="n">
        <v>0</v>
      </c>
      <c r="N646" t="n">
        <v>0</v>
      </c>
      <c r="O646" t="n">
        <v>0</v>
      </c>
      <c r="P646" t="n">
        <v>0</v>
      </c>
      <c r="Q646" t="n">
        <v>0</v>
      </c>
      <c r="R646" s="2" t="inlineStr"/>
    </row>
    <row r="647" ht="15" customHeight="1">
      <c r="A647" t="inlineStr">
        <is>
          <t>A 6726-2024</t>
        </is>
      </c>
      <c r="B647" s="1" t="n">
        <v>45341</v>
      </c>
      <c r="C647" s="1" t="n">
        <v>46090</v>
      </c>
      <c r="D647" t="inlineStr">
        <is>
          <t>ÖSTERGÖTLANDS LÄN</t>
        </is>
      </c>
      <c r="E647" t="inlineStr">
        <is>
          <t>LINKÖPING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3007-2023</t>
        </is>
      </c>
      <c r="B648" s="1" t="n">
        <v>44945</v>
      </c>
      <c r="C648" s="1" t="n">
        <v>46090</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18145-2021</t>
        </is>
      </c>
      <c r="B649" s="1" t="n">
        <v>44302</v>
      </c>
      <c r="C649" s="1" t="n">
        <v>46090</v>
      </c>
      <c r="D649" t="inlineStr">
        <is>
          <t>ÖSTERGÖTLANDS LÄN</t>
        </is>
      </c>
      <c r="E649" t="inlineStr">
        <is>
          <t>LINKÖPING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29309-2024</t>
        </is>
      </c>
      <c r="B650" s="1" t="n">
        <v>45483</v>
      </c>
      <c r="C650" s="1" t="n">
        <v>46090</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53411-2023</t>
        </is>
      </c>
      <c r="B651" s="1" t="n">
        <v>45229.81049768518</v>
      </c>
      <c r="C651" s="1" t="n">
        <v>46090</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26788-2022</t>
        </is>
      </c>
      <c r="B652" s="1" t="n">
        <v>44740</v>
      </c>
      <c r="C652" s="1" t="n">
        <v>46090</v>
      </c>
      <c r="D652" t="inlineStr">
        <is>
          <t>ÖSTERGÖTLANDS LÄN</t>
        </is>
      </c>
      <c r="E652" t="inlineStr">
        <is>
          <t>LINKÖPING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24462-2023</t>
        </is>
      </c>
      <c r="B653" s="1" t="n">
        <v>45082</v>
      </c>
      <c r="C653" s="1" t="n">
        <v>46090</v>
      </c>
      <c r="D653" t="inlineStr">
        <is>
          <t>ÖSTERGÖTLANDS LÄN</t>
        </is>
      </c>
      <c r="E653" t="inlineStr">
        <is>
          <t>LINKÖPING</t>
        </is>
      </c>
      <c r="G653" t="n">
        <v>3.5</v>
      </c>
      <c r="H653" t="n">
        <v>0</v>
      </c>
      <c r="I653" t="n">
        <v>0</v>
      </c>
      <c r="J653" t="n">
        <v>0</v>
      </c>
      <c r="K653" t="n">
        <v>0</v>
      </c>
      <c r="L653" t="n">
        <v>0</v>
      </c>
      <c r="M653" t="n">
        <v>0</v>
      </c>
      <c r="N653" t="n">
        <v>0</v>
      </c>
      <c r="O653" t="n">
        <v>0</v>
      </c>
      <c r="P653" t="n">
        <v>0</v>
      </c>
      <c r="Q653" t="n">
        <v>0</v>
      </c>
      <c r="R653" s="2" t="inlineStr"/>
    </row>
    <row r="654" ht="15" customHeight="1">
      <c r="A654" t="inlineStr">
        <is>
          <t>A 62015-2024</t>
        </is>
      </c>
      <c r="B654" s="1" t="n">
        <v>45655.80457175926</v>
      </c>
      <c r="C654" s="1" t="n">
        <v>46090</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10741-2023</t>
        </is>
      </c>
      <c r="B655" s="1" t="n">
        <v>44988.70084490741</v>
      </c>
      <c r="C655" s="1" t="n">
        <v>46090</v>
      </c>
      <c r="D655" t="inlineStr">
        <is>
          <t>ÖSTERGÖTLANDS LÄN</t>
        </is>
      </c>
      <c r="E655" t="inlineStr">
        <is>
          <t>LINKÖPING</t>
        </is>
      </c>
      <c r="F655" t="inlineStr">
        <is>
          <t>Allmännings- och besparingsskogar</t>
        </is>
      </c>
      <c r="G655" t="n">
        <v>11.2</v>
      </c>
      <c r="H655" t="n">
        <v>0</v>
      </c>
      <c r="I655" t="n">
        <v>0</v>
      </c>
      <c r="J655" t="n">
        <v>0</v>
      </c>
      <c r="K655" t="n">
        <v>0</v>
      </c>
      <c r="L655" t="n">
        <v>0</v>
      </c>
      <c r="M655" t="n">
        <v>0</v>
      </c>
      <c r="N655" t="n">
        <v>0</v>
      </c>
      <c r="O655" t="n">
        <v>0</v>
      </c>
      <c r="P655" t="n">
        <v>0</v>
      </c>
      <c r="Q655" t="n">
        <v>0</v>
      </c>
      <c r="R655" s="2" t="inlineStr"/>
    </row>
    <row r="656" ht="15" customHeight="1">
      <c r="A656" t="inlineStr">
        <is>
          <t>A 43473-2024</t>
        </is>
      </c>
      <c r="B656" s="1" t="n">
        <v>45568</v>
      </c>
      <c r="C656" s="1" t="n">
        <v>46090</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43475-2024</t>
        </is>
      </c>
      <c r="B657" s="1" t="n">
        <v>45568</v>
      </c>
      <c r="C657" s="1" t="n">
        <v>46090</v>
      </c>
      <c r="D657" t="inlineStr">
        <is>
          <t>ÖSTERGÖTLANDS LÄN</t>
        </is>
      </c>
      <c r="E657" t="inlineStr">
        <is>
          <t>LINKÖPING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1207-2023</t>
        </is>
      </c>
      <c r="B658" s="1" t="n">
        <v>44930</v>
      </c>
      <c r="C658" s="1" t="n">
        <v>46090</v>
      </c>
      <c r="D658" t="inlineStr">
        <is>
          <t>ÖSTERGÖTLANDS LÄN</t>
        </is>
      </c>
      <c r="E658" t="inlineStr">
        <is>
          <t>LINKÖPING</t>
        </is>
      </c>
      <c r="F658" t="inlineStr">
        <is>
          <t>Övriga statliga verk och myndigheter</t>
        </is>
      </c>
      <c r="G658" t="n">
        <v>32.8</v>
      </c>
      <c r="H658" t="n">
        <v>0</v>
      </c>
      <c r="I658" t="n">
        <v>0</v>
      </c>
      <c r="J658" t="n">
        <v>0</v>
      </c>
      <c r="K658" t="n">
        <v>0</v>
      </c>
      <c r="L658" t="n">
        <v>0</v>
      </c>
      <c r="M658" t="n">
        <v>0</v>
      </c>
      <c r="N658" t="n">
        <v>0</v>
      </c>
      <c r="O658" t="n">
        <v>0</v>
      </c>
      <c r="P658" t="n">
        <v>0</v>
      </c>
      <c r="Q658" t="n">
        <v>0</v>
      </c>
      <c r="R658" s="2" t="inlineStr"/>
    </row>
    <row r="659" ht="15" customHeight="1">
      <c r="A659" t="inlineStr">
        <is>
          <t>A 29859-2024</t>
        </is>
      </c>
      <c r="B659" s="1" t="n">
        <v>45485.6846412037</v>
      </c>
      <c r="C659" s="1" t="n">
        <v>46090</v>
      </c>
      <c r="D659" t="inlineStr">
        <is>
          <t>ÖSTERGÖTLANDS LÄN</t>
        </is>
      </c>
      <c r="E659" t="inlineStr">
        <is>
          <t>LINKÖPING</t>
        </is>
      </c>
      <c r="G659" t="n">
        <v>0.4</v>
      </c>
      <c r="H659" t="n">
        <v>0</v>
      </c>
      <c r="I659" t="n">
        <v>0</v>
      </c>
      <c r="J659" t="n">
        <v>0</v>
      </c>
      <c r="K659" t="n">
        <v>0</v>
      </c>
      <c r="L659" t="n">
        <v>0</v>
      </c>
      <c r="M659" t="n">
        <v>0</v>
      </c>
      <c r="N659" t="n">
        <v>0</v>
      </c>
      <c r="O659" t="n">
        <v>0</v>
      </c>
      <c r="P659" t="n">
        <v>0</v>
      </c>
      <c r="Q659" t="n">
        <v>0</v>
      </c>
      <c r="R659" s="2" t="inlineStr"/>
    </row>
    <row r="660" ht="15" customHeight="1">
      <c r="A660" t="inlineStr">
        <is>
          <t>A 45819-2024</t>
        </is>
      </c>
      <c r="B660" s="1" t="n">
        <v>45579.7454050926</v>
      </c>
      <c r="C660" s="1" t="n">
        <v>46090</v>
      </c>
      <c r="D660" t="inlineStr">
        <is>
          <t>ÖSTERGÖTLANDS LÄN</t>
        </is>
      </c>
      <c r="E660" t="inlineStr">
        <is>
          <t>LINKÖPING</t>
        </is>
      </c>
      <c r="G660" t="n">
        <v>5</v>
      </c>
      <c r="H660" t="n">
        <v>0</v>
      </c>
      <c r="I660" t="n">
        <v>0</v>
      </c>
      <c r="J660" t="n">
        <v>0</v>
      </c>
      <c r="K660" t="n">
        <v>0</v>
      </c>
      <c r="L660" t="n">
        <v>0</v>
      </c>
      <c r="M660" t="n">
        <v>0</v>
      </c>
      <c r="N660" t="n">
        <v>0</v>
      </c>
      <c r="O660" t="n">
        <v>0</v>
      </c>
      <c r="P660" t="n">
        <v>0</v>
      </c>
      <c r="Q660" t="n">
        <v>0</v>
      </c>
      <c r="R660" s="2" t="inlineStr"/>
    </row>
    <row r="661" ht="15" customHeight="1">
      <c r="A661" t="inlineStr">
        <is>
          <t>A 15748-2025</t>
        </is>
      </c>
      <c r="B661" s="1" t="n">
        <v>45748.55282407408</v>
      </c>
      <c r="C661" s="1" t="n">
        <v>46090</v>
      </c>
      <c r="D661" t="inlineStr">
        <is>
          <t>ÖSTERGÖTLANDS LÄN</t>
        </is>
      </c>
      <c r="E661" t="inlineStr">
        <is>
          <t>LINKÖPING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15754-2025</t>
        </is>
      </c>
      <c r="B662" s="1" t="n">
        <v>45748.56105324074</v>
      </c>
      <c r="C662" s="1" t="n">
        <v>46090</v>
      </c>
      <c r="D662" t="inlineStr">
        <is>
          <t>ÖSTERGÖTLANDS LÄN</t>
        </is>
      </c>
      <c r="E662" t="inlineStr">
        <is>
          <t>LINKÖPING</t>
        </is>
      </c>
      <c r="G662" t="n">
        <v>1.7</v>
      </c>
      <c r="H662" t="n">
        <v>0</v>
      </c>
      <c r="I662" t="n">
        <v>0</v>
      </c>
      <c r="J662" t="n">
        <v>0</v>
      </c>
      <c r="K662" t="n">
        <v>0</v>
      </c>
      <c r="L662" t="n">
        <v>0</v>
      </c>
      <c r="M662" t="n">
        <v>0</v>
      </c>
      <c r="N662" t="n">
        <v>0</v>
      </c>
      <c r="O662" t="n">
        <v>0</v>
      </c>
      <c r="P662" t="n">
        <v>0</v>
      </c>
      <c r="Q662" t="n">
        <v>0</v>
      </c>
      <c r="R662" s="2" t="inlineStr"/>
    </row>
    <row r="663" ht="15" customHeight="1">
      <c r="A663" t="inlineStr">
        <is>
          <t>A 30518-2024</t>
        </is>
      </c>
      <c r="B663" s="1" t="n">
        <v>45492</v>
      </c>
      <c r="C663" s="1" t="n">
        <v>46090</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53797-2023</t>
        </is>
      </c>
      <c r="B664" s="1" t="n">
        <v>45230</v>
      </c>
      <c r="C664" s="1" t="n">
        <v>46090</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55345-2021</t>
        </is>
      </c>
      <c r="B665" s="1" t="n">
        <v>44475</v>
      </c>
      <c r="C665" s="1" t="n">
        <v>46090</v>
      </c>
      <c r="D665" t="inlineStr">
        <is>
          <t>ÖSTERGÖTLANDS LÄN</t>
        </is>
      </c>
      <c r="E665" t="inlineStr">
        <is>
          <t>LINKÖPING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10198-2023</t>
        </is>
      </c>
      <c r="B666" s="1" t="n">
        <v>44986.54665509259</v>
      </c>
      <c r="C666" s="1" t="n">
        <v>46090</v>
      </c>
      <c r="D666" t="inlineStr">
        <is>
          <t>ÖSTERGÖTLANDS LÄN</t>
        </is>
      </c>
      <c r="E666" t="inlineStr">
        <is>
          <t>LINKÖPING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4298-2023</t>
        </is>
      </c>
      <c r="B667" s="1" t="n">
        <v>44953</v>
      </c>
      <c r="C667" s="1" t="n">
        <v>46090</v>
      </c>
      <c r="D667" t="inlineStr">
        <is>
          <t>ÖSTERGÖTLANDS LÄN</t>
        </is>
      </c>
      <c r="E667" t="inlineStr">
        <is>
          <t>LINKÖPING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12428-2024</t>
        </is>
      </c>
      <c r="B668" s="1" t="n">
        <v>45379</v>
      </c>
      <c r="C668" s="1" t="n">
        <v>46090</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26618-2023</t>
        </is>
      </c>
      <c r="B669" s="1" t="n">
        <v>45092.70306712963</v>
      </c>
      <c r="C669" s="1" t="n">
        <v>46090</v>
      </c>
      <c r="D669" t="inlineStr">
        <is>
          <t>ÖSTERGÖTLANDS LÄN</t>
        </is>
      </c>
      <c r="E669" t="inlineStr">
        <is>
          <t>LINKÖPING</t>
        </is>
      </c>
      <c r="G669" t="n">
        <v>6.9</v>
      </c>
      <c r="H669" t="n">
        <v>0</v>
      </c>
      <c r="I669" t="n">
        <v>0</v>
      </c>
      <c r="J669" t="n">
        <v>0</v>
      </c>
      <c r="K669" t="n">
        <v>0</v>
      </c>
      <c r="L669" t="n">
        <v>0</v>
      </c>
      <c r="M669" t="n">
        <v>0</v>
      </c>
      <c r="N669" t="n">
        <v>0</v>
      </c>
      <c r="O669" t="n">
        <v>0</v>
      </c>
      <c r="P669" t="n">
        <v>0</v>
      </c>
      <c r="Q669" t="n">
        <v>0</v>
      </c>
      <c r="R669" s="2" t="inlineStr"/>
    </row>
    <row r="670" ht="15" customHeight="1">
      <c r="A670" t="inlineStr">
        <is>
          <t>A 34930-2023</t>
        </is>
      </c>
      <c r="B670" s="1" t="n">
        <v>45142</v>
      </c>
      <c r="C670" s="1" t="n">
        <v>46090</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670-2024</t>
        </is>
      </c>
      <c r="B671" s="1" t="n">
        <v>45300.3408912037</v>
      </c>
      <c r="C671" s="1" t="n">
        <v>46090</v>
      </c>
      <c r="D671" t="inlineStr">
        <is>
          <t>ÖSTERGÖTLANDS LÄN</t>
        </is>
      </c>
      <c r="E671" t="inlineStr">
        <is>
          <t>LINKÖPING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63845-2021</t>
        </is>
      </c>
      <c r="B672" s="1" t="n">
        <v>44509</v>
      </c>
      <c r="C672" s="1" t="n">
        <v>46090</v>
      </c>
      <c r="D672" t="inlineStr">
        <is>
          <t>ÖSTERGÖTLANDS LÄN</t>
        </is>
      </c>
      <c r="E672" t="inlineStr">
        <is>
          <t>LINKÖPING</t>
        </is>
      </c>
      <c r="G672" t="n">
        <v>5</v>
      </c>
      <c r="H672" t="n">
        <v>0</v>
      </c>
      <c r="I672" t="n">
        <v>0</v>
      </c>
      <c r="J672" t="n">
        <v>0</v>
      </c>
      <c r="K672" t="n">
        <v>0</v>
      </c>
      <c r="L672" t="n">
        <v>0</v>
      </c>
      <c r="M672" t="n">
        <v>0</v>
      </c>
      <c r="N672" t="n">
        <v>0</v>
      </c>
      <c r="O672" t="n">
        <v>0</v>
      </c>
      <c r="P672" t="n">
        <v>0</v>
      </c>
      <c r="Q672" t="n">
        <v>0</v>
      </c>
      <c r="R672" s="2" t="inlineStr"/>
    </row>
    <row r="673" ht="15" customHeight="1">
      <c r="A673" t="inlineStr">
        <is>
          <t>A 54034-2022</t>
        </is>
      </c>
      <c r="B673" s="1" t="n">
        <v>44881</v>
      </c>
      <c r="C673" s="1" t="n">
        <v>46090</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36336-2023</t>
        </is>
      </c>
      <c r="B674" s="1" t="n">
        <v>45152.45078703704</v>
      </c>
      <c r="C674" s="1" t="n">
        <v>46090</v>
      </c>
      <c r="D674" t="inlineStr">
        <is>
          <t>ÖSTERGÖTLANDS LÄN</t>
        </is>
      </c>
      <c r="E674" t="inlineStr">
        <is>
          <t>LINKÖPING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48829-2023</t>
        </is>
      </c>
      <c r="B675" s="1" t="n">
        <v>45209.38177083333</v>
      </c>
      <c r="C675" s="1" t="n">
        <v>46090</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48186-2022</t>
        </is>
      </c>
      <c r="B676" s="1" t="n">
        <v>44858</v>
      </c>
      <c r="C676" s="1" t="n">
        <v>46090</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63669-2023</t>
        </is>
      </c>
      <c r="B677" s="1" t="n">
        <v>45275</v>
      </c>
      <c r="C677" s="1" t="n">
        <v>46090</v>
      </c>
      <c r="D677" t="inlineStr">
        <is>
          <t>ÖSTERGÖTLANDS LÄN</t>
        </is>
      </c>
      <c r="E677" t="inlineStr">
        <is>
          <t>LINKÖPING</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24586-2024</t>
        </is>
      </c>
      <c r="B678" s="1" t="n">
        <v>45460.46664351852</v>
      </c>
      <c r="C678" s="1" t="n">
        <v>46090</v>
      </c>
      <c r="D678" t="inlineStr">
        <is>
          <t>ÖSTERGÖTLANDS LÄN</t>
        </is>
      </c>
      <c r="E678" t="inlineStr">
        <is>
          <t>LINKÖPING</t>
        </is>
      </c>
      <c r="G678" t="n">
        <v>4</v>
      </c>
      <c r="H678" t="n">
        <v>0</v>
      </c>
      <c r="I678" t="n">
        <v>0</v>
      </c>
      <c r="J678" t="n">
        <v>0</v>
      </c>
      <c r="K678" t="n">
        <v>0</v>
      </c>
      <c r="L678" t="n">
        <v>0</v>
      </c>
      <c r="M678" t="n">
        <v>0</v>
      </c>
      <c r="N678" t="n">
        <v>0</v>
      </c>
      <c r="O678" t="n">
        <v>0</v>
      </c>
      <c r="P678" t="n">
        <v>0</v>
      </c>
      <c r="Q678" t="n">
        <v>0</v>
      </c>
      <c r="R678" s="2" t="inlineStr"/>
    </row>
    <row r="679" ht="15" customHeight="1">
      <c r="A679" t="inlineStr">
        <is>
          <t>A 59576-2024</t>
        </is>
      </c>
      <c r="B679" s="1" t="n">
        <v>45638.66378472222</v>
      </c>
      <c r="C679" s="1" t="n">
        <v>46090</v>
      </c>
      <c r="D679" t="inlineStr">
        <is>
          <t>ÖSTERGÖTLANDS LÄN</t>
        </is>
      </c>
      <c r="E679" t="inlineStr">
        <is>
          <t>LINKÖPING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59642-2024</t>
        </is>
      </c>
      <c r="B680" s="1" t="n">
        <v>45639.31511574074</v>
      </c>
      <c r="C680" s="1" t="n">
        <v>46090</v>
      </c>
      <c r="D680" t="inlineStr">
        <is>
          <t>ÖSTERGÖTLANDS LÄN</t>
        </is>
      </c>
      <c r="E680" t="inlineStr">
        <is>
          <t>LINKÖPING</t>
        </is>
      </c>
      <c r="G680" t="n">
        <v>0.9</v>
      </c>
      <c r="H680" t="n">
        <v>0</v>
      </c>
      <c r="I680" t="n">
        <v>0</v>
      </c>
      <c r="J680" t="n">
        <v>0</v>
      </c>
      <c r="K680" t="n">
        <v>0</v>
      </c>
      <c r="L680" t="n">
        <v>0</v>
      </c>
      <c r="M680" t="n">
        <v>0</v>
      </c>
      <c r="N680" t="n">
        <v>0</v>
      </c>
      <c r="O680" t="n">
        <v>0</v>
      </c>
      <c r="P680" t="n">
        <v>0</v>
      </c>
      <c r="Q680" t="n">
        <v>0</v>
      </c>
      <c r="R680" s="2" t="inlineStr"/>
    </row>
    <row r="681" ht="15" customHeight="1">
      <c r="A681" t="inlineStr">
        <is>
          <t>A 59674-2024</t>
        </is>
      </c>
      <c r="B681" s="1" t="n">
        <v>45639</v>
      </c>
      <c r="C681" s="1" t="n">
        <v>46090</v>
      </c>
      <c r="D681" t="inlineStr">
        <is>
          <t>ÖSTERGÖTLANDS LÄN</t>
        </is>
      </c>
      <c r="E681" t="inlineStr">
        <is>
          <t>LINKÖPING</t>
        </is>
      </c>
      <c r="G681" t="n">
        <v>6.3</v>
      </c>
      <c r="H681" t="n">
        <v>0</v>
      </c>
      <c r="I681" t="n">
        <v>0</v>
      </c>
      <c r="J681" t="n">
        <v>0</v>
      </c>
      <c r="K681" t="n">
        <v>0</v>
      </c>
      <c r="L681" t="n">
        <v>0</v>
      </c>
      <c r="M681" t="n">
        <v>0</v>
      </c>
      <c r="N681" t="n">
        <v>0</v>
      </c>
      <c r="O681" t="n">
        <v>0</v>
      </c>
      <c r="P681" t="n">
        <v>0</v>
      </c>
      <c r="Q681" t="n">
        <v>0</v>
      </c>
      <c r="R681" s="2" t="inlineStr"/>
    </row>
    <row r="682" ht="15" customHeight="1">
      <c r="A682" t="inlineStr">
        <is>
          <t>A 18916-2024</t>
        </is>
      </c>
      <c r="B682" s="1" t="n">
        <v>45427.39541666667</v>
      </c>
      <c r="C682" s="1" t="n">
        <v>46090</v>
      </c>
      <c r="D682" t="inlineStr">
        <is>
          <t>ÖSTERGÖTLANDS LÄN</t>
        </is>
      </c>
      <c r="E682" t="inlineStr">
        <is>
          <t>LINKÖPING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11084-2022</t>
        </is>
      </c>
      <c r="B683" s="1" t="n">
        <v>44628</v>
      </c>
      <c r="C683" s="1" t="n">
        <v>46090</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10203-2023</t>
        </is>
      </c>
      <c r="B684" s="1" t="n">
        <v>44986.55711805556</v>
      </c>
      <c r="C684" s="1" t="n">
        <v>46090</v>
      </c>
      <c r="D684" t="inlineStr">
        <is>
          <t>ÖSTERGÖTLANDS LÄN</t>
        </is>
      </c>
      <c r="E684" t="inlineStr">
        <is>
          <t>LINKÖPING</t>
        </is>
      </c>
      <c r="G684" t="n">
        <v>3.3</v>
      </c>
      <c r="H684" t="n">
        <v>0</v>
      </c>
      <c r="I684" t="n">
        <v>0</v>
      </c>
      <c r="J684" t="n">
        <v>0</v>
      </c>
      <c r="K684" t="n">
        <v>0</v>
      </c>
      <c r="L684" t="n">
        <v>0</v>
      </c>
      <c r="M684" t="n">
        <v>0</v>
      </c>
      <c r="N684" t="n">
        <v>0</v>
      </c>
      <c r="O684" t="n">
        <v>0</v>
      </c>
      <c r="P684" t="n">
        <v>0</v>
      </c>
      <c r="Q684" t="n">
        <v>0</v>
      </c>
      <c r="R684" s="2" t="inlineStr"/>
    </row>
    <row r="685" ht="15" customHeight="1">
      <c r="A685" t="inlineStr">
        <is>
          <t>A 2618-2023</t>
        </is>
      </c>
      <c r="B685" s="1" t="n">
        <v>44944.35847222222</v>
      </c>
      <c r="C685" s="1" t="n">
        <v>46090</v>
      </c>
      <c r="D685" t="inlineStr">
        <is>
          <t>ÖSTERGÖTLANDS LÄN</t>
        </is>
      </c>
      <c r="E685" t="inlineStr">
        <is>
          <t>LINKÖPING</t>
        </is>
      </c>
      <c r="G685" t="n">
        <v>4.3</v>
      </c>
      <c r="H685" t="n">
        <v>0</v>
      </c>
      <c r="I685" t="n">
        <v>0</v>
      </c>
      <c r="J685" t="n">
        <v>0</v>
      </c>
      <c r="K685" t="n">
        <v>0</v>
      </c>
      <c r="L685" t="n">
        <v>0</v>
      </c>
      <c r="M685" t="n">
        <v>0</v>
      </c>
      <c r="N685" t="n">
        <v>0</v>
      </c>
      <c r="O685" t="n">
        <v>0</v>
      </c>
      <c r="P685" t="n">
        <v>0</v>
      </c>
      <c r="Q685" t="n">
        <v>0</v>
      </c>
      <c r="R685" s="2" t="inlineStr"/>
    </row>
    <row r="686" ht="15" customHeight="1">
      <c r="A686" t="inlineStr">
        <is>
          <t>A 62020-2024</t>
        </is>
      </c>
      <c r="B686" s="1" t="n">
        <v>45655.83563657408</v>
      </c>
      <c r="C686" s="1" t="n">
        <v>46090</v>
      </c>
      <c r="D686" t="inlineStr">
        <is>
          <t>ÖSTERGÖTLANDS LÄN</t>
        </is>
      </c>
      <c r="E686" t="inlineStr">
        <is>
          <t>LINKÖPING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62021-2024</t>
        </is>
      </c>
      <c r="B687" s="1" t="n">
        <v>45655.84232638889</v>
      </c>
      <c r="C687" s="1" t="n">
        <v>46090</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1362-2023</t>
        </is>
      </c>
      <c r="B688" s="1" t="n">
        <v>44931</v>
      </c>
      <c r="C688" s="1" t="n">
        <v>46090</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49928-2024</t>
        </is>
      </c>
      <c r="B689" s="1" t="n">
        <v>45597.57811342592</v>
      </c>
      <c r="C689" s="1" t="n">
        <v>46090</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3627-2023</t>
        </is>
      </c>
      <c r="B690" s="1" t="n">
        <v>44950.64782407408</v>
      </c>
      <c r="C690" s="1" t="n">
        <v>46090</v>
      </c>
      <c r="D690" t="inlineStr">
        <is>
          <t>ÖSTERGÖTLANDS LÄN</t>
        </is>
      </c>
      <c r="E690" t="inlineStr">
        <is>
          <t>LINKÖPING</t>
        </is>
      </c>
      <c r="G690" t="n">
        <v>3.1</v>
      </c>
      <c r="H690" t="n">
        <v>0</v>
      </c>
      <c r="I690" t="n">
        <v>0</v>
      </c>
      <c r="J690" t="n">
        <v>0</v>
      </c>
      <c r="K690" t="n">
        <v>0</v>
      </c>
      <c r="L690" t="n">
        <v>0</v>
      </c>
      <c r="M690" t="n">
        <v>0</v>
      </c>
      <c r="N690" t="n">
        <v>0</v>
      </c>
      <c r="O690" t="n">
        <v>0</v>
      </c>
      <c r="P690" t="n">
        <v>0</v>
      </c>
      <c r="Q690" t="n">
        <v>0</v>
      </c>
      <c r="R690" s="2" t="inlineStr"/>
    </row>
    <row r="691" ht="15" customHeight="1">
      <c r="A691" t="inlineStr">
        <is>
          <t>A 51405-2023</t>
        </is>
      </c>
      <c r="B691" s="1" t="n">
        <v>45219</v>
      </c>
      <c r="C691" s="1" t="n">
        <v>46090</v>
      </c>
      <c r="D691" t="inlineStr">
        <is>
          <t>ÖSTERGÖTLANDS LÄN</t>
        </is>
      </c>
      <c r="E691" t="inlineStr">
        <is>
          <t>LINKÖPING</t>
        </is>
      </c>
      <c r="F691" t="inlineStr">
        <is>
          <t>Övriga Aktiebolag</t>
        </is>
      </c>
      <c r="G691" t="n">
        <v>3</v>
      </c>
      <c r="H691" t="n">
        <v>0</v>
      </c>
      <c r="I691" t="n">
        <v>0</v>
      </c>
      <c r="J691" t="n">
        <v>0</v>
      </c>
      <c r="K691" t="n">
        <v>0</v>
      </c>
      <c r="L691" t="n">
        <v>0</v>
      </c>
      <c r="M691" t="n">
        <v>0</v>
      </c>
      <c r="N691" t="n">
        <v>0</v>
      </c>
      <c r="O691" t="n">
        <v>0</v>
      </c>
      <c r="P691" t="n">
        <v>0</v>
      </c>
      <c r="Q691" t="n">
        <v>0</v>
      </c>
      <c r="R691" s="2" t="inlineStr"/>
    </row>
    <row r="692" ht="15" customHeight="1">
      <c r="A692" t="inlineStr">
        <is>
          <t>A 11601-2023</t>
        </is>
      </c>
      <c r="B692" s="1" t="n">
        <v>44994</v>
      </c>
      <c r="C692" s="1" t="n">
        <v>46090</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40338-2024</t>
        </is>
      </c>
      <c r="B693" s="1" t="n">
        <v>45555.32940972222</v>
      </c>
      <c r="C693" s="1" t="n">
        <v>46090</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167-2024</t>
        </is>
      </c>
      <c r="B694" s="1" t="n">
        <v>45294</v>
      </c>
      <c r="C694" s="1" t="n">
        <v>46090</v>
      </c>
      <c r="D694" t="inlineStr">
        <is>
          <t>ÖSTERGÖTLANDS LÄN</t>
        </is>
      </c>
      <c r="E694" t="inlineStr">
        <is>
          <t>LINKÖPING</t>
        </is>
      </c>
      <c r="F694" t="inlineStr">
        <is>
          <t>Allmännings- och besparingsskogar</t>
        </is>
      </c>
      <c r="G694" t="n">
        <v>11.6</v>
      </c>
      <c r="H694" t="n">
        <v>0</v>
      </c>
      <c r="I694" t="n">
        <v>0</v>
      </c>
      <c r="J694" t="n">
        <v>0</v>
      </c>
      <c r="K694" t="n">
        <v>0</v>
      </c>
      <c r="L694" t="n">
        <v>0</v>
      </c>
      <c r="M694" t="n">
        <v>0</v>
      </c>
      <c r="N694" t="n">
        <v>0</v>
      </c>
      <c r="O694" t="n">
        <v>0</v>
      </c>
      <c r="P694" t="n">
        <v>0</v>
      </c>
      <c r="Q694" t="n">
        <v>0</v>
      </c>
      <c r="R694" s="2" t="inlineStr"/>
    </row>
    <row r="695" ht="15" customHeight="1">
      <c r="A695" t="inlineStr">
        <is>
          <t>A 27186-2021</t>
        </is>
      </c>
      <c r="B695" s="1" t="n">
        <v>44350.67715277777</v>
      </c>
      <c r="C695" s="1" t="n">
        <v>46090</v>
      </c>
      <c r="D695" t="inlineStr">
        <is>
          <t>ÖSTERGÖTLANDS LÄN</t>
        </is>
      </c>
      <c r="E695" t="inlineStr">
        <is>
          <t>LINKÖPING</t>
        </is>
      </c>
      <c r="F695" t="inlineStr">
        <is>
          <t>Allmännings- och besparingsskogar</t>
        </is>
      </c>
      <c r="G695" t="n">
        <v>1.4</v>
      </c>
      <c r="H695" t="n">
        <v>0</v>
      </c>
      <c r="I695" t="n">
        <v>0</v>
      </c>
      <c r="J695" t="n">
        <v>0</v>
      </c>
      <c r="K695" t="n">
        <v>0</v>
      </c>
      <c r="L695" t="n">
        <v>0</v>
      </c>
      <c r="M695" t="n">
        <v>0</v>
      </c>
      <c r="N695" t="n">
        <v>0</v>
      </c>
      <c r="O695" t="n">
        <v>0</v>
      </c>
      <c r="P695" t="n">
        <v>0</v>
      </c>
      <c r="Q695" t="n">
        <v>0</v>
      </c>
      <c r="R695" s="2" t="inlineStr"/>
    </row>
    <row r="696" ht="15" customHeight="1">
      <c r="A696" t="inlineStr">
        <is>
          <t>A 7343-2025</t>
        </is>
      </c>
      <c r="B696" s="1" t="n">
        <v>45703.67853009259</v>
      </c>
      <c r="C696" s="1" t="n">
        <v>46090</v>
      </c>
      <c r="D696" t="inlineStr">
        <is>
          <t>ÖSTERGÖTLANDS LÄN</t>
        </is>
      </c>
      <c r="E696" t="inlineStr">
        <is>
          <t>LINKÖPING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48271-2023</t>
        </is>
      </c>
      <c r="B697" s="1" t="n">
        <v>45205</v>
      </c>
      <c r="C697" s="1" t="n">
        <v>46090</v>
      </c>
      <c r="D697" t="inlineStr">
        <is>
          <t>ÖSTERGÖTLANDS LÄN</t>
        </is>
      </c>
      <c r="E697" t="inlineStr">
        <is>
          <t>LINKÖPING</t>
        </is>
      </c>
      <c r="G697" t="n">
        <v>3</v>
      </c>
      <c r="H697" t="n">
        <v>0</v>
      </c>
      <c r="I697" t="n">
        <v>0</v>
      </c>
      <c r="J697" t="n">
        <v>0</v>
      </c>
      <c r="K697" t="n">
        <v>0</v>
      </c>
      <c r="L697" t="n">
        <v>0</v>
      </c>
      <c r="M697" t="n">
        <v>0</v>
      </c>
      <c r="N697" t="n">
        <v>0</v>
      </c>
      <c r="O697" t="n">
        <v>0</v>
      </c>
      <c r="P697" t="n">
        <v>0</v>
      </c>
      <c r="Q697" t="n">
        <v>0</v>
      </c>
      <c r="R697" s="2" t="inlineStr"/>
    </row>
    <row r="698" ht="15" customHeight="1">
      <c r="A698" t="inlineStr">
        <is>
          <t>A 12720-2022</t>
        </is>
      </c>
      <c r="B698" s="1" t="n">
        <v>44641</v>
      </c>
      <c r="C698" s="1" t="n">
        <v>46090</v>
      </c>
      <c r="D698" t="inlineStr">
        <is>
          <t>ÖSTERGÖTLANDS LÄN</t>
        </is>
      </c>
      <c r="E698" t="inlineStr">
        <is>
          <t>LINKÖPING</t>
        </is>
      </c>
      <c r="F698" t="inlineStr">
        <is>
          <t>Övriga Aktiebolag</t>
        </is>
      </c>
      <c r="G698" t="n">
        <v>2</v>
      </c>
      <c r="H698" t="n">
        <v>0</v>
      </c>
      <c r="I698" t="n">
        <v>0</v>
      </c>
      <c r="J698" t="n">
        <v>0</v>
      </c>
      <c r="K698" t="n">
        <v>0</v>
      </c>
      <c r="L698" t="n">
        <v>0</v>
      </c>
      <c r="M698" t="n">
        <v>0</v>
      </c>
      <c r="N698" t="n">
        <v>0</v>
      </c>
      <c r="O698" t="n">
        <v>0</v>
      </c>
      <c r="P698" t="n">
        <v>0</v>
      </c>
      <c r="Q698" t="n">
        <v>0</v>
      </c>
      <c r="R698" s="2" t="inlineStr"/>
    </row>
    <row r="699" ht="15" customHeight="1">
      <c r="A699" t="inlineStr">
        <is>
          <t>A 62018-2024</t>
        </is>
      </c>
      <c r="B699" s="1" t="n">
        <v>45655.81387731482</v>
      </c>
      <c r="C699" s="1" t="n">
        <v>46090</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30551-2023</t>
        </is>
      </c>
      <c r="B700" s="1" t="n">
        <v>45111</v>
      </c>
      <c r="C700" s="1" t="n">
        <v>46090</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30860-2022</t>
        </is>
      </c>
      <c r="B701" s="1" t="n">
        <v>44767</v>
      </c>
      <c r="C701" s="1" t="n">
        <v>46090</v>
      </c>
      <c r="D701" t="inlineStr">
        <is>
          <t>ÖSTERGÖTLANDS LÄN</t>
        </is>
      </c>
      <c r="E701" t="inlineStr">
        <is>
          <t>LINKÖPING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60004-2022</t>
        </is>
      </c>
      <c r="B702" s="1" t="n">
        <v>44909.47206018519</v>
      </c>
      <c r="C702" s="1" t="n">
        <v>46090</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60010-2022</t>
        </is>
      </c>
      <c r="B703" s="1" t="n">
        <v>44909.4740625</v>
      </c>
      <c r="C703" s="1" t="n">
        <v>46090</v>
      </c>
      <c r="D703" t="inlineStr">
        <is>
          <t>ÖSTERGÖTLANDS LÄN</t>
        </is>
      </c>
      <c r="E703" t="inlineStr">
        <is>
          <t>LINKÖPING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53827-2023</t>
        </is>
      </c>
      <c r="B704" s="1" t="n">
        <v>45230</v>
      </c>
      <c r="C704" s="1" t="n">
        <v>46090</v>
      </c>
      <c r="D704" t="inlineStr">
        <is>
          <t>ÖSTERGÖTLANDS LÄN</t>
        </is>
      </c>
      <c r="E704" t="inlineStr">
        <is>
          <t>LINKÖPING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4256-2022</t>
        </is>
      </c>
      <c r="B705" s="1" t="n">
        <v>44588</v>
      </c>
      <c r="C705" s="1" t="n">
        <v>46090</v>
      </c>
      <c r="D705" t="inlineStr">
        <is>
          <t>ÖSTERGÖTLANDS LÄN</t>
        </is>
      </c>
      <c r="E705" t="inlineStr">
        <is>
          <t>LINKÖPING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61649-2023</t>
        </is>
      </c>
      <c r="B706" s="1" t="n">
        <v>45265</v>
      </c>
      <c r="C706" s="1" t="n">
        <v>46090</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223-2024</t>
        </is>
      </c>
      <c r="B707" s="1" t="n">
        <v>45294.72739583333</v>
      </c>
      <c r="C707" s="1" t="n">
        <v>46090</v>
      </c>
      <c r="D707" t="inlineStr">
        <is>
          <t>ÖSTERGÖTLANDS LÄN</t>
        </is>
      </c>
      <c r="E707" t="inlineStr">
        <is>
          <t>LINKÖPING</t>
        </is>
      </c>
      <c r="G707" t="n">
        <v>2.2</v>
      </c>
      <c r="H707" t="n">
        <v>0</v>
      </c>
      <c r="I707" t="n">
        <v>0</v>
      </c>
      <c r="J707" t="n">
        <v>0</v>
      </c>
      <c r="K707" t="n">
        <v>0</v>
      </c>
      <c r="L707" t="n">
        <v>0</v>
      </c>
      <c r="M707" t="n">
        <v>0</v>
      </c>
      <c r="N707" t="n">
        <v>0</v>
      </c>
      <c r="O707" t="n">
        <v>0</v>
      </c>
      <c r="P707" t="n">
        <v>0</v>
      </c>
      <c r="Q707" t="n">
        <v>0</v>
      </c>
      <c r="R707" s="2" t="inlineStr"/>
    </row>
    <row r="708" ht="15" customHeight="1">
      <c r="A708" t="inlineStr">
        <is>
          <t>A 19464-2024</t>
        </is>
      </c>
      <c r="B708" s="1" t="n">
        <v>45429</v>
      </c>
      <c r="C708" s="1" t="n">
        <v>46090</v>
      </c>
      <c r="D708" t="inlineStr">
        <is>
          <t>ÖSTERGÖTLANDS LÄN</t>
        </is>
      </c>
      <c r="E708" t="inlineStr">
        <is>
          <t>LINKÖPING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630-2024</t>
        </is>
      </c>
      <c r="B709" s="1" t="n">
        <v>45299.67736111111</v>
      </c>
      <c r="C709" s="1" t="n">
        <v>46090</v>
      </c>
      <c r="D709" t="inlineStr">
        <is>
          <t>ÖSTERGÖTLANDS LÄN</t>
        </is>
      </c>
      <c r="E709" t="inlineStr">
        <is>
          <t>LINKÖPING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30433-2024</t>
        </is>
      </c>
      <c r="B710" s="1" t="n">
        <v>45491.69741898148</v>
      </c>
      <c r="C710" s="1" t="n">
        <v>46090</v>
      </c>
      <c r="D710" t="inlineStr">
        <is>
          <t>ÖSTERGÖTLANDS LÄN</t>
        </is>
      </c>
      <c r="E710" t="inlineStr">
        <is>
          <t>LINKÖPING</t>
        </is>
      </c>
      <c r="G710" t="n">
        <v>1.7</v>
      </c>
      <c r="H710" t="n">
        <v>0</v>
      </c>
      <c r="I710" t="n">
        <v>0</v>
      </c>
      <c r="J710" t="n">
        <v>0</v>
      </c>
      <c r="K710" t="n">
        <v>0</v>
      </c>
      <c r="L710" t="n">
        <v>0</v>
      </c>
      <c r="M710" t="n">
        <v>0</v>
      </c>
      <c r="N710" t="n">
        <v>0</v>
      </c>
      <c r="O710" t="n">
        <v>0</v>
      </c>
      <c r="P710" t="n">
        <v>0</v>
      </c>
      <c r="Q710" t="n">
        <v>0</v>
      </c>
      <c r="R710" s="2" t="inlineStr"/>
    </row>
    <row r="711" ht="15" customHeight="1">
      <c r="A711" t="inlineStr">
        <is>
          <t>A 63528-2023</t>
        </is>
      </c>
      <c r="B711" s="1" t="n">
        <v>45274.94810185185</v>
      </c>
      <c r="C711" s="1" t="n">
        <v>46090</v>
      </c>
      <c r="D711" t="inlineStr">
        <is>
          <t>ÖSTERGÖTLANDS LÄN</t>
        </is>
      </c>
      <c r="E711" t="inlineStr">
        <is>
          <t>LINKÖPING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61936-2023</t>
        </is>
      </c>
      <c r="B712" s="1" t="n">
        <v>45266.54534722222</v>
      </c>
      <c r="C712" s="1" t="n">
        <v>46090</v>
      </c>
      <c r="D712" t="inlineStr">
        <is>
          <t>ÖSTERGÖTLANDS LÄN</t>
        </is>
      </c>
      <c r="E712" t="inlineStr">
        <is>
          <t>LINKÖPING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62492-2023</t>
        </is>
      </c>
      <c r="B713" s="1" t="n">
        <v>45268.58987268519</v>
      </c>
      <c r="C713" s="1" t="n">
        <v>46090</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674-2024</t>
        </is>
      </c>
      <c r="B714" s="1" t="n">
        <v>45300.34408564815</v>
      </c>
      <c r="C714" s="1" t="n">
        <v>46090</v>
      </c>
      <c r="D714" t="inlineStr">
        <is>
          <t>ÖSTERGÖTLANDS LÄN</t>
        </is>
      </c>
      <c r="E714" t="inlineStr">
        <is>
          <t>LINKÖPING</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6782-2024</t>
        </is>
      </c>
      <c r="B715" s="1" t="n">
        <v>45342</v>
      </c>
      <c r="C715" s="1" t="n">
        <v>46090</v>
      </c>
      <c r="D715" t="inlineStr">
        <is>
          <t>ÖSTERGÖTLANDS LÄN</t>
        </is>
      </c>
      <c r="E715" t="inlineStr">
        <is>
          <t>LINKÖPING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10094-2024</t>
        </is>
      </c>
      <c r="B716" s="1" t="n">
        <v>45364</v>
      </c>
      <c r="C716" s="1" t="n">
        <v>46090</v>
      </c>
      <c r="D716" t="inlineStr">
        <is>
          <t>ÖSTERGÖTLANDS LÄN</t>
        </is>
      </c>
      <c r="E716" t="inlineStr">
        <is>
          <t>LINKÖPING</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63684-2023</t>
        </is>
      </c>
      <c r="B717" s="1" t="n">
        <v>45275</v>
      </c>
      <c r="C717" s="1" t="n">
        <v>46090</v>
      </c>
      <c r="D717" t="inlineStr">
        <is>
          <t>ÖSTERGÖTLANDS LÄN</t>
        </is>
      </c>
      <c r="E717" t="inlineStr">
        <is>
          <t>LINKÖPING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63688-2023</t>
        </is>
      </c>
      <c r="B718" s="1" t="n">
        <v>45275</v>
      </c>
      <c r="C718" s="1" t="n">
        <v>46090</v>
      </c>
      <c r="D718" t="inlineStr">
        <is>
          <t>ÖSTERGÖTLANDS LÄN</t>
        </is>
      </c>
      <c r="E718" t="inlineStr">
        <is>
          <t>LINKÖPING</t>
        </is>
      </c>
      <c r="F718" t="inlineStr">
        <is>
          <t>Övriga Aktiebolag</t>
        </is>
      </c>
      <c r="G718" t="n">
        <v>2.4</v>
      </c>
      <c r="H718" t="n">
        <v>0</v>
      </c>
      <c r="I718" t="n">
        <v>0</v>
      </c>
      <c r="J718" t="n">
        <v>0</v>
      </c>
      <c r="K718" t="n">
        <v>0</v>
      </c>
      <c r="L718" t="n">
        <v>0</v>
      </c>
      <c r="M718" t="n">
        <v>0</v>
      </c>
      <c r="N718" t="n">
        <v>0</v>
      </c>
      <c r="O718" t="n">
        <v>0</v>
      </c>
      <c r="P718" t="n">
        <v>0</v>
      </c>
      <c r="Q718" t="n">
        <v>0</v>
      </c>
      <c r="R718" s="2" t="inlineStr"/>
    </row>
    <row r="719" ht="15" customHeight="1">
      <c r="A719" t="inlineStr">
        <is>
          <t>A 63691-2023</t>
        </is>
      </c>
      <c r="B719" s="1" t="n">
        <v>45275</v>
      </c>
      <c r="C719" s="1" t="n">
        <v>46090</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36657-2023</t>
        </is>
      </c>
      <c r="B720" s="1" t="n">
        <v>45153.5702662037</v>
      </c>
      <c r="C720" s="1" t="n">
        <v>46090</v>
      </c>
      <c r="D720" t="inlineStr">
        <is>
          <t>ÖSTERGÖTLANDS LÄN</t>
        </is>
      </c>
      <c r="E720" t="inlineStr">
        <is>
          <t>LINKÖPING</t>
        </is>
      </c>
      <c r="F720" t="inlineStr">
        <is>
          <t>Allmännings- och besparingsskogar</t>
        </is>
      </c>
      <c r="G720" t="n">
        <v>2</v>
      </c>
      <c r="H720" t="n">
        <v>0</v>
      </c>
      <c r="I720" t="n">
        <v>0</v>
      </c>
      <c r="J720" t="n">
        <v>0</v>
      </c>
      <c r="K720" t="n">
        <v>0</v>
      </c>
      <c r="L720" t="n">
        <v>0</v>
      </c>
      <c r="M720" t="n">
        <v>0</v>
      </c>
      <c r="N720" t="n">
        <v>0</v>
      </c>
      <c r="O720" t="n">
        <v>0</v>
      </c>
      <c r="P720" t="n">
        <v>0</v>
      </c>
      <c r="Q720" t="n">
        <v>0</v>
      </c>
      <c r="R720" s="2" t="inlineStr"/>
    </row>
    <row r="721" ht="15" customHeight="1">
      <c r="A721" t="inlineStr">
        <is>
          <t>A 14667-2024</t>
        </is>
      </c>
      <c r="B721" s="1" t="n">
        <v>45397.42005787037</v>
      </c>
      <c r="C721" s="1" t="n">
        <v>46090</v>
      </c>
      <c r="D721" t="inlineStr">
        <is>
          <t>ÖSTERGÖTLANDS LÄN</t>
        </is>
      </c>
      <c r="E721" t="inlineStr">
        <is>
          <t>LINKÖPING</t>
        </is>
      </c>
      <c r="G721" t="n">
        <v>2.3</v>
      </c>
      <c r="H721" t="n">
        <v>0</v>
      </c>
      <c r="I721" t="n">
        <v>0</v>
      </c>
      <c r="J721" t="n">
        <v>0</v>
      </c>
      <c r="K721" t="n">
        <v>0</v>
      </c>
      <c r="L721" t="n">
        <v>0</v>
      </c>
      <c r="M721" t="n">
        <v>0</v>
      </c>
      <c r="N721" t="n">
        <v>0</v>
      </c>
      <c r="O721" t="n">
        <v>0</v>
      </c>
      <c r="P721" t="n">
        <v>0</v>
      </c>
      <c r="Q721" t="n">
        <v>0</v>
      </c>
      <c r="R721" s="2" t="inlineStr"/>
    </row>
    <row r="722" ht="15" customHeight="1">
      <c r="A722" t="inlineStr">
        <is>
          <t>A 15714-2024</t>
        </is>
      </c>
      <c r="B722" s="1" t="n">
        <v>45404.48288194444</v>
      </c>
      <c r="C722" s="1" t="n">
        <v>46090</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37715-2022</t>
        </is>
      </c>
      <c r="B723" s="1" t="n">
        <v>44810</v>
      </c>
      <c r="C723" s="1" t="n">
        <v>46090</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30429-2024</t>
        </is>
      </c>
      <c r="B724" s="1" t="n">
        <v>45491.68972222223</v>
      </c>
      <c r="C724" s="1" t="n">
        <v>46090</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30435-2024</t>
        </is>
      </c>
      <c r="B725" s="1" t="n">
        <v>45491.69962962963</v>
      </c>
      <c r="C725" s="1" t="n">
        <v>46090</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38231-2022</t>
        </is>
      </c>
      <c r="B726" s="1" t="n">
        <v>44812</v>
      </c>
      <c r="C726" s="1" t="n">
        <v>46090</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34557-2022</t>
        </is>
      </c>
      <c r="B727" s="1" t="n">
        <v>44794.57074074074</v>
      </c>
      <c r="C727" s="1" t="n">
        <v>46090</v>
      </c>
      <c r="D727" t="inlineStr">
        <is>
          <t>ÖSTERGÖTLANDS LÄN</t>
        </is>
      </c>
      <c r="E727" t="inlineStr">
        <is>
          <t>LINKÖPING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13011-2022</t>
        </is>
      </c>
      <c r="B728" s="1" t="n">
        <v>44643</v>
      </c>
      <c r="C728" s="1" t="n">
        <v>46090</v>
      </c>
      <c r="D728" t="inlineStr">
        <is>
          <t>ÖSTERGÖTLANDS LÄN</t>
        </is>
      </c>
      <c r="E728" t="inlineStr">
        <is>
          <t>LINKÖPING</t>
        </is>
      </c>
      <c r="G728" t="n">
        <v>3.7</v>
      </c>
      <c r="H728" t="n">
        <v>0</v>
      </c>
      <c r="I728" t="n">
        <v>0</v>
      </c>
      <c r="J728" t="n">
        <v>0</v>
      </c>
      <c r="K728" t="n">
        <v>0</v>
      </c>
      <c r="L728" t="n">
        <v>0</v>
      </c>
      <c r="M728" t="n">
        <v>0</v>
      </c>
      <c r="N728" t="n">
        <v>0</v>
      </c>
      <c r="O728" t="n">
        <v>0</v>
      </c>
      <c r="P728" t="n">
        <v>0</v>
      </c>
      <c r="Q728" t="n">
        <v>0</v>
      </c>
      <c r="R728" s="2" t="inlineStr"/>
    </row>
    <row r="729" ht="15" customHeight="1">
      <c r="A729" t="inlineStr">
        <is>
          <t>A 617-2024</t>
        </is>
      </c>
      <c r="B729" s="1" t="n">
        <v>45299.66028935185</v>
      </c>
      <c r="C729" s="1" t="n">
        <v>46090</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19362-2023</t>
        </is>
      </c>
      <c r="B730" s="1" t="n">
        <v>45049</v>
      </c>
      <c r="C730" s="1" t="n">
        <v>46090</v>
      </c>
      <c r="D730" t="inlineStr">
        <is>
          <t>ÖSTERGÖTLANDS LÄN</t>
        </is>
      </c>
      <c r="E730" t="inlineStr">
        <is>
          <t>LINKÖPING</t>
        </is>
      </c>
      <c r="G730" t="n">
        <v>0.1</v>
      </c>
      <c r="H730" t="n">
        <v>0</v>
      </c>
      <c r="I730" t="n">
        <v>0</v>
      </c>
      <c r="J730" t="n">
        <v>0</v>
      </c>
      <c r="K730" t="n">
        <v>0</v>
      </c>
      <c r="L730" t="n">
        <v>0</v>
      </c>
      <c r="M730" t="n">
        <v>0</v>
      </c>
      <c r="N730" t="n">
        <v>0</v>
      </c>
      <c r="O730" t="n">
        <v>0</v>
      </c>
      <c r="P730" t="n">
        <v>0</v>
      </c>
      <c r="Q730" t="n">
        <v>0</v>
      </c>
      <c r="R730" s="2" t="inlineStr"/>
    </row>
    <row r="731" ht="15" customHeight="1">
      <c r="A731" t="inlineStr">
        <is>
          <t>A 19132-2023</t>
        </is>
      </c>
      <c r="B731" s="1" t="n">
        <v>45048.54754629629</v>
      </c>
      <c r="C731" s="1" t="n">
        <v>46090</v>
      </c>
      <c r="D731" t="inlineStr">
        <is>
          <t>ÖSTERGÖTLANDS LÄN</t>
        </is>
      </c>
      <c r="E731" t="inlineStr">
        <is>
          <t>LINKÖPING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31635-2023</t>
        </is>
      </c>
      <c r="B732" s="1" t="n">
        <v>45105</v>
      </c>
      <c r="C732" s="1" t="n">
        <v>46090</v>
      </c>
      <c r="D732" t="inlineStr">
        <is>
          <t>ÖSTERGÖTLANDS LÄN</t>
        </is>
      </c>
      <c r="E732" t="inlineStr">
        <is>
          <t>LINKÖPING</t>
        </is>
      </c>
      <c r="F732" t="inlineStr">
        <is>
          <t>Övriga statliga verk och myndigheter</t>
        </is>
      </c>
      <c r="G732" t="n">
        <v>4.6</v>
      </c>
      <c r="H732" t="n">
        <v>0</v>
      </c>
      <c r="I732" t="n">
        <v>0</v>
      </c>
      <c r="J732" t="n">
        <v>0</v>
      </c>
      <c r="K732" t="n">
        <v>0</v>
      </c>
      <c r="L732" t="n">
        <v>0</v>
      </c>
      <c r="M732" t="n">
        <v>0</v>
      </c>
      <c r="N732" t="n">
        <v>0</v>
      </c>
      <c r="O732" t="n">
        <v>0</v>
      </c>
      <c r="P732" t="n">
        <v>0</v>
      </c>
      <c r="Q732" t="n">
        <v>0</v>
      </c>
      <c r="R732" s="2" t="inlineStr"/>
    </row>
    <row r="733" ht="15" customHeight="1">
      <c r="A733" t="inlineStr">
        <is>
          <t>A 20296-2025</t>
        </is>
      </c>
      <c r="B733" s="1" t="n">
        <v>45774.74922453704</v>
      </c>
      <c r="C733" s="1" t="n">
        <v>46090</v>
      </c>
      <c r="D733" t="inlineStr">
        <is>
          <t>ÖSTERGÖTLANDS LÄN</t>
        </is>
      </c>
      <c r="E733" t="inlineStr">
        <is>
          <t>LINKÖPING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22770-2024</t>
        </is>
      </c>
      <c r="B734" s="1" t="n">
        <v>45448.4634375</v>
      </c>
      <c r="C734" s="1" t="n">
        <v>46090</v>
      </c>
      <c r="D734" t="inlineStr">
        <is>
          <t>ÖSTERGÖTLANDS LÄN</t>
        </is>
      </c>
      <c r="E734" t="inlineStr">
        <is>
          <t>LINKÖPING</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11595-2025</t>
        </is>
      </c>
      <c r="B735" s="1" t="n">
        <v>45727.41893518518</v>
      </c>
      <c r="C735" s="1" t="n">
        <v>46090</v>
      </c>
      <c r="D735" t="inlineStr">
        <is>
          <t>ÖSTERGÖTLANDS LÄN</t>
        </is>
      </c>
      <c r="E735" t="inlineStr">
        <is>
          <t>LINKÖPING</t>
        </is>
      </c>
      <c r="G735" t="n">
        <v>6.6</v>
      </c>
      <c r="H735" t="n">
        <v>0</v>
      </c>
      <c r="I735" t="n">
        <v>0</v>
      </c>
      <c r="J735" t="n">
        <v>0</v>
      </c>
      <c r="K735" t="n">
        <v>0</v>
      </c>
      <c r="L735" t="n">
        <v>0</v>
      </c>
      <c r="M735" t="n">
        <v>0</v>
      </c>
      <c r="N735" t="n">
        <v>0</v>
      </c>
      <c r="O735" t="n">
        <v>0</v>
      </c>
      <c r="P735" t="n">
        <v>0</v>
      </c>
      <c r="Q735" t="n">
        <v>0</v>
      </c>
      <c r="R735" s="2" t="inlineStr"/>
    </row>
    <row r="736" ht="15" customHeight="1">
      <c r="A736" t="inlineStr">
        <is>
          <t>A 48839-2022</t>
        </is>
      </c>
      <c r="B736" s="1" t="n">
        <v>44859</v>
      </c>
      <c r="C736" s="1" t="n">
        <v>46090</v>
      </c>
      <c r="D736" t="inlineStr">
        <is>
          <t>ÖSTERGÖTLANDS LÄN</t>
        </is>
      </c>
      <c r="E736" t="inlineStr">
        <is>
          <t>LINKÖPING</t>
        </is>
      </c>
      <c r="F736" t="inlineStr">
        <is>
          <t>Övriga Aktiebolag</t>
        </is>
      </c>
      <c r="G736" t="n">
        <v>0.6</v>
      </c>
      <c r="H736" t="n">
        <v>0</v>
      </c>
      <c r="I736" t="n">
        <v>0</v>
      </c>
      <c r="J736" t="n">
        <v>0</v>
      </c>
      <c r="K736" t="n">
        <v>0</v>
      </c>
      <c r="L736" t="n">
        <v>0</v>
      </c>
      <c r="M736" t="n">
        <v>0</v>
      </c>
      <c r="N736" t="n">
        <v>0</v>
      </c>
      <c r="O736" t="n">
        <v>0</v>
      </c>
      <c r="P736" t="n">
        <v>0</v>
      </c>
      <c r="Q736" t="n">
        <v>0</v>
      </c>
      <c r="R736" s="2" t="inlineStr"/>
    </row>
    <row r="737" ht="15" customHeight="1">
      <c r="A737" t="inlineStr">
        <is>
          <t>A 8967-2025</t>
        </is>
      </c>
      <c r="B737" s="1" t="n">
        <v>45712</v>
      </c>
      <c r="C737" s="1" t="n">
        <v>46090</v>
      </c>
      <c r="D737" t="inlineStr">
        <is>
          <t>ÖSTERGÖTLANDS LÄN</t>
        </is>
      </c>
      <c r="E737" t="inlineStr">
        <is>
          <t>LINKÖPING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63678-2023</t>
        </is>
      </c>
      <c r="B738" s="1" t="n">
        <v>45275.64769675926</v>
      </c>
      <c r="C738" s="1" t="n">
        <v>46090</v>
      </c>
      <c r="D738" t="inlineStr">
        <is>
          <t>ÖSTERGÖTLANDS LÄN</t>
        </is>
      </c>
      <c r="E738" t="inlineStr">
        <is>
          <t>LINKÖPING</t>
        </is>
      </c>
      <c r="F738" t="inlineStr">
        <is>
          <t>Övriga Aktiebolag</t>
        </is>
      </c>
      <c r="G738" t="n">
        <v>0.4</v>
      </c>
      <c r="H738" t="n">
        <v>0</v>
      </c>
      <c r="I738" t="n">
        <v>0</v>
      </c>
      <c r="J738" t="n">
        <v>0</v>
      </c>
      <c r="K738" t="n">
        <v>0</v>
      </c>
      <c r="L738" t="n">
        <v>0</v>
      </c>
      <c r="M738" t="n">
        <v>0</v>
      </c>
      <c r="N738" t="n">
        <v>0</v>
      </c>
      <c r="O738" t="n">
        <v>0</v>
      </c>
      <c r="P738" t="n">
        <v>0</v>
      </c>
      <c r="Q738" t="n">
        <v>0</v>
      </c>
      <c r="R738" s="2" t="inlineStr"/>
    </row>
    <row r="739" ht="15" customHeight="1">
      <c r="A739" t="inlineStr">
        <is>
          <t>A 1844-2025</t>
        </is>
      </c>
      <c r="B739" s="1" t="n">
        <v>45671.57730324074</v>
      </c>
      <c r="C739" s="1" t="n">
        <v>46090</v>
      </c>
      <c r="D739" t="inlineStr">
        <is>
          <t>ÖSTERGÖTLANDS LÄN</t>
        </is>
      </c>
      <c r="E739" t="inlineStr">
        <is>
          <t>LINKÖPING</t>
        </is>
      </c>
      <c r="G739" t="n">
        <v>2</v>
      </c>
      <c r="H739" t="n">
        <v>0</v>
      </c>
      <c r="I739" t="n">
        <v>0</v>
      </c>
      <c r="J739" t="n">
        <v>0</v>
      </c>
      <c r="K739" t="n">
        <v>0</v>
      </c>
      <c r="L739" t="n">
        <v>0</v>
      </c>
      <c r="M739" t="n">
        <v>0</v>
      </c>
      <c r="N739" t="n">
        <v>0</v>
      </c>
      <c r="O739" t="n">
        <v>0</v>
      </c>
      <c r="P739" t="n">
        <v>0</v>
      </c>
      <c r="Q739" t="n">
        <v>0</v>
      </c>
      <c r="R739" s="2" t="inlineStr"/>
    </row>
    <row r="740" ht="15" customHeight="1">
      <c r="A740" t="inlineStr">
        <is>
          <t>A 21165-2025</t>
        </is>
      </c>
      <c r="B740" s="1" t="n">
        <v>45779.39417824074</v>
      </c>
      <c r="C740" s="1" t="n">
        <v>46090</v>
      </c>
      <c r="D740" t="inlineStr">
        <is>
          <t>ÖSTERGÖTLANDS LÄN</t>
        </is>
      </c>
      <c r="E740" t="inlineStr">
        <is>
          <t>LINKÖPING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21155-2025</t>
        </is>
      </c>
      <c r="B741" s="1" t="n">
        <v>45779.37586805555</v>
      </c>
      <c r="C741" s="1" t="n">
        <v>46090</v>
      </c>
      <c r="D741" t="inlineStr">
        <is>
          <t>ÖSTERGÖTLANDS LÄN</t>
        </is>
      </c>
      <c r="E741" t="inlineStr">
        <is>
          <t>LINKÖPING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22264-2025</t>
        </is>
      </c>
      <c r="B742" s="1" t="n">
        <v>45785</v>
      </c>
      <c r="C742" s="1" t="n">
        <v>46090</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9473-2024</t>
        </is>
      </c>
      <c r="B743" s="1" t="n">
        <v>45359.55474537037</v>
      </c>
      <c r="C743" s="1" t="n">
        <v>46090</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6859-2024</t>
        </is>
      </c>
      <c r="B744" s="1" t="n">
        <v>45342</v>
      </c>
      <c r="C744" s="1" t="n">
        <v>46090</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44287-2024</t>
        </is>
      </c>
      <c r="B745" s="1" t="n">
        <v>45573.50582175926</v>
      </c>
      <c r="C745" s="1" t="n">
        <v>46090</v>
      </c>
      <c r="D745" t="inlineStr">
        <is>
          <t>ÖSTERGÖTLANDS LÄN</t>
        </is>
      </c>
      <c r="E745" t="inlineStr">
        <is>
          <t>LINKÖPING</t>
        </is>
      </c>
      <c r="G745" t="n">
        <v>12.7</v>
      </c>
      <c r="H745" t="n">
        <v>0</v>
      </c>
      <c r="I745" t="n">
        <v>0</v>
      </c>
      <c r="J745" t="n">
        <v>0</v>
      </c>
      <c r="K745" t="n">
        <v>0</v>
      </c>
      <c r="L745" t="n">
        <v>0</v>
      </c>
      <c r="M745" t="n">
        <v>0</v>
      </c>
      <c r="N745" t="n">
        <v>0</v>
      </c>
      <c r="O745" t="n">
        <v>0</v>
      </c>
      <c r="P745" t="n">
        <v>0</v>
      </c>
      <c r="Q745" t="n">
        <v>0</v>
      </c>
      <c r="R745" s="2" t="inlineStr"/>
    </row>
    <row r="746" ht="15" customHeight="1">
      <c r="A746" t="inlineStr">
        <is>
          <t>A 22364-2025</t>
        </is>
      </c>
      <c r="B746" s="1" t="n">
        <v>45786.46930555555</v>
      </c>
      <c r="C746" s="1" t="n">
        <v>46090</v>
      </c>
      <c r="D746" t="inlineStr">
        <is>
          <t>ÖSTERGÖTLANDS LÄN</t>
        </is>
      </c>
      <c r="E746" t="inlineStr">
        <is>
          <t>LINKÖPING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572-2025</t>
        </is>
      </c>
      <c r="B747" s="1" t="n">
        <v>45664.56349537037</v>
      </c>
      <c r="C747" s="1" t="n">
        <v>46090</v>
      </c>
      <c r="D747" t="inlineStr">
        <is>
          <t>ÖSTERGÖTLANDS LÄN</t>
        </is>
      </c>
      <c r="E747" t="inlineStr">
        <is>
          <t>LINKÖPING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10797-2024</t>
        </is>
      </c>
      <c r="B748" s="1" t="n">
        <v>45369.6190162037</v>
      </c>
      <c r="C748" s="1" t="n">
        <v>46090</v>
      </c>
      <c r="D748" t="inlineStr">
        <is>
          <t>ÖSTERGÖTLANDS LÄN</t>
        </is>
      </c>
      <c r="E748" t="inlineStr">
        <is>
          <t>LINKÖPING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38580-2024</t>
        </is>
      </c>
      <c r="B749" s="1" t="n">
        <v>45546.64825231482</v>
      </c>
      <c r="C749" s="1" t="n">
        <v>46090</v>
      </c>
      <c r="D749" t="inlineStr">
        <is>
          <t>ÖSTERGÖTLANDS LÄN</t>
        </is>
      </c>
      <c r="E749" t="inlineStr">
        <is>
          <t>LINKÖPING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57752-2023</t>
        </is>
      </c>
      <c r="B750" s="1" t="n">
        <v>45246.78474537037</v>
      </c>
      <c r="C750" s="1" t="n">
        <v>46090</v>
      </c>
      <c r="D750" t="inlineStr">
        <is>
          <t>ÖSTERGÖTLANDS LÄN</t>
        </is>
      </c>
      <c r="E750" t="inlineStr">
        <is>
          <t>LINKÖPING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29312-2024</t>
        </is>
      </c>
      <c r="B751" s="1" t="n">
        <v>45483</v>
      </c>
      <c r="C751" s="1" t="n">
        <v>46090</v>
      </c>
      <c r="D751" t="inlineStr">
        <is>
          <t>ÖSTERGÖTLANDS LÄN</t>
        </is>
      </c>
      <c r="E751" t="inlineStr">
        <is>
          <t>LINKÖPING</t>
        </is>
      </c>
      <c r="G751" t="n">
        <v>2.1</v>
      </c>
      <c r="H751" t="n">
        <v>0</v>
      </c>
      <c r="I751" t="n">
        <v>0</v>
      </c>
      <c r="J751" t="n">
        <v>0</v>
      </c>
      <c r="K751" t="n">
        <v>0</v>
      </c>
      <c r="L751" t="n">
        <v>0</v>
      </c>
      <c r="M751" t="n">
        <v>0</v>
      </c>
      <c r="N751" t="n">
        <v>0</v>
      </c>
      <c r="O751" t="n">
        <v>0</v>
      </c>
      <c r="P751" t="n">
        <v>0</v>
      </c>
      <c r="Q751" t="n">
        <v>0</v>
      </c>
      <c r="R751" s="2" t="inlineStr"/>
    </row>
    <row r="752" ht="15" customHeight="1">
      <c r="A752" t="inlineStr">
        <is>
          <t>A 23120-2025</t>
        </is>
      </c>
      <c r="B752" s="1" t="n">
        <v>45791.37481481482</v>
      </c>
      <c r="C752" s="1" t="n">
        <v>46090</v>
      </c>
      <c r="D752" t="inlineStr">
        <is>
          <t>ÖSTERGÖTLANDS LÄN</t>
        </is>
      </c>
      <c r="E752" t="inlineStr">
        <is>
          <t>LINKÖPING</t>
        </is>
      </c>
      <c r="G752" t="n">
        <v>2.9</v>
      </c>
      <c r="H752" t="n">
        <v>0</v>
      </c>
      <c r="I752" t="n">
        <v>0</v>
      </c>
      <c r="J752" t="n">
        <v>0</v>
      </c>
      <c r="K752" t="n">
        <v>0</v>
      </c>
      <c r="L752" t="n">
        <v>0</v>
      </c>
      <c r="M752" t="n">
        <v>0</v>
      </c>
      <c r="N752" t="n">
        <v>0</v>
      </c>
      <c r="O752" t="n">
        <v>0</v>
      </c>
      <c r="P752" t="n">
        <v>0</v>
      </c>
      <c r="Q752" t="n">
        <v>0</v>
      </c>
      <c r="R752" s="2" t="inlineStr"/>
    </row>
    <row r="753">
      <c r="A753" t="inlineStr">
        <is>
          <t>A 23768-2025</t>
        </is>
      </c>
      <c r="B753" s="1" t="n">
        <v>45793.47493055555</v>
      </c>
      <c r="C753" s="1" t="n">
        <v>46090</v>
      </c>
      <c r="D753" t="inlineStr">
        <is>
          <t>ÖSTERGÖTLANDS LÄN</t>
        </is>
      </c>
      <c r="E753" t="inlineStr">
        <is>
          <t>LINKÖPING</t>
        </is>
      </c>
      <c r="G753" t="n">
        <v>3.4</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2026-03-09T11:15:14Z</dcterms:created>
  <dcterms:modified xmlns:dcterms="http://purl.org/dc/terms/" xmlns:xsi="http://www.w3.org/2001/XMLSchema-instance" xsi:type="dcterms:W3CDTF">2026-03-09T11:15:15Z</dcterms:modified>
</cp:coreProperties>
</file>