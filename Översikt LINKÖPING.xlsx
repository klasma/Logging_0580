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45982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45982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45982</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45982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45982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45982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45982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45982</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45982</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45982</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45982</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45982</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45982</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45982</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45982</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45982</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50048-2025</t>
        </is>
      </c>
      <c r="B28" s="1" t="n">
        <v>45941</v>
      </c>
      <c r="C28" s="1" t="n">
        <v>45982</v>
      </c>
      <c r="D28" t="inlineStr">
        <is>
          <t>ÖSTERGÖTLANDS LÄN</t>
        </is>
      </c>
      <c r="E28" t="inlineStr">
        <is>
          <t>LINKÖPING</t>
        </is>
      </c>
      <c r="G28" t="n">
        <v>2.4</v>
      </c>
      <c r="H28" t="n">
        <v>2</v>
      </c>
      <c r="I28" t="n">
        <v>0</v>
      </c>
      <c r="J28" t="n">
        <v>1</v>
      </c>
      <c r="K28" t="n">
        <v>0</v>
      </c>
      <c r="L28" t="n">
        <v>0</v>
      </c>
      <c r="M28" t="n">
        <v>0</v>
      </c>
      <c r="N28" t="n">
        <v>0</v>
      </c>
      <c r="O28" t="n">
        <v>1</v>
      </c>
      <c r="P28" t="n">
        <v>0</v>
      </c>
      <c r="Q28" t="n">
        <v>2</v>
      </c>
      <c r="R28" s="2" t="inlineStr">
        <is>
          <t>Gulsparv
Trädlärka</t>
        </is>
      </c>
      <c r="S28">
        <f>HYPERLINK("https://klasma.github.io/Logging_0580/artfynd/A 50048-2025 artfynd.xlsx", "A 50048-2025")</f>
        <v/>
      </c>
      <c r="T28">
        <f>HYPERLINK("https://klasma.github.io/Logging_0580/kartor/A 50048-2025 karta.png", "A 50048-2025")</f>
        <v/>
      </c>
      <c r="V28">
        <f>HYPERLINK("https://klasma.github.io/Logging_0580/klagomål/A 50048-2025 FSC-klagomål.docx", "A 50048-2025")</f>
        <v/>
      </c>
      <c r="W28">
        <f>HYPERLINK("https://klasma.github.io/Logging_0580/klagomålsmail/A 50048-2025 FSC-klagomål mail.docx", "A 50048-2025")</f>
        <v/>
      </c>
      <c r="X28">
        <f>HYPERLINK("https://klasma.github.io/Logging_0580/tillsyn/A 50048-2025 tillsynsbegäran.docx", "A 50048-2025")</f>
        <v/>
      </c>
      <c r="Y28">
        <f>HYPERLINK("https://klasma.github.io/Logging_0580/tillsynsmail/A 50048-2025 tillsynsbegäran mail.docx", "A 50048-2025")</f>
        <v/>
      </c>
      <c r="Z28">
        <f>HYPERLINK("https://klasma.github.io/Logging_0580/fåglar/A 50048-2025 prioriterade fågelarter.docx", "A 50048-2025")</f>
        <v/>
      </c>
    </row>
    <row r="29" ht="15" customHeight="1">
      <c r="A29" t="inlineStr">
        <is>
          <t>A 25985-2025</t>
        </is>
      </c>
      <c r="B29" s="1" t="n">
        <v>45804.64479166667</v>
      </c>
      <c r="C29" s="1" t="n">
        <v>45982</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58068-2021</t>
        </is>
      </c>
      <c r="B30" s="1" t="n">
        <v>44487</v>
      </c>
      <c r="C30" s="1" t="n">
        <v>45982</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58068-2021</t>
        </is>
      </c>
      <c r="B31" s="1" t="n">
        <v>44487</v>
      </c>
      <c r="C31" s="1" t="n">
        <v>45982</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22040-2023</t>
        </is>
      </c>
      <c r="B32" s="1" t="n">
        <v>45068</v>
      </c>
      <c r="C32" s="1" t="n">
        <v>45982</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45982</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45982</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45982</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45982</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45982</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45982</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45982</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45982</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45982</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45982</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45982</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45982</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45982</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45982</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45982</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45982</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22526-2025</t>
        </is>
      </c>
      <c r="B53" s="1" t="n">
        <v>45786.78096064815</v>
      </c>
      <c r="C53" s="1" t="n">
        <v>45982</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59948-2022</t>
        </is>
      </c>
      <c r="B54" s="1" t="n">
        <v>44909</v>
      </c>
      <c r="C54" s="1" t="n">
        <v>45982</v>
      </c>
      <c r="D54" t="inlineStr">
        <is>
          <t>ÖSTERGÖTLANDS LÄN</t>
        </is>
      </c>
      <c r="E54" t="inlineStr">
        <is>
          <t>LINKÖPING</t>
        </is>
      </c>
      <c r="G54" t="n">
        <v>6.7</v>
      </c>
      <c r="H54" t="n">
        <v>0</v>
      </c>
      <c r="I54" t="n">
        <v>0</v>
      </c>
      <c r="J54" t="n">
        <v>0</v>
      </c>
      <c r="K54" t="n">
        <v>0</v>
      </c>
      <c r="L54" t="n">
        <v>0</v>
      </c>
      <c r="M54" t="n">
        <v>1</v>
      </c>
      <c r="N54" t="n">
        <v>0</v>
      </c>
      <c r="O54" t="n">
        <v>1</v>
      </c>
      <c r="P54" t="n">
        <v>1</v>
      </c>
      <c r="Q54" t="n">
        <v>1</v>
      </c>
      <c r="R54" s="2" t="inlineStr">
        <is>
          <t>Skogsalm</t>
        </is>
      </c>
      <c r="S54">
        <f>HYPERLINK("https://klasma.github.io/Logging_0580/artfynd/A 59948-2022 artfynd.xlsx", "A 59948-2022")</f>
        <v/>
      </c>
      <c r="T54">
        <f>HYPERLINK("https://klasma.github.io/Logging_0580/kartor/A 59948-2022 karta.png", "A 59948-2022")</f>
        <v/>
      </c>
      <c r="V54">
        <f>HYPERLINK("https://klasma.github.io/Logging_0580/klagomål/A 59948-2022 FSC-klagomål.docx", "A 59948-2022")</f>
        <v/>
      </c>
      <c r="W54">
        <f>HYPERLINK("https://klasma.github.io/Logging_0580/klagomålsmail/A 59948-2022 FSC-klagomål mail.docx", "A 59948-2022")</f>
        <v/>
      </c>
      <c r="X54">
        <f>HYPERLINK("https://klasma.github.io/Logging_0580/tillsyn/A 59948-2022 tillsynsbegäran.docx", "A 59948-2022")</f>
        <v/>
      </c>
      <c r="Y54">
        <f>HYPERLINK("https://klasma.github.io/Logging_0580/tillsynsmail/A 59948-2022 tillsynsbegäran mail.docx", "A 59948-2022")</f>
        <v/>
      </c>
    </row>
    <row r="55" ht="15" customHeight="1">
      <c r="A55" t="inlineStr">
        <is>
          <t>A 27403-2025</t>
        </is>
      </c>
      <c r="B55" s="1" t="n">
        <v>45812.72518518518</v>
      </c>
      <c r="C55" s="1" t="n">
        <v>45982</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37683-2024</t>
        </is>
      </c>
      <c r="B56" s="1" t="n">
        <v>45541.59120370371</v>
      </c>
      <c r="C56" s="1" t="n">
        <v>45982</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43989-2025</t>
        </is>
      </c>
      <c r="B57" s="1" t="n">
        <v>45915.44128472222</v>
      </c>
      <c r="C57" s="1" t="n">
        <v>45982</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45982</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50034-2025</t>
        </is>
      </c>
      <c r="B59" s="1" t="n">
        <v>45941</v>
      </c>
      <c r="C59" s="1" t="n">
        <v>45982</v>
      </c>
      <c r="D59" t="inlineStr">
        <is>
          <t>ÖSTERGÖTLANDS LÄN</t>
        </is>
      </c>
      <c r="E59" t="inlineStr">
        <is>
          <t>LINKÖPING</t>
        </is>
      </c>
      <c r="G59" t="n">
        <v>6.2</v>
      </c>
      <c r="H59" t="n">
        <v>0</v>
      </c>
      <c r="I59" t="n">
        <v>0</v>
      </c>
      <c r="J59" t="n">
        <v>0</v>
      </c>
      <c r="K59" t="n">
        <v>0</v>
      </c>
      <c r="L59" t="n">
        <v>0</v>
      </c>
      <c r="M59" t="n">
        <v>1</v>
      </c>
      <c r="N59" t="n">
        <v>0</v>
      </c>
      <c r="O59" t="n">
        <v>1</v>
      </c>
      <c r="P59" t="n">
        <v>1</v>
      </c>
      <c r="Q59" t="n">
        <v>1</v>
      </c>
      <c r="R59" s="2" t="inlineStr">
        <is>
          <t>Skogsalm</t>
        </is>
      </c>
      <c r="S59">
        <f>HYPERLINK("https://klasma.github.io/Logging_0580/artfynd/A 50034-2025 artfynd.xlsx", "A 50034-2025")</f>
        <v/>
      </c>
      <c r="T59">
        <f>HYPERLINK("https://klasma.github.io/Logging_0580/kartor/A 50034-2025 karta.png", "A 50034-2025")</f>
        <v/>
      </c>
      <c r="V59">
        <f>HYPERLINK("https://klasma.github.io/Logging_0580/klagomål/A 50034-2025 FSC-klagomål.docx", "A 50034-2025")</f>
        <v/>
      </c>
      <c r="W59">
        <f>HYPERLINK("https://klasma.github.io/Logging_0580/klagomålsmail/A 50034-2025 FSC-klagomål mail.docx", "A 50034-2025")</f>
        <v/>
      </c>
      <c r="X59">
        <f>HYPERLINK("https://klasma.github.io/Logging_0580/tillsyn/A 50034-2025 tillsynsbegäran.docx", "A 50034-2025")</f>
        <v/>
      </c>
      <c r="Y59">
        <f>HYPERLINK("https://klasma.github.io/Logging_0580/tillsynsmail/A 50034-2025 tillsynsbegäran mail.docx", "A 50034-2025")</f>
        <v/>
      </c>
    </row>
    <row r="60" ht="15" customHeight="1">
      <c r="A60" t="inlineStr">
        <is>
          <t>A 56651-2023</t>
        </is>
      </c>
      <c r="B60" s="1" t="n">
        <v>45243</v>
      </c>
      <c r="C60" s="1" t="n">
        <v>45982</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36723-2023</t>
        </is>
      </c>
      <c r="B61" s="1" t="n">
        <v>45153</v>
      </c>
      <c r="C61" s="1" t="n">
        <v>45982</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17444-2025</t>
        </is>
      </c>
      <c r="B62" s="1" t="n">
        <v>45757.43452546297</v>
      </c>
      <c r="C62" s="1" t="n">
        <v>45982</v>
      </c>
      <c r="D62" t="inlineStr">
        <is>
          <t>ÖSTERGÖTLANDS LÄN</t>
        </is>
      </c>
      <c r="E62" t="inlineStr">
        <is>
          <t>LINKÖPING</t>
        </is>
      </c>
      <c r="G62" t="n">
        <v>1.3</v>
      </c>
      <c r="H62" t="n">
        <v>1</v>
      </c>
      <c r="I62" t="n">
        <v>0</v>
      </c>
      <c r="J62" t="n">
        <v>1</v>
      </c>
      <c r="K62" t="n">
        <v>0</v>
      </c>
      <c r="L62" t="n">
        <v>0</v>
      </c>
      <c r="M62" t="n">
        <v>0</v>
      </c>
      <c r="N62" t="n">
        <v>0</v>
      </c>
      <c r="O62" t="n">
        <v>1</v>
      </c>
      <c r="P62" t="n">
        <v>0</v>
      </c>
      <c r="Q62" t="n">
        <v>1</v>
      </c>
      <c r="R62" s="2" t="inlineStr">
        <is>
          <t>Dårgräsfjäril</t>
        </is>
      </c>
      <c r="S62">
        <f>HYPERLINK("https://klasma.github.io/Logging_0580/artfynd/A 17444-2025 artfynd.xlsx", "A 17444-2025")</f>
        <v/>
      </c>
      <c r="T62">
        <f>HYPERLINK("https://klasma.github.io/Logging_0580/kartor/A 17444-2025 karta.png", "A 17444-2025")</f>
        <v/>
      </c>
      <c r="V62">
        <f>HYPERLINK("https://klasma.github.io/Logging_0580/klagomål/A 17444-2025 FSC-klagomål.docx", "A 17444-2025")</f>
        <v/>
      </c>
      <c r="W62">
        <f>HYPERLINK("https://klasma.github.io/Logging_0580/klagomålsmail/A 17444-2025 FSC-klagomål mail.docx", "A 17444-2025")</f>
        <v/>
      </c>
      <c r="X62">
        <f>HYPERLINK("https://klasma.github.io/Logging_0580/tillsyn/A 17444-2025 tillsynsbegäran.docx", "A 17444-2025")</f>
        <v/>
      </c>
      <c r="Y62">
        <f>HYPERLINK("https://klasma.github.io/Logging_0580/tillsynsmail/A 17444-2025 tillsynsbegäran mail.docx", "A 17444-2025")</f>
        <v/>
      </c>
    </row>
    <row r="63" ht="15" customHeight="1">
      <c r="A63" t="inlineStr">
        <is>
          <t>A 5911-2022</t>
        </is>
      </c>
      <c r="B63" s="1" t="n">
        <v>44597</v>
      </c>
      <c r="C63" s="1" t="n">
        <v>45982</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56112-2025</t>
        </is>
      </c>
      <c r="B64" s="1" t="n">
        <v>45973.73625</v>
      </c>
      <c r="C64" s="1" t="n">
        <v>45982</v>
      </c>
      <c r="D64" t="inlineStr">
        <is>
          <t>ÖSTERGÖTLANDS LÄN</t>
        </is>
      </c>
      <c r="E64" t="inlineStr">
        <is>
          <t>LINKÖPING</t>
        </is>
      </c>
      <c r="G64" t="n">
        <v>0.6</v>
      </c>
      <c r="H64" t="n">
        <v>0</v>
      </c>
      <c r="I64" t="n">
        <v>0</v>
      </c>
      <c r="J64" t="n">
        <v>1</v>
      </c>
      <c r="K64" t="n">
        <v>0</v>
      </c>
      <c r="L64" t="n">
        <v>0</v>
      </c>
      <c r="M64" t="n">
        <v>0</v>
      </c>
      <c r="N64" t="n">
        <v>0</v>
      </c>
      <c r="O64" t="n">
        <v>1</v>
      </c>
      <c r="P64" t="n">
        <v>0</v>
      </c>
      <c r="Q64" t="n">
        <v>1</v>
      </c>
      <c r="R64" s="2" t="inlineStr">
        <is>
          <t>Solvända</t>
        </is>
      </c>
      <c r="S64">
        <f>HYPERLINK("https://klasma.github.io/Logging_0580/artfynd/A 56112-2025 artfynd.xlsx", "A 56112-2025")</f>
        <v/>
      </c>
      <c r="T64">
        <f>HYPERLINK("https://klasma.github.io/Logging_0580/kartor/A 56112-2025 karta.png", "A 56112-2025")</f>
        <v/>
      </c>
      <c r="V64">
        <f>HYPERLINK("https://klasma.github.io/Logging_0580/klagomål/A 56112-2025 FSC-klagomål.docx", "A 56112-2025")</f>
        <v/>
      </c>
      <c r="W64">
        <f>HYPERLINK("https://klasma.github.io/Logging_0580/klagomålsmail/A 56112-2025 FSC-klagomål mail.docx", "A 56112-2025")</f>
        <v/>
      </c>
      <c r="X64">
        <f>HYPERLINK("https://klasma.github.io/Logging_0580/tillsyn/A 56112-2025 tillsynsbegäran.docx", "A 56112-2025")</f>
        <v/>
      </c>
      <c r="Y64">
        <f>HYPERLINK("https://klasma.github.io/Logging_0580/tillsynsmail/A 56112-2025 tillsynsbegäran mail.docx", "A 56112-2025")</f>
        <v/>
      </c>
    </row>
    <row r="65" ht="15" customHeight="1">
      <c r="A65" t="inlineStr">
        <is>
          <t>A 90-2024</t>
        </is>
      </c>
      <c r="B65" s="1" t="n">
        <v>45293</v>
      </c>
      <c r="C65" s="1" t="n">
        <v>45982</v>
      </c>
      <c r="D65" t="inlineStr">
        <is>
          <t>ÖSTERGÖTLANDS LÄN</t>
        </is>
      </c>
      <c r="E65" t="inlineStr">
        <is>
          <t>LINKÖPING</t>
        </is>
      </c>
      <c r="G65" t="n">
        <v>1.8</v>
      </c>
      <c r="H65" t="n">
        <v>0</v>
      </c>
      <c r="I65" t="n">
        <v>1</v>
      </c>
      <c r="J65" t="n">
        <v>0</v>
      </c>
      <c r="K65" t="n">
        <v>0</v>
      </c>
      <c r="L65" t="n">
        <v>0</v>
      </c>
      <c r="M65" t="n">
        <v>0</v>
      </c>
      <c r="N65" t="n">
        <v>0</v>
      </c>
      <c r="O65" t="n">
        <v>0</v>
      </c>
      <c r="P65" t="n">
        <v>0</v>
      </c>
      <c r="Q65" t="n">
        <v>1</v>
      </c>
      <c r="R65" s="2" t="inlineStr">
        <is>
          <t>Grov fjädermossa</t>
        </is>
      </c>
      <c r="S65">
        <f>HYPERLINK("https://klasma.github.io/Logging_0580/artfynd/A 90-2024 artfynd.xlsx", "A 90-2024")</f>
        <v/>
      </c>
      <c r="T65">
        <f>HYPERLINK("https://klasma.github.io/Logging_0580/kartor/A 90-2024 karta.png", "A 90-2024")</f>
        <v/>
      </c>
      <c r="V65">
        <f>HYPERLINK("https://klasma.github.io/Logging_0580/klagomål/A 90-2024 FSC-klagomål.docx", "A 90-2024")</f>
        <v/>
      </c>
      <c r="W65">
        <f>HYPERLINK("https://klasma.github.io/Logging_0580/klagomålsmail/A 90-2024 FSC-klagomål mail.docx", "A 90-2024")</f>
        <v/>
      </c>
      <c r="X65">
        <f>HYPERLINK("https://klasma.github.io/Logging_0580/tillsyn/A 90-2024 tillsynsbegäran.docx", "A 90-2024")</f>
        <v/>
      </c>
      <c r="Y65">
        <f>HYPERLINK("https://klasma.github.io/Logging_0580/tillsynsmail/A 90-2024 tillsynsbegäran mail.docx", "A 90-2024")</f>
        <v/>
      </c>
    </row>
    <row r="66" ht="15" customHeight="1">
      <c r="A66" t="inlineStr">
        <is>
          <t>A 48347-2025</t>
        </is>
      </c>
      <c r="B66" s="1" t="n">
        <v>45932</v>
      </c>
      <c r="C66" s="1" t="n">
        <v>45982</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40315-2024</t>
        </is>
      </c>
      <c r="B67" s="1" t="n">
        <v>45554.7571875</v>
      </c>
      <c r="C67" s="1" t="n">
        <v>45982</v>
      </c>
      <c r="D67" t="inlineStr">
        <is>
          <t>ÖSTERGÖTLANDS LÄN</t>
        </is>
      </c>
      <c r="E67" t="inlineStr">
        <is>
          <t>LINKÖPING</t>
        </is>
      </c>
      <c r="F67" t="inlineStr">
        <is>
          <t>Allmännings- och besparingsskogar</t>
        </is>
      </c>
      <c r="G67" t="n">
        <v>15.8</v>
      </c>
      <c r="H67" t="n">
        <v>0</v>
      </c>
      <c r="I67" t="n">
        <v>0</v>
      </c>
      <c r="J67" t="n">
        <v>0</v>
      </c>
      <c r="K67" t="n">
        <v>0</v>
      </c>
      <c r="L67" t="n">
        <v>0</v>
      </c>
      <c r="M67" t="n">
        <v>1</v>
      </c>
      <c r="N67" t="n">
        <v>0</v>
      </c>
      <c r="O67" t="n">
        <v>1</v>
      </c>
      <c r="P67" t="n">
        <v>1</v>
      </c>
      <c r="Q67" t="n">
        <v>1</v>
      </c>
      <c r="R67" s="2" t="inlineStr">
        <is>
          <t>Skogsalm</t>
        </is>
      </c>
      <c r="S67">
        <f>HYPERLINK("https://klasma.github.io/Logging_0580/artfynd/A 40315-2024 artfynd.xlsx", "A 40315-2024")</f>
        <v/>
      </c>
      <c r="T67">
        <f>HYPERLINK("https://klasma.github.io/Logging_0580/kartor/A 40315-2024 karta.png", "A 40315-2024")</f>
        <v/>
      </c>
      <c r="V67">
        <f>HYPERLINK("https://klasma.github.io/Logging_0580/klagomål/A 40315-2024 FSC-klagomål.docx", "A 40315-2024")</f>
        <v/>
      </c>
      <c r="W67">
        <f>HYPERLINK("https://klasma.github.io/Logging_0580/klagomålsmail/A 40315-2024 FSC-klagomål mail.docx", "A 40315-2024")</f>
        <v/>
      </c>
      <c r="X67">
        <f>HYPERLINK("https://klasma.github.io/Logging_0580/tillsyn/A 40315-2024 tillsynsbegäran.docx", "A 40315-2024")</f>
        <v/>
      </c>
      <c r="Y67">
        <f>HYPERLINK("https://klasma.github.io/Logging_0580/tillsynsmail/A 40315-2024 tillsynsbegäran mail.docx", "A 40315-2024")</f>
        <v/>
      </c>
    </row>
    <row r="68" ht="15" customHeight="1">
      <c r="A68" t="inlineStr">
        <is>
          <t>A 48353-2025</t>
        </is>
      </c>
      <c r="B68" s="1" t="n">
        <v>45932</v>
      </c>
      <c r="C68" s="1" t="n">
        <v>45982</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48273-2025</t>
        </is>
      </c>
      <c r="B69" s="1" t="n">
        <v>45932</v>
      </c>
      <c r="C69" s="1" t="n">
        <v>45982</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45982</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15290-2025</t>
        </is>
      </c>
      <c r="B71" s="1" t="n">
        <v>45745.45288194445</v>
      </c>
      <c r="C71" s="1" t="n">
        <v>45982</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45982</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45982</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17389-2021</t>
        </is>
      </c>
      <c r="B74" s="1" t="n">
        <v>44298.96792824074</v>
      </c>
      <c r="C74" s="1" t="n">
        <v>45982</v>
      </c>
      <c r="D74" t="inlineStr">
        <is>
          <t>ÖSTERGÖTLANDS LÄN</t>
        </is>
      </c>
      <c r="E74" t="inlineStr">
        <is>
          <t>LINKÖPING</t>
        </is>
      </c>
      <c r="G74" t="n">
        <v>5.1</v>
      </c>
      <c r="H74" t="n">
        <v>0</v>
      </c>
      <c r="I74" t="n">
        <v>1</v>
      </c>
      <c r="J74" t="n">
        <v>0</v>
      </c>
      <c r="K74" t="n">
        <v>0</v>
      </c>
      <c r="L74" t="n">
        <v>0</v>
      </c>
      <c r="M74" t="n">
        <v>0</v>
      </c>
      <c r="N74" t="n">
        <v>0</v>
      </c>
      <c r="O74" t="n">
        <v>0</v>
      </c>
      <c r="P74" t="n">
        <v>0</v>
      </c>
      <c r="Q74" t="n">
        <v>1</v>
      </c>
      <c r="R74" s="2" t="inlineStr">
        <is>
          <t>Blomkålssvamp</t>
        </is>
      </c>
      <c r="S74">
        <f>HYPERLINK("https://klasma.github.io/Logging_0580/artfynd/A 17389-2021 artfynd.xlsx", "A 17389-2021")</f>
        <v/>
      </c>
      <c r="T74">
        <f>HYPERLINK("https://klasma.github.io/Logging_0580/kartor/A 17389-2021 karta.png", "A 17389-2021")</f>
        <v/>
      </c>
      <c r="V74">
        <f>HYPERLINK("https://klasma.github.io/Logging_0580/klagomål/A 17389-2021 FSC-klagomål.docx", "A 17389-2021")</f>
        <v/>
      </c>
      <c r="W74">
        <f>HYPERLINK("https://klasma.github.io/Logging_0580/klagomålsmail/A 17389-2021 FSC-klagomål mail.docx", "A 17389-2021")</f>
        <v/>
      </c>
      <c r="X74">
        <f>HYPERLINK("https://klasma.github.io/Logging_0580/tillsyn/A 17389-2021 tillsynsbegäran.docx", "A 17389-2021")</f>
        <v/>
      </c>
      <c r="Y74">
        <f>HYPERLINK("https://klasma.github.io/Logging_0580/tillsynsmail/A 17389-2021 tillsynsbegäran mail.docx", "A 17389-2021")</f>
        <v/>
      </c>
    </row>
    <row r="75" ht="15" customHeight="1">
      <c r="A75" t="inlineStr">
        <is>
          <t>A 56128-2022</t>
        </is>
      </c>
      <c r="B75" s="1" t="n">
        <v>44889</v>
      </c>
      <c r="C75" s="1" t="n">
        <v>45982</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40309-2024</t>
        </is>
      </c>
      <c r="B76" s="1" t="n">
        <v>45554.724375</v>
      </c>
      <c r="C76" s="1" t="n">
        <v>45982</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54835-2023</t>
        </is>
      </c>
      <c r="B77" s="1" t="n">
        <v>45236</v>
      </c>
      <c r="C77" s="1" t="n">
        <v>45982</v>
      </c>
      <c r="D77" t="inlineStr">
        <is>
          <t>ÖSTERGÖTLANDS LÄN</t>
        </is>
      </c>
      <c r="E77" t="inlineStr">
        <is>
          <t>LINKÖPING</t>
        </is>
      </c>
      <c r="G77" t="n">
        <v>2</v>
      </c>
      <c r="H77" t="n">
        <v>1</v>
      </c>
      <c r="I77" t="n">
        <v>0</v>
      </c>
      <c r="J77" t="n">
        <v>0</v>
      </c>
      <c r="K77" t="n">
        <v>0</v>
      </c>
      <c r="L77" t="n">
        <v>0</v>
      </c>
      <c r="M77" t="n">
        <v>0</v>
      </c>
      <c r="N77" t="n">
        <v>0</v>
      </c>
      <c r="O77" t="n">
        <v>0</v>
      </c>
      <c r="P77" t="n">
        <v>0</v>
      </c>
      <c r="Q77" t="n">
        <v>1</v>
      </c>
      <c r="R77" s="2" t="inlineStr">
        <is>
          <t>Sparvuggla</t>
        </is>
      </c>
      <c r="S77">
        <f>HYPERLINK("https://klasma.github.io/Logging_0580/artfynd/A 54835-2023 artfynd.xlsx", "A 54835-2023")</f>
        <v/>
      </c>
      <c r="T77">
        <f>HYPERLINK("https://klasma.github.io/Logging_0580/kartor/A 54835-2023 karta.png", "A 54835-2023")</f>
        <v/>
      </c>
      <c r="V77">
        <f>HYPERLINK("https://klasma.github.io/Logging_0580/klagomål/A 54835-2023 FSC-klagomål.docx", "A 54835-2023")</f>
        <v/>
      </c>
      <c r="W77">
        <f>HYPERLINK("https://klasma.github.io/Logging_0580/klagomålsmail/A 54835-2023 FSC-klagomål mail.docx", "A 54835-2023")</f>
        <v/>
      </c>
      <c r="X77">
        <f>HYPERLINK("https://klasma.github.io/Logging_0580/tillsyn/A 54835-2023 tillsynsbegäran.docx", "A 54835-2023")</f>
        <v/>
      </c>
      <c r="Y77">
        <f>HYPERLINK("https://klasma.github.io/Logging_0580/tillsynsmail/A 54835-2023 tillsynsbegäran mail.docx", "A 54835-2023")</f>
        <v/>
      </c>
      <c r="Z77">
        <f>HYPERLINK("https://klasma.github.io/Logging_0580/fåglar/A 54835-2023 prioriterade fågelarter.docx", "A 54835-2023")</f>
        <v/>
      </c>
    </row>
    <row r="78" ht="15" customHeight="1">
      <c r="A78" t="inlineStr">
        <is>
          <t>A 126-2024</t>
        </is>
      </c>
      <c r="B78" s="1" t="n">
        <v>45294</v>
      </c>
      <c r="C78" s="1" t="n">
        <v>45982</v>
      </c>
      <c r="D78" t="inlineStr">
        <is>
          <t>ÖSTERGÖTLANDS LÄN</t>
        </is>
      </c>
      <c r="E78" t="inlineStr">
        <is>
          <t>LINKÖPING</t>
        </is>
      </c>
      <c r="G78" t="n">
        <v>1</v>
      </c>
      <c r="H78" t="n">
        <v>0</v>
      </c>
      <c r="I78" t="n">
        <v>1</v>
      </c>
      <c r="J78" t="n">
        <v>0</v>
      </c>
      <c r="K78" t="n">
        <v>0</v>
      </c>
      <c r="L78" t="n">
        <v>0</v>
      </c>
      <c r="M78" t="n">
        <v>0</v>
      </c>
      <c r="N78" t="n">
        <v>0</v>
      </c>
      <c r="O78" t="n">
        <v>0</v>
      </c>
      <c r="P78" t="n">
        <v>0</v>
      </c>
      <c r="Q78" t="n">
        <v>1</v>
      </c>
      <c r="R78" s="2" t="inlineStr">
        <is>
          <t>Blåmossa</t>
        </is>
      </c>
      <c r="S78">
        <f>HYPERLINK("https://klasma.github.io/Logging_0580/artfynd/A 126-2024 artfynd.xlsx", "A 126-2024")</f>
        <v/>
      </c>
      <c r="T78">
        <f>HYPERLINK("https://klasma.github.io/Logging_0580/kartor/A 126-2024 karta.png", "A 126-2024")</f>
        <v/>
      </c>
      <c r="V78">
        <f>HYPERLINK("https://klasma.github.io/Logging_0580/klagomål/A 126-2024 FSC-klagomål.docx", "A 126-2024")</f>
        <v/>
      </c>
      <c r="W78">
        <f>HYPERLINK("https://klasma.github.io/Logging_0580/klagomålsmail/A 126-2024 FSC-klagomål mail.docx", "A 126-2024")</f>
        <v/>
      </c>
      <c r="X78">
        <f>HYPERLINK("https://klasma.github.io/Logging_0580/tillsyn/A 126-2024 tillsynsbegäran.docx", "A 126-2024")</f>
        <v/>
      </c>
      <c r="Y78">
        <f>HYPERLINK("https://klasma.github.io/Logging_0580/tillsynsmail/A 126-2024 tillsynsbegäran mail.docx", "A 126-2024")</f>
        <v/>
      </c>
    </row>
    <row r="79" ht="15" customHeight="1">
      <c r="A79" t="inlineStr">
        <is>
          <t>A 3395-2023</t>
        </is>
      </c>
      <c r="B79" s="1" t="n">
        <v>44949</v>
      </c>
      <c r="C79" s="1" t="n">
        <v>45982</v>
      </c>
      <c r="D79" t="inlineStr">
        <is>
          <t>ÖSTERGÖTLANDS LÄN</t>
        </is>
      </c>
      <c r="E79" t="inlineStr">
        <is>
          <t>LINKÖPING</t>
        </is>
      </c>
      <c r="G79" t="n">
        <v>2</v>
      </c>
      <c r="H79" t="n">
        <v>0</v>
      </c>
      <c r="I79" t="n">
        <v>0</v>
      </c>
      <c r="J79" t="n">
        <v>1</v>
      </c>
      <c r="K79" t="n">
        <v>0</v>
      </c>
      <c r="L79" t="n">
        <v>0</v>
      </c>
      <c r="M79" t="n">
        <v>0</v>
      </c>
      <c r="N79" t="n">
        <v>0</v>
      </c>
      <c r="O79" t="n">
        <v>1</v>
      </c>
      <c r="P79" t="n">
        <v>0</v>
      </c>
      <c r="Q79" t="n">
        <v>1</v>
      </c>
      <c r="R79" s="2" t="inlineStr">
        <is>
          <t>Sommarfibbla</t>
        </is>
      </c>
      <c r="S79">
        <f>HYPERLINK("https://klasma.github.io/Logging_0580/artfynd/A 3395-2023 artfynd.xlsx", "A 3395-2023")</f>
        <v/>
      </c>
      <c r="T79">
        <f>HYPERLINK("https://klasma.github.io/Logging_0580/kartor/A 3395-2023 karta.png", "A 3395-2023")</f>
        <v/>
      </c>
      <c r="V79">
        <f>HYPERLINK("https://klasma.github.io/Logging_0580/klagomål/A 3395-2023 FSC-klagomål.docx", "A 3395-2023")</f>
        <v/>
      </c>
      <c r="W79">
        <f>HYPERLINK("https://klasma.github.io/Logging_0580/klagomålsmail/A 3395-2023 FSC-klagomål mail.docx", "A 3395-2023")</f>
        <v/>
      </c>
      <c r="X79">
        <f>HYPERLINK("https://klasma.github.io/Logging_0580/tillsyn/A 3395-2023 tillsynsbegäran.docx", "A 3395-2023")</f>
        <v/>
      </c>
      <c r="Y79">
        <f>HYPERLINK("https://klasma.github.io/Logging_0580/tillsynsmail/A 3395-2023 tillsynsbegäran mail.docx", "A 3395-2023")</f>
        <v/>
      </c>
    </row>
    <row r="80" ht="15" customHeight="1">
      <c r="A80" t="inlineStr">
        <is>
          <t>A 19103-2021</t>
        </is>
      </c>
      <c r="B80" s="1" t="n">
        <v>44308</v>
      </c>
      <c r="C80" s="1" t="n">
        <v>45982</v>
      </c>
      <c r="D80" t="inlineStr">
        <is>
          <t>ÖSTERGÖTLANDS LÄN</t>
        </is>
      </c>
      <c r="E80" t="inlineStr">
        <is>
          <t>LINKÖPING</t>
        </is>
      </c>
      <c r="G80" t="n">
        <v>4.7</v>
      </c>
      <c r="H80" t="n">
        <v>0</v>
      </c>
      <c r="I80" t="n">
        <v>0</v>
      </c>
      <c r="J80" t="n">
        <v>1</v>
      </c>
      <c r="K80" t="n">
        <v>0</v>
      </c>
      <c r="L80" t="n">
        <v>0</v>
      </c>
      <c r="M80" t="n">
        <v>0</v>
      </c>
      <c r="N80" t="n">
        <v>0</v>
      </c>
      <c r="O80" t="n">
        <v>1</v>
      </c>
      <c r="P80" t="n">
        <v>0</v>
      </c>
      <c r="Q80" t="n">
        <v>1</v>
      </c>
      <c r="R80" s="2" t="inlineStr">
        <is>
          <t>Tallticka</t>
        </is>
      </c>
      <c r="S80">
        <f>HYPERLINK("https://klasma.github.io/Logging_0580/artfynd/A 19103-2021 artfynd.xlsx", "A 19103-2021")</f>
        <v/>
      </c>
      <c r="T80">
        <f>HYPERLINK("https://klasma.github.io/Logging_0580/kartor/A 19103-2021 karta.png", "A 19103-2021")</f>
        <v/>
      </c>
      <c r="V80">
        <f>HYPERLINK("https://klasma.github.io/Logging_0580/klagomål/A 19103-2021 FSC-klagomål.docx", "A 19103-2021")</f>
        <v/>
      </c>
      <c r="W80">
        <f>HYPERLINK("https://klasma.github.io/Logging_0580/klagomålsmail/A 19103-2021 FSC-klagomål mail.docx", "A 19103-2021")</f>
        <v/>
      </c>
      <c r="X80">
        <f>HYPERLINK("https://klasma.github.io/Logging_0580/tillsyn/A 19103-2021 tillsynsbegäran.docx", "A 19103-2021")</f>
        <v/>
      </c>
      <c r="Y80">
        <f>HYPERLINK("https://klasma.github.io/Logging_0580/tillsynsmail/A 19103-2021 tillsynsbegäran mail.docx", "A 19103-2021")</f>
        <v/>
      </c>
    </row>
    <row r="81" ht="15" customHeight="1">
      <c r="A81" t="inlineStr">
        <is>
          <t>A 50806-2023</t>
        </is>
      </c>
      <c r="B81" s="1" t="n">
        <v>45217</v>
      </c>
      <c r="C81" s="1" t="n">
        <v>45982</v>
      </c>
      <c r="D81" t="inlineStr">
        <is>
          <t>ÖSTERGÖTLANDS LÄN</t>
        </is>
      </c>
      <c r="E81" t="inlineStr">
        <is>
          <t>LINKÖPING</t>
        </is>
      </c>
      <c r="F81" t="inlineStr">
        <is>
          <t>Övriga Aktiebolag</t>
        </is>
      </c>
      <c r="G81" t="n">
        <v>0.7</v>
      </c>
      <c r="H81" t="n">
        <v>1</v>
      </c>
      <c r="I81" t="n">
        <v>0</v>
      </c>
      <c r="J81" t="n">
        <v>0</v>
      </c>
      <c r="K81" t="n">
        <v>0</v>
      </c>
      <c r="L81" t="n">
        <v>0</v>
      </c>
      <c r="M81" t="n">
        <v>0</v>
      </c>
      <c r="N81" t="n">
        <v>0</v>
      </c>
      <c r="O81" t="n">
        <v>0</v>
      </c>
      <c r="P81" t="n">
        <v>0</v>
      </c>
      <c r="Q81" t="n">
        <v>1</v>
      </c>
      <c r="R81" s="2" t="inlineStr">
        <is>
          <t>Gullviva</t>
        </is>
      </c>
      <c r="S81">
        <f>HYPERLINK("https://klasma.github.io/Logging_0580/artfynd/A 50806-2023 artfynd.xlsx", "A 50806-2023")</f>
        <v/>
      </c>
      <c r="T81">
        <f>HYPERLINK("https://klasma.github.io/Logging_0580/kartor/A 50806-2023 karta.png", "A 50806-2023")</f>
        <v/>
      </c>
      <c r="V81">
        <f>HYPERLINK("https://klasma.github.io/Logging_0580/klagomål/A 50806-2023 FSC-klagomål.docx", "A 50806-2023")</f>
        <v/>
      </c>
      <c r="W81">
        <f>HYPERLINK("https://klasma.github.io/Logging_0580/klagomålsmail/A 50806-2023 FSC-klagomål mail.docx", "A 50806-2023")</f>
        <v/>
      </c>
      <c r="X81">
        <f>HYPERLINK("https://klasma.github.io/Logging_0580/tillsyn/A 50806-2023 tillsynsbegäran.docx", "A 50806-2023")</f>
        <v/>
      </c>
      <c r="Y81">
        <f>HYPERLINK("https://klasma.github.io/Logging_0580/tillsynsmail/A 50806-2023 tillsynsbegäran mail.docx", "A 50806-2023")</f>
        <v/>
      </c>
    </row>
    <row r="82" ht="15" customHeight="1">
      <c r="A82" t="inlineStr">
        <is>
          <t>A 39457-2023</t>
        </is>
      </c>
      <c r="B82" s="1" t="n">
        <v>45166</v>
      </c>
      <c r="C82" s="1" t="n">
        <v>45982</v>
      </c>
      <c r="D82" t="inlineStr">
        <is>
          <t>ÖSTERGÖTLANDS LÄN</t>
        </is>
      </c>
      <c r="E82" t="inlineStr">
        <is>
          <t>LINKÖPING</t>
        </is>
      </c>
      <c r="G82" t="n">
        <v>2.1</v>
      </c>
      <c r="H82" t="n">
        <v>1</v>
      </c>
      <c r="I82" t="n">
        <v>0</v>
      </c>
      <c r="J82" t="n">
        <v>0</v>
      </c>
      <c r="K82" t="n">
        <v>0</v>
      </c>
      <c r="L82" t="n">
        <v>0</v>
      </c>
      <c r="M82" t="n">
        <v>0</v>
      </c>
      <c r="N82" t="n">
        <v>0</v>
      </c>
      <c r="O82" t="n">
        <v>0</v>
      </c>
      <c r="P82" t="n">
        <v>0</v>
      </c>
      <c r="Q82" t="n">
        <v>1</v>
      </c>
      <c r="R82" s="2" t="inlineStr">
        <is>
          <t>Sparvuggla</t>
        </is>
      </c>
      <c r="S82">
        <f>HYPERLINK("https://klasma.github.io/Logging_0580/artfynd/A 39457-2023 artfynd.xlsx", "A 39457-2023")</f>
        <v/>
      </c>
      <c r="T82">
        <f>HYPERLINK("https://klasma.github.io/Logging_0580/kartor/A 39457-2023 karta.png", "A 39457-2023")</f>
        <v/>
      </c>
      <c r="V82">
        <f>HYPERLINK("https://klasma.github.io/Logging_0580/klagomål/A 39457-2023 FSC-klagomål.docx", "A 39457-2023")</f>
        <v/>
      </c>
      <c r="W82">
        <f>HYPERLINK("https://klasma.github.io/Logging_0580/klagomålsmail/A 39457-2023 FSC-klagomål mail.docx", "A 39457-2023")</f>
        <v/>
      </c>
      <c r="X82">
        <f>HYPERLINK("https://klasma.github.io/Logging_0580/tillsyn/A 39457-2023 tillsynsbegäran.docx", "A 39457-2023")</f>
        <v/>
      </c>
      <c r="Y82">
        <f>HYPERLINK("https://klasma.github.io/Logging_0580/tillsynsmail/A 39457-2023 tillsynsbegäran mail.docx", "A 39457-2023")</f>
        <v/>
      </c>
      <c r="Z82">
        <f>HYPERLINK("https://klasma.github.io/Logging_0580/fåglar/A 39457-2023 prioriterade fågelarter.docx", "A 39457-2023")</f>
        <v/>
      </c>
    </row>
    <row r="83" ht="15" customHeight="1">
      <c r="A83" t="inlineStr">
        <is>
          <t>A 35948-2023</t>
        </is>
      </c>
      <c r="B83" s="1" t="n">
        <v>45148</v>
      </c>
      <c r="C83" s="1" t="n">
        <v>45982</v>
      </c>
      <c r="D83" t="inlineStr">
        <is>
          <t>ÖSTERGÖTLANDS LÄN</t>
        </is>
      </c>
      <c r="E83" t="inlineStr">
        <is>
          <t>LINKÖPING</t>
        </is>
      </c>
      <c r="G83" t="n">
        <v>1.9</v>
      </c>
      <c r="H83" t="n">
        <v>0</v>
      </c>
      <c r="I83" t="n">
        <v>1</v>
      </c>
      <c r="J83" t="n">
        <v>0</v>
      </c>
      <c r="K83" t="n">
        <v>0</v>
      </c>
      <c r="L83" t="n">
        <v>0</v>
      </c>
      <c r="M83" t="n">
        <v>0</v>
      </c>
      <c r="N83" t="n">
        <v>0</v>
      </c>
      <c r="O83" t="n">
        <v>0</v>
      </c>
      <c r="P83" t="n">
        <v>0</v>
      </c>
      <c r="Q83" t="n">
        <v>1</v>
      </c>
      <c r="R83" s="2" t="inlineStr">
        <is>
          <t>Brun nållav</t>
        </is>
      </c>
      <c r="S83">
        <f>HYPERLINK("https://klasma.github.io/Logging_0580/artfynd/A 35948-2023 artfynd.xlsx", "A 35948-2023")</f>
        <v/>
      </c>
      <c r="T83">
        <f>HYPERLINK("https://klasma.github.io/Logging_0580/kartor/A 35948-2023 karta.png", "A 35948-2023")</f>
        <v/>
      </c>
      <c r="V83">
        <f>HYPERLINK("https://klasma.github.io/Logging_0580/klagomål/A 35948-2023 FSC-klagomål.docx", "A 35948-2023")</f>
        <v/>
      </c>
      <c r="W83">
        <f>HYPERLINK("https://klasma.github.io/Logging_0580/klagomålsmail/A 35948-2023 FSC-klagomål mail.docx", "A 35948-2023")</f>
        <v/>
      </c>
      <c r="X83">
        <f>HYPERLINK("https://klasma.github.io/Logging_0580/tillsyn/A 35948-2023 tillsynsbegäran.docx", "A 35948-2023")</f>
        <v/>
      </c>
      <c r="Y83">
        <f>HYPERLINK("https://klasma.github.io/Logging_0580/tillsynsmail/A 35948-2023 tillsynsbegäran mail.docx", "A 35948-2023")</f>
        <v/>
      </c>
    </row>
    <row r="84" ht="15" customHeight="1">
      <c r="A84" t="inlineStr">
        <is>
          <t>A 62071-2023</t>
        </is>
      </c>
      <c r="B84" s="1" t="n">
        <v>45266.73542824074</v>
      </c>
      <c r="C84" s="1" t="n">
        <v>45982</v>
      </c>
      <c r="D84" t="inlineStr">
        <is>
          <t>ÖSTERGÖTLANDS LÄN</t>
        </is>
      </c>
      <c r="E84" t="inlineStr">
        <is>
          <t>LINKÖPING</t>
        </is>
      </c>
      <c r="G84" t="n">
        <v>6.5</v>
      </c>
      <c r="H84" t="n">
        <v>0</v>
      </c>
      <c r="I84" t="n">
        <v>0</v>
      </c>
      <c r="J84" t="n">
        <v>1</v>
      </c>
      <c r="K84" t="n">
        <v>0</v>
      </c>
      <c r="L84" t="n">
        <v>0</v>
      </c>
      <c r="M84" t="n">
        <v>0</v>
      </c>
      <c r="N84" t="n">
        <v>0</v>
      </c>
      <c r="O84" t="n">
        <v>1</v>
      </c>
      <c r="P84" t="n">
        <v>0</v>
      </c>
      <c r="Q84" t="n">
        <v>1</v>
      </c>
      <c r="R84" s="2" t="inlineStr">
        <is>
          <t>Svinrot</t>
        </is>
      </c>
      <c r="S84">
        <f>HYPERLINK("https://klasma.github.io/Logging_0580/artfynd/A 62071-2023 artfynd.xlsx", "A 62071-2023")</f>
        <v/>
      </c>
      <c r="T84">
        <f>HYPERLINK("https://klasma.github.io/Logging_0580/kartor/A 62071-2023 karta.png", "A 62071-2023")</f>
        <v/>
      </c>
      <c r="V84">
        <f>HYPERLINK("https://klasma.github.io/Logging_0580/klagomål/A 62071-2023 FSC-klagomål.docx", "A 62071-2023")</f>
        <v/>
      </c>
      <c r="W84">
        <f>HYPERLINK("https://klasma.github.io/Logging_0580/klagomålsmail/A 62071-2023 FSC-klagomål mail.docx", "A 62071-2023")</f>
        <v/>
      </c>
      <c r="X84">
        <f>HYPERLINK("https://klasma.github.io/Logging_0580/tillsyn/A 62071-2023 tillsynsbegäran.docx", "A 62071-2023")</f>
        <v/>
      </c>
      <c r="Y84">
        <f>HYPERLINK("https://klasma.github.io/Logging_0580/tillsynsmail/A 62071-2023 tillsynsbegäran mail.docx", "A 62071-2023")</f>
        <v/>
      </c>
    </row>
    <row r="85" ht="15" customHeight="1">
      <c r="A85" t="inlineStr">
        <is>
          <t>A 3397-2023</t>
        </is>
      </c>
      <c r="B85" s="1" t="n">
        <v>44949</v>
      </c>
      <c r="C85" s="1" t="n">
        <v>45982</v>
      </c>
      <c r="D85" t="inlineStr">
        <is>
          <t>ÖSTERGÖTLANDS LÄN</t>
        </is>
      </c>
      <c r="E85" t="inlineStr">
        <is>
          <t>LINKÖPING</t>
        </is>
      </c>
      <c r="G85" t="n">
        <v>4.1</v>
      </c>
      <c r="H85" t="n">
        <v>0</v>
      </c>
      <c r="I85" t="n">
        <v>0</v>
      </c>
      <c r="J85" t="n">
        <v>1</v>
      </c>
      <c r="K85" t="n">
        <v>0</v>
      </c>
      <c r="L85" t="n">
        <v>0</v>
      </c>
      <c r="M85" t="n">
        <v>0</v>
      </c>
      <c r="N85" t="n">
        <v>0</v>
      </c>
      <c r="O85" t="n">
        <v>1</v>
      </c>
      <c r="P85" t="n">
        <v>0</v>
      </c>
      <c r="Q85" t="n">
        <v>1</v>
      </c>
      <c r="R85" s="2" t="inlineStr">
        <is>
          <t>Svinrot</t>
        </is>
      </c>
      <c r="S85">
        <f>HYPERLINK("https://klasma.github.io/Logging_0580/artfynd/A 3397-2023 artfynd.xlsx", "A 3397-2023")</f>
        <v/>
      </c>
      <c r="T85">
        <f>HYPERLINK("https://klasma.github.io/Logging_0580/kartor/A 3397-2023 karta.png", "A 3397-2023")</f>
        <v/>
      </c>
      <c r="V85">
        <f>HYPERLINK("https://klasma.github.io/Logging_0580/klagomål/A 3397-2023 FSC-klagomål.docx", "A 3397-2023")</f>
        <v/>
      </c>
      <c r="W85">
        <f>HYPERLINK("https://klasma.github.io/Logging_0580/klagomålsmail/A 3397-2023 FSC-klagomål mail.docx", "A 3397-2023")</f>
        <v/>
      </c>
      <c r="X85">
        <f>HYPERLINK("https://klasma.github.io/Logging_0580/tillsyn/A 3397-2023 tillsynsbegäran.docx", "A 3397-2023")</f>
        <v/>
      </c>
      <c r="Y85">
        <f>HYPERLINK("https://klasma.github.io/Logging_0580/tillsynsmail/A 3397-2023 tillsynsbegäran mail.docx", "A 3397-2023")</f>
        <v/>
      </c>
    </row>
    <row r="86" ht="15" customHeight="1">
      <c r="A86" t="inlineStr">
        <is>
          <t>A 20295-2025</t>
        </is>
      </c>
      <c r="B86" s="1" t="n">
        <v>45774.74846064814</v>
      </c>
      <c r="C86" s="1" t="n">
        <v>45982</v>
      </c>
      <c r="D86" t="inlineStr">
        <is>
          <t>ÖSTERGÖTLANDS LÄN</t>
        </is>
      </c>
      <c r="E86" t="inlineStr">
        <is>
          <t>LINKÖPING</t>
        </is>
      </c>
      <c r="G86" t="n">
        <v>3</v>
      </c>
      <c r="H86" t="n">
        <v>0</v>
      </c>
      <c r="I86" t="n">
        <v>0</v>
      </c>
      <c r="J86" t="n">
        <v>1</v>
      </c>
      <c r="K86" t="n">
        <v>0</v>
      </c>
      <c r="L86" t="n">
        <v>0</v>
      </c>
      <c r="M86" t="n">
        <v>0</v>
      </c>
      <c r="N86" t="n">
        <v>0</v>
      </c>
      <c r="O86" t="n">
        <v>1</v>
      </c>
      <c r="P86" t="n">
        <v>0</v>
      </c>
      <c r="Q86" t="n">
        <v>1</v>
      </c>
      <c r="R86" s="2" t="inlineStr">
        <is>
          <t>Tallticka</t>
        </is>
      </c>
      <c r="S86">
        <f>HYPERLINK("https://klasma.github.io/Logging_0580/artfynd/A 20295-2025 artfynd.xlsx", "A 20295-2025")</f>
        <v/>
      </c>
      <c r="T86">
        <f>HYPERLINK("https://klasma.github.io/Logging_0580/kartor/A 20295-2025 karta.png", "A 20295-2025")</f>
        <v/>
      </c>
      <c r="V86">
        <f>HYPERLINK("https://klasma.github.io/Logging_0580/klagomål/A 20295-2025 FSC-klagomål.docx", "A 20295-2025")</f>
        <v/>
      </c>
      <c r="W86">
        <f>HYPERLINK("https://klasma.github.io/Logging_0580/klagomålsmail/A 20295-2025 FSC-klagomål mail.docx", "A 20295-2025")</f>
        <v/>
      </c>
      <c r="X86">
        <f>HYPERLINK("https://klasma.github.io/Logging_0580/tillsyn/A 20295-2025 tillsynsbegäran.docx", "A 20295-2025")</f>
        <v/>
      </c>
      <c r="Y86">
        <f>HYPERLINK("https://klasma.github.io/Logging_0580/tillsynsmail/A 20295-2025 tillsynsbegäran mail.docx", "A 20295-2025")</f>
        <v/>
      </c>
    </row>
    <row r="87" ht="15" customHeight="1">
      <c r="A87" t="inlineStr">
        <is>
          <t>A 60573-2021</t>
        </is>
      </c>
      <c r="B87" s="1" t="n">
        <v>44496</v>
      </c>
      <c r="C87" s="1" t="n">
        <v>45982</v>
      </c>
      <c r="D87" t="inlineStr">
        <is>
          <t>ÖSTERGÖTLANDS LÄN</t>
        </is>
      </c>
      <c r="E87" t="inlineStr">
        <is>
          <t>LINKÖPING</t>
        </is>
      </c>
      <c r="F87" t="inlineStr">
        <is>
          <t>Övriga Aktiebolag</t>
        </is>
      </c>
      <c r="G87" t="n">
        <v>5.6</v>
      </c>
      <c r="H87" t="n">
        <v>0</v>
      </c>
      <c r="I87" t="n">
        <v>0</v>
      </c>
      <c r="J87" t="n">
        <v>1</v>
      </c>
      <c r="K87" t="n">
        <v>0</v>
      </c>
      <c r="L87" t="n">
        <v>0</v>
      </c>
      <c r="M87" t="n">
        <v>0</v>
      </c>
      <c r="N87" t="n">
        <v>0</v>
      </c>
      <c r="O87" t="n">
        <v>1</v>
      </c>
      <c r="P87" t="n">
        <v>0</v>
      </c>
      <c r="Q87" t="n">
        <v>1</v>
      </c>
      <c r="R87" s="2" t="inlineStr">
        <is>
          <t>Sommarfibbla</t>
        </is>
      </c>
      <c r="S87">
        <f>HYPERLINK("https://klasma.github.io/Logging_0580/artfynd/A 60573-2021 artfynd.xlsx", "A 60573-2021")</f>
        <v/>
      </c>
      <c r="T87">
        <f>HYPERLINK("https://klasma.github.io/Logging_0580/kartor/A 60573-2021 karta.png", "A 60573-2021")</f>
        <v/>
      </c>
      <c r="V87">
        <f>HYPERLINK("https://klasma.github.io/Logging_0580/klagomål/A 60573-2021 FSC-klagomål.docx", "A 60573-2021")</f>
        <v/>
      </c>
      <c r="W87">
        <f>HYPERLINK("https://klasma.github.io/Logging_0580/klagomålsmail/A 60573-2021 FSC-klagomål mail.docx", "A 60573-2021")</f>
        <v/>
      </c>
      <c r="X87">
        <f>HYPERLINK("https://klasma.github.io/Logging_0580/tillsyn/A 60573-2021 tillsynsbegäran.docx", "A 60573-2021")</f>
        <v/>
      </c>
      <c r="Y87">
        <f>HYPERLINK("https://klasma.github.io/Logging_0580/tillsynsmail/A 60573-2021 tillsynsbegäran mail.docx", "A 60573-2021")</f>
        <v/>
      </c>
    </row>
    <row r="88" ht="15" customHeight="1">
      <c r="A88" t="inlineStr">
        <is>
          <t>A 41749-2023</t>
        </is>
      </c>
      <c r="B88" s="1" t="n">
        <v>45176</v>
      </c>
      <c r="C88" s="1" t="n">
        <v>45982</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38881-2021</t>
        </is>
      </c>
      <c r="B89" s="1" t="n">
        <v>44411.46893518518</v>
      </c>
      <c r="C89" s="1" t="n">
        <v>45982</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45982</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56239-2021</t>
        </is>
      </c>
      <c r="B91" s="1" t="n">
        <v>44478</v>
      </c>
      <c r="C91" s="1" t="n">
        <v>45982</v>
      </c>
      <c r="D91" t="inlineStr">
        <is>
          <t>ÖSTERGÖTLANDS LÄN</t>
        </is>
      </c>
      <c r="E91" t="inlineStr">
        <is>
          <t>LINKÖPING</t>
        </is>
      </c>
      <c r="F91" t="inlineStr">
        <is>
          <t>Övriga Aktiebolag</t>
        </is>
      </c>
      <c r="G91" t="n">
        <v>3</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45982</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45982</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6958-2021</t>
        </is>
      </c>
      <c r="B94" s="1" t="n">
        <v>44237</v>
      </c>
      <c r="C94" s="1" t="n">
        <v>45982</v>
      </c>
      <c r="D94" t="inlineStr">
        <is>
          <t>ÖSTERGÖTLANDS LÄN</t>
        </is>
      </c>
      <c r="E94" t="inlineStr">
        <is>
          <t>LINKÖPING</t>
        </is>
      </c>
      <c r="G94" t="n">
        <v>0.6</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45982</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45982</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45982</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45982</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45982</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45982</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45982</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45982</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45982</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45982</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45982</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45982</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159-2022</t>
        </is>
      </c>
      <c r="B107" s="1" t="n">
        <v>44564</v>
      </c>
      <c r="C107" s="1" t="n">
        <v>45982</v>
      </c>
      <c r="D107" t="inlineStr">
        <is>
          <t>ÖSTERGÖTLANDS LÄN</t>
        </is>
      </c>
      <c r="E107" t="inlineStr">
        <is>
          <t>LINKÖPING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16715-2021</t>
        </is>
      </c>
      <c r="B108" s="1" t="n">
        <v>44294</v>
      </c>
      <c r="C108" s="1" t="n">
        <v>45982</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45982</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47462-2022</t>
        </is>
      </c>
      <c r="B110" s="1" t="n">
        <v>44853.62758101852</v>
      </c>
      <c r="C110" s="1" t="n">
        <v>45982</v>
      </c>
      <c r="D110" t="inlineStr">
        <is>
          <t>ÖSTERGÖTLANDS LÄN</t>
        </is>
      </c>
      <c r="E110" t="inlineStr">
        <is>
          <t>LINKÖPING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45982</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38143-2021</t>
        </is>
      </c>
      <c r="B112" s="1" t="n">
        <v>44405</v>
      </c>
      <c r="C112" s="1" t="n">
        <v>45982</v>
      </c>
      <c r="D112" t="inlineStr">
        <is>
          <t>ÖSTERGÖTLANDS LÄN</t>
        </is>
      </c>
      <c r="E112" t="inlineStr">
        <is>
          <t>LINKÖPING</t>
        </is>
      </c>
      <c r="G112" t="n">
        <v>4.1</v>
      </c>
      <c r="H112" t="n">
        <v>0</v>
      </c>
      <c r="I112" t="n">
        <v>0</v>
      </c>
      <c r="J112" t="n">
        <v>0</v>
      </c>
      <c r="K112" t="n">
        <v>0</v>
      </c>
      <c r="L112" t="n">
        <v>0</v>
      </c>
      <c r="M112" t="n">
        <v>0</v>
      </c>
      <c r="N112" t="n">
        <v>0</v>
      </c>
      <c r="O112" t="n">
        <v>0</v>
      </c>
      <c r="P112" t="n">
        <v>0</v>
      </c>
      <c r="Q112" t="n">
        <v>0</v>
      </c>
      <c r="R112" s="2" t="inlineStr"/>
    </row>
    <row r="113" ht="15" customHeight="1">
      <c r="A113" t="inlineStr">
        <is>
          <t>A 38254-2021</t>
        </is>
      </c>
      <c r="B113" s="1" t="n">
        <v>44405</v>
      </c>
      <c r="C113" s="1" t="n">
        <v>45982</v>
      </c>
      <c r="D113" t="inlineStr">
        <is>
          <t>ÖSTERGÖTLANDS LÄN</t>
        </is>
      </c>
      <c r="E113" t="inlineStr">
        <is>
          <t>LINKÖPING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261-2021</t>
        </is>
      </c>
      <c r="B114" s="1" t="n">
        <v>44200</v>
      </c>
      <c r="C114" s="1" t="n">
        <v>45982</v>
      </c>
      <c r="D114" t="inlineStr">
        <is>
          <t>ÖSTERGÖTLANDS LÄN</t>
        </is>
      </c>
      <c r="E114" t="inlineStr">
        <is>
          <t>LINKÖPING</t>
        </is>
      </c>
      <c r="G114" t="n">
        <v>3.1</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45982</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45982</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45982</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45982</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45982</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45982</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45982</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45982</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45982</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45982</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45982</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45982</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45982</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45982</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45982</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45982</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45982</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45982</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45982</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45982</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45982</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45982</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45982</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45982</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45982</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45982</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45982</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45982</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45982</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45982</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45982</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45982</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45982</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45982</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45982</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45982</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45982</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45982</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45982</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31705-2022</t>
        </is>
      </c>
      <c r="B155" s="1" t="n">
        <v>44776.43607638889</v>
      </c>
      <c r="C155" s="1" t="n">
        <v>45982</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45982</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45982</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54467-2022</t>
        </is>
      </c>
      <c r="B158" s="1" t="n">
        <v>44882</v>
      </c>
      <c r="C158" s="1" t="n">
        <v>45982</v>
      </c>
      <c r="D158" t="inlineStr">
        <is>
          <t>ÖSTERGÖTLANDS LÄN</t>
        </is>
      </c>
      <c r="E158" t="inlineStr">
        <is>
          <t>LINKÖPING</t>
        </is>
      </c>
      <c r="F158" t="inlineStr">
        <is>
          <t>Sveaskog</t>
        </is>
      </c>
      <c r="G158" t="n">
        <v>2.5</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45982</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45982</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45982</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45982</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45982</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45982</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45982</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45982</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45982</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45982</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45982</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45982</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45982</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45982</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45982</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45982</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45982</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45982</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45982</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45982</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45982</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45982</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45982</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5605-2022</t>
        </is>
      </c>
      <c r="B182" s="1" t="n">
        <v>44595</v>
      </c>
      <c r="C182" s="1" t="n">
        <v>45982</v>
      </c>
      <c r="D182" t="inlineStr">
        <is>
          <t>ÖSTERGÖTLANDS LÄN</t>
        </is>
      </c>
      <c r="E182" t="inlineStr">
        <is>
          <t>LINKÖPING</t>
        </is>
      </c>
      <c r="F182" t="inlineStr">
        <is>
          <t>Övriga statliga verk och myndigheter</t>
        </is>
      </c>
      <c r="G182" t="n">
        <v>3</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45982</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45982</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45982</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45982</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45982</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4377-2021</t>
        </is>
      </c>
      <c r="B188" s="1" t="n">
        <v>44223</v>
      </c>
      <c r="C188" s="1" t="n">
        <v>45982</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45982</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12413-2022</t>
        </is>
      </c>
      <c r="B190" s="1" t="n">
        <v>44638</v>
      </c>
      <c r="C190" s="1" t="n">
        <v>45982</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61153-2021</t>
        </is>
      </c>
      <c r="B191" s="1" t="n">
        <v>44497</v>
      </c>
      <c r="C191" s="1" t="n">
        <v>45982</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46490-2022</t>
        </is>
      </c>
      <c r="B192" s="1" t="n">
        <v>44848</v>
      </c>
      <c r="C192" s="1" t="n">
        <v>45982</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33885-2021</t>
        </is>
      </c>
      <c r="B193" s="1" t="n">
        <v>44378</v>
      </c>
      <c r="C193" s="1" t="n">
        <v>45982</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45982</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45982</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45982</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45982</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45982</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45982</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45982</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45982</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45982</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45982</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45982</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45982</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34558-2022</t>
        </is>
      </c>
      <c r="B206" s="1" t="n">
        <v>44794.57594907407</v>
      </c>
      <c r="C206" s="1" t="n">
        <v>45982</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63489-2023</t>
        </is>
      </c>
      <c r="B207" s="1" t="n">
        <v>45274.66761574074</v>
      </c>
      <c r="C207" s="1" t="n">
        <v>45982</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54845-2023</t>
        </is>
      </c>
      <c r="B208" s="1" t="n">
        <v>45236</v>
      </c>
      <c r="C208" s="1" t="n">
        <v>45982</v>
      </c>
      <c r="D208" t="inlineStr">
        <is>
          <t>ÖSTERGÖTLANDS LÄN</t>
        </is>
      </c>
      <c r="E208" t="inlineStr">
        <is>
          <t>LINKÖPING</t>
        </is>
      </c>
      <c r="F208" t="inlineStr">
        <is>
          <t>Övriga Aktiebolag</t>
        </is>
      </c>
      <c r="G208" t="n">
        <v>5.7</v>
      </c>
      <c r="H208" t="n">
        <v>0</v>
      </c>
      <c r="I208" t="n">
        <v>0</v>
      </c>
      <c r="J208" t="n">
        <v>0</v>
      </c>
      <c r="K208" t="n">
        <v>0</v>
      </c>
      <c r="L208" t="n">
        <v>0</v>
      </c>
      <c r="M208" t="n">
        <v>0</v>
      </c>
      <c r="N208" t="n">
        <v>0</v>
      </c>
      <c r="O208" t="n">
        <v>0</v>
      </c>
      <c r="P208" t="n">
        <v>0</v>
      </c>
      <c r="Q208" t="n">
        <v>0</v>
      </c>
      <c r="R208" s="2" t="inlineStr"/>
    </row>
    <row r="209" ht="15" customHeight="1">
      <c r="A209" t="inlineStr">
        <is>
          <t>A 28266-2024</t>
        </is>
      </c>
      <c r="B209" s="1" t="n">
        <v>45477.43600694444</v>
      </c>
      <c r="C209" s="1" t="n">
        <v>45982</v>
      </c>
      <c r="D209" t="inlineStr">
        <is>
          <t>ÖSTERGÖTLANDS LÄN</t>
        </is>
      </c>
      <c r="E209" t="inlineStr">
        <is>
          <t>LINKÖPING</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62488-2023</t>
        </is>
      </c>
      <c r="B210" s="1" t="n">
        <v>45268.5847337963</v>
      </c>
      <c r="C210" s="1" t="n">
        <v>45982</v>
      </c>
      <c r="D210" t="inlineStr">
        <is>
          <t>ÖSTERGÖTLANDS LÄN</t>
        </is>
      </c>
      <c r="E210" t="inlineStr">
        <is>
          <t>LINKÖPING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24351-2024</t>
        </is>
      </c>
      <c r="B211" s="1" t="n">
        <v>45457.59011574074</v>
      </c>
      <c r="C211" s="1" t="n">
        <v>45982</v>
      </c>
      <c r="D211" t="inlineStr">
        <is>
          <t>ÖSTERGÖTLANDS LÄN</t>
        </is>
      </c>
      <c r="E211" t="inlineStr">
        <is>
          <t>LINKÖPING</t>
        </is>
      </c>
      <c r="G211" t="n">
        <v>11.9</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45982</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45982</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22772-2024</t>
        </is>
      </c>
      <c r="B214" s="1" t="n">
        <v>45448.46712962963</v>
      </c>
      <c r="C214" s="1" t="n">
        <v>45982</v>
      </c>
      <c r="D214" t="inlineStr">
        <is>
          <t>ÖSTERGÖTLANDS LÄN</t>
        </is>
      </c>
      <c r="E214" t="inlineStr">
        <is>
          <t>LINKÖPING</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25418-2023</t>
        </is>
      </c>
      <c r="B215" s="1" t="n">
        <v>45089</v>
      </c>
      <c r="C215" s="1" t="n">
        <v>45982</v>
      </c>
      <c r="D215" t="inlineStr">
        <is>
          <t>ÖSTERGÖTLANDS LÄN</t>
        </is>
      </c>
      <c r="E215" t="inlineStr">
        <is>
          <t>LINKÖPING</t>
        </is>
      </c>
      <c r="F215" t="inlineStr">
        <is>
          <t>Övriga Aktiebolag</t>
        </is>
      </c>
      <c r="G215" t="n">
        <v>2.4</v>
      </c>
      <c r="H215" t="n">
        <v>0</v>
      </c>
      <c r="I215" t="n">
        <v>0</v>
      </c>
      <c r="J215" t="n">
        <v>0</v>
      </c>
      <c r="K215" t="n">
        <v>0</v>
      </c>
      <c r="L215" t="n">
        <v>0</v>
      </c>
      <c r="M215" t="n">
        <v>0</v>
      </c>
      <c r="N215" t="n">
        <v>0</v>
      </c>
      <c r="O215" t="n">
        <v>0</v>
      </c>
      <c r="P215" t="n">
        <v>0</v>
      </c>
      <c r="Q215" t="n">
        <v>0</v>
      </c>
      <c r="R215" s="2" t="inlineStr"/>
    </row>
    <row r="216" ht="15" customHeight="1">
      <c r="A216" t="inlineStr">
        <is>
          <t>A 34877-2023</t>
        </is>
      </c>
      <c r="B216" s="1" t="n">
        <v>45140</v>
      </c>
      <c r="C216" s="1" t="n">
        <v>45982</v>
      </c>
      <c r="D216" t="inlineStr">
        <is>
          <t>ÖSTERGÖTLANDS LÄN</t>
        </is>
      </c>
      <c r="E216" t="inlineStr">
        <is>
          <t>LINKÖPING</t>
        </is>
      </c>
      <c r="G216" t="n">
        <v>1.9</v>
      </c>
      <c r="H216" t="n">
        <v>0</v>
      </c>
      <c r="I216" t="n">
        <v>0</v>
      </c>
      <c r="J216" t="n">
        <v>0</v>
      </c>
      <c r="K216" t="n">
        <v>0</v>
      </c>
      <c r="L216" t="n">
        <v>0</v>
      </c>
      <c r="M216" t="n">
        <v>0</v>
      </c>
      <c r="N216" t="n">
        <v>0</v>
      </c>
      <c r="O216" t="n">
        <v>0</v>
      </c>
      <c r="P216" t="n">
        <v>0</v>
      </c>
      <c r="Q216" t="n">
        <v>0</v>
      </c>
      <c r="R216" s="2" t="inlineStr"/>
    </row>
    <row r="217" ht="15" customHeight="1">
      <c r="A217" t="inlineStr">
        <is>
          <t>A 20455-2024</t>
        </is>
      </c>
      <c r="B217" s="1" t="n">
        <v>45435.65314814815</v>
      </c>
      <c r="C217" s="1" t="n">
        <v>45982</v>
      </c>
      <c r="D217" t="inlineStr">
        <is>
          <t>ÖSTERGÖTLANDS LÄN</t>
        </is>
      </c>
      <c r="E217" t="inlineStr">
        <is>
          <t>LINKÖPING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30856-2022</t>
        </is>
      </c>
      <c r="B218" s="1" t="n">
        <v>44767</v>
      </c>
      <c r="C218" s="1" t="n">
        <v>45982</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52796-2023</t>
        </is>
      </c>
      <c r="B219" s="1" t="n">
        <v>45219</v>
      </c>
      <c r="C219" s="1" t="n">
        <v>45982</v>
      </c>
      <c r="D219" t="inlineStr">
        <is>
          <t>ÖSTERGÖTLANDS LÄN</t>
        </is>
      </c>
      <c r="E219" t="inlineStr">
        <is>
          <t>LINKÖPING</t>
        </is>
      </c>
      <c r="F219" t="inlineStr">
        <is>
          <t>Övriga statliga verk och myndigheter</t>
        </is>
      </c>
      <c r="G219" t="n">
        <v>3.9</v>
      </c>
      <c r="H219" t="n">
        <v>0</v>
      </c>
      <c r="I219" t="n">
        <v>0</v>
      </c>
      <c r="J219" t="n">
        <v>0</v>
      </c>
      <c r="K219" t="n">
        <v>0</v>
      </c>
      <c r="L219" t="n">
        <v>0</v>
      </c>
      <c r="M219" t="n">
        <v>0</v>
      </c>
      <c r="N219" t="n">
        <v>0</v>
      </c>
      <c r="O219" t="n">
        <v>0</v>
      </c>
      <c r="P219" t="n">
        <v>0</v>
      </c>
      <c r="Q219" t="n">
        <v>0</v>
      </c>
      <c r="R219" s="2" t="inlineStr"/>
    </row>
    <row r="220" ht="15" customHeight="1">
      <c r="A220" t="inlineStr">
        <is>
          <t>A 30855-2022</t>
        </is>
      </c>
      <c r="B220" s="1" t="n">
        <v>44767</v>
      </c>
      <c r="C220" s="1" t="n">
        <v>45982</v>
      </c>
      <c r="D220" t="inlineStr">
        <is>
          <t>ÖSTERGÖTLANDS LÄN</t>
        </is>
      </c>
      <c r="E220" t="inlineStr">
        <is>
          <t>LINKÖPING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224-2024</t>
        </is>
      </c>
      <c r="B221" s="1" t="n">
        <v>45294</v>
      </c>
      <c r="C221" s="1" t="n">
        <v>45982</v>
      </c>
      <c r="D221" t="inlineStr">
        <is>
          <t>ÖSTERGÖTLANDS LÄN</t>
        </is>
      </c>
      <c r="E221" t="inlineStr">
        <is>
          <t>LINKÖPING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57745-2022</t>
        </is>
      </c>
      <c r="B222" s="1" t="n">
        <v>44897.58119212963</v>
      </c>
      <c r="C222" s="1" t="n">
        <v>45982</v>
      </c>
      <c r="D222" t="inlineStr">
        <is>
          <t>ÖSTERGÖTLANDS LÄN</t>
        </is>
      </c>
      <c r="E222" t="inlineStr">
        <is>
          <t>LINKÖPING</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1993-2023</t>
        </is>
      </c>
      <c r="B223" s="1" t="n">
        <v>44939</v>
      </c>
      <c r="C223" s="1" t="n">
        <v>45982</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34889-2023</t>
        </is>
      </c>
      <c r="B224" s="1" t="n">
        <v>45140</v>
      </c>
      <c r="C224" s="1" t="n">
        <v>45982</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52220-2023</t>
        </is>
      </c>
      <c r="B225" s="1" t="n">
        <v>45217</v>
      </c>
      <c r="C225" s="1" t="n">
        <v>45982</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52225-2023</t>
        </is>
      </c>
      <c r="B226" s="1" t="n">
        <v>45217</v>
      </c>
      <c r="C226" s="1" t="n">
        <v>45982</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22771-2024</t>
        </is>
      </c>
      <c r="B227" s="1" t="n">
        <v>45448.46574074074</v>
      </c>
      <c r="C227" s="1" t="n">
        <v>45982</v>
      </c>
      <c r="D227" t="inlineStr">
        <is>
          <t>ÖSTERGÖTLANDS LÄN</t>
        </is>
      </c>
      <c r="E227" t="inlineStr">
        <is>
          <t>LINKÖPING</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42832-2023</t>
        </is>
      </c>
      <c r="B228" s="1" t="n">
        <v>45182.38091435185</v>
      </c>
      <c r="C228" s="1" t="n">
        <v>45982</v>
      </c>
      <c r="D228" t="inlineStr">
        <is>
          <t>ÖSTERGÖTLANDS LÄN</t>
        </is>
      </c>
      <c r="E228" t="inlineStr">
        <is>
          <t>LINKÖPING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56560-2023</t>
        </is>
      </c>
      <c r="B229" s="1" t="n">
        <v>45238</v>
      </c>
      <c r="C229" s="1" t="n">
        <v>45982</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52412-2023</t>
        </is>
      </c>
      <c r="B230" s="1" t="n">
        <v>45225.27888888889</v>
      </c>
      <c r="C230" s="1" t="n">
        <v>45982</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52413-2023</t>
        </is>
      </c>
      <c r="B231" s="1" t="n">
        <v>45225.27950231481</v>
      </c>
      <c r="C231" s="1" t="n">
        <v>45982</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7354-2025</t>
        </is>
      </c>
      <c r="B232" s="1" t="n">
        <v>45704.41174768518</v>
      </c>
      <c r="C232" s="1" t="n">
        <v>45982</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34928-2023</t>
        </is>
      </c>
      <c r="B233" s="1" t="n">
        <v>45142</v>
      </c>
      <c r="C233" s="1" t="n">
        <v>45982</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1263-2024</t>
        </is>
      </c>
      <c r="B234" s="1" t="n">
        <v>45302</v>
      </c>
      <c r="C234" s="1" t="n">
        <v>45982</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52531-2023</t>
        </is>
      </c>
      <c r="B235" s="1" t="n">
        <v>45225</v>
      </c>
      <c r="C235" s="1" t="n">
        <v>45982</v>
      </c>
      <c r="D235" t="inlineStr">
        <is>
          <t>ÖSTERGÖTLANDS LÄN</t>
        </is>
      </c>
      <c r="E235" t="inlineStr">
        <is>
          <t>LINKÖPING</t>
        </is>
      </c>
      <c r="F235" t="inlineStr">
        <is>
          <t>Övriga Aktiebolag</t>
        </is>
      </c>
      <c r="G235" t="n">
        <v>1</v>
      </c>
      <c r="H235" t="n">
        <v>0</v>
      </c>
      <c r="I235" t="n">
        <v>0</v>
      </c>
      <c r="J235" t="n">
        <v>0</v>
      </c>
      <c r="K235" t="n">
        <v>0</v>
      </c>
      <c r="L235" t="n">
        <v>0</v>
      </c>
      <c r="M235" t="n">
        <v>0</v>
      </c>
      <c r="N235" t="n">
        <v>0</v>
      </c>
      <c r="O235" t="n">
        <v>0</v>
      </c>
      <c r="P235" t="n">
        <v>0</v>
      </c>
      <c r="Q235" t="n">
        <v>0</v>
      </c>
      <c r="R235" s="2" t="inlineStr"/>
    </row>
    <row r="236" ht="15" customHeight="1">
      <c r="A236" t="inlineStr">
        <is>
          <t>A 20291-2025</t>
        </is>
      </c>
      <c r="B236" s="1" t="n">
        <v>45774.74288194445</v>
      </c>
      <c r="C236" s="1" t="n">
        <v>45982</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20293-2025</t>
        </is>
      </c>
      <c r="B237" s="1" t="n">
        <v>45774.74611111111</v>
      </c>
      <c r="C237" s="1" t="n">
        <v>45982</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572-2025</t>
        </is>
      </c>
      <c r="B238" s="1" t="n">
        <v>45664.56349537037</v>
      </c>
      <c r="C238" s="1" t="n">
        <v>45982</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10797-2024</t>
        </is>
      </c>
      <c r="B239" s="1" t="n">
        <v>45369.6190162037</v>
      </c>
      <c r="C239" s="1" t="n">
        <v>45982</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3041-2024</t>
        </is>
      </c>
      <c r="B240" s="1" t="n">
        <v>45316.34875</v>
      </c>
      <c r="C240" s="1" t="n">
        <v>45982</v>
      </c>
      <c r="D240" t="inlineStr">
        <is>
          <t>ÖSTERGÖTLANDS LÄN</t>
        </is>
      </c>
      <c r="E240" t="inlineStr">
        <is>
          <t>LINKÖPING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55945-2024</t>
        </is>
      </c>
      <c r="B241" s="1" t="n">
        <v>45623.61754629629</v>
      </c>
      <c r="C241" s="1" t="n">
        <v>45982</v>
      </c>
      <c r="D241" t="inlineStr">
        <is>
          <t>ÖSTERGÖTLANDS LÄN</t>
        </is>
      </c>
      <c r="E241" t="inlineStr">
        <is>
          <t>LINKÖPING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50963-2021</t>
        </is>
      </c>
      <c r="B242" s="1" t="n">
        <v>44460</v>
      </c>
      <c r="C242" s="1" t="n">
        <v>45982</v>
      </c>
      <c r="D242" t="inlineStr">
        <is>
          <t>ÖSTERGÖTLANDS LÄN</t>
        </is>
      </c>
      <c r="E242" t="inlineStr">
        <is>
          <t>LINKÖPING</t>
        </is>
      </c>
      <c r="G242" t="n">
        <v>4.4</v>
      </c>
      <c r="H242" t="n">
        <v>0</v>
      </c>
      <c r="I242" t="n">
        <v>0</v>
      </c>
      <c r="J242" t="n">
        <v>0</v>
      </c>
      <c r="K242" t="n">
        <v>0</v>
      </c>
      <c r="L242" t="n">
        <v>0</v>
      </c>
      <c r="M242" t="n">
        <v>0</v>
      </c>
      <c r="N242" t="n">
        <v>0</v>
      </c>
      <c r="O242" t="n">
        <v>0</v>
      </c>
      <c r="P242" t="n">
        <v>0</v>
      </c>
      <c r="Q242" t="n">
        <v>0</v>
      </c>
      <c r="R242" s="2" t="inlineStr"/>
    </row>
    <row r="243" ht="15" customHeight="1">
      <c r="A243" t="inlineStr">
        <is>
          <t>A 61307-2021</t>
        </is>
      </c>
      <c r="B243" s="1" t="n">
        <v>44498.63928240741</v>
      </c>
      <c r="C243" s="1" t="n">
        <v>45982</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61325-2021</t>
        </is>
      </c>
      <c r="B244" s="1" t="n">
        <v>44498.66814814815</v>
      </c>
      <c r="C244" s="1" t="n">
        <v>45982</v>
      </c>
      <c r="D244" t="inlineStr">
        <is>
          <t>ÖSTERGÖTLANDS LÄN</t>
        </is>
      </c>
      <c r="E244" t="inlineStr">
        <is>
          <t>LINKÖPING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38580-2024</t>
        </is>
      </c>
      <c r="B245" s="1" t="n">
        <v>45546.64825231482</v>
      </c>
      <c r="C245" s="1" t="n">
        <v>45982</v>
      </c>
      <c r="D245" t="inlineStr">
        <is>
          <t>ÖSTERGÖTLANDS LÄN</t>
        </is>
      </c>
      <c r="E245" t="inlineStr">
        <is>
          <t>LINKÖPING</t>
        </is>
      </c>
      <c r="G245" t="n">
        <v>4.8</v>
      </c>
      <c r="H245" t="n">
        <v>0</v>
      </c>
      <c r="I245" t="n">
        <v>0</v>
      </c>
      <c r="J245" t="n">
        <v>0</v>
      </c>
      <c r="K245" t="n">
        <v>0</v>
      </c>
      <c r="L245" t="n">
        <v>0</v>
      </c>
      <c r="M245" t="n">
        <v>0</v>
      </c>
      <c r="N245" t="n">
        <v>0</v>
      </c>
      <c r="O245" t="n">
        <v>0</v>
      </c>
      <c r="P245" t="n">
        <v>0</v>
      </c>
      <c r="Q245" t="n">
        <v>0</v>
      </c>
      <c r="R245" s="2" t="inlineStr"/>
    </row>
    <row r="246" ht="15" customHeight="1">
      <c r="A246" t="inlineStr">
        <is>
          <t>A 57752-2023</t>
        </is>
      </c>
      <c r="B246" s="1" t="n">
        <v>45246.78474537037</v>
      </c>
      <c r="C246" s="1" t="n">
        <v>45982</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63665-2023</t>
        </is>
      </c>
      <c r="B247" s="1" t="n">
        <v>45275</v>
      </c>
      <c r="C247" s="1" t="n">
        <v>45982</v>
      </c>
      <c r="D247" t="inlineStr">
        <is>
          <t>ÖSTERGÖTLANDS LÄN</t>
        </is>
      </c>
      <c r="E247" t="inlineStr">
        <is>
          <t>LINKÖPING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33867-2023</t>
        </is>
      </c>
      <c r="B248" s="1" t="n">
        <v>45133.94640046296</v>
      </c>
      <c r="C248" s="1" t="n">
        <v>45982</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29312-2024</t>
        </is>
      </c>
      <c r="B249" s="1" t="n">
        <v>45483</v>
      </c>
      <c r="C249" s="1" t="n">
        <v>45982</v>
      </c>
      <c r="D249" t="inlineStr">
        <is>
          <t>ÖSTERGÖTLANDS LÄN</t>
        </is>
      </c>
      <c r="E249" t="inlineStr">
        <is>
          <t>LINKÖPING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23120-2025</t>
        </is>
      </c>
      <c r="B250" s="1" t="n">
        <v>45791.37481481482</v>
      </c>
      <c r="C250" s="1" t="n">
        <v>45982</v>
      </c>
      <c r="D250" t="inlineStr">
        <is>
          <t>ÖSTERGÖTLANDS LÄN</t>
        </is>
      </c>
      <c r="E250" t="inlineStr">
        <is>
          <t>LINKÖPING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30985-2022</t>
        </is>
      </c>
      <c r="B251" s="1" t="n">
        <v>44768</v>
      </c>
      <c r="C251" s="1" t="n">
        <v>45982</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38317-2024</t>
        </is>
      </c>
      <c r="B252" s="1" t="n">
        <v>45545.65766203704</v>
      </c>
      <c r="C252" s="1" t="n">
        <v>45982</v>
      </c>
      <c r="D252" t="inlineStr">
        <is>
          <t>ÖSTERGÖTLANDS LÄN</t>
        </is>
      </c>
      <c r="E252" t="inlineStr">
        <is>
          <t>LINKÖPING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23768-2025</t>
        </is>
      </c>
      <c r="B253" s="1" t="n">
        <v>45793.47493055555</v>
      </c>
      <c r="C253" s="1" t="n">
        <v>45982</v>
      </c>
      <c r="D253" t="inlineStr">
        <is>
          <t>ÖSTERGÖTLANDS LÄN</t>
        </is>
      </c>
      <c r="E253" t="inlineStr">
        <is>
          <t>LINKÖPING</t>
        </is>
      </c>
      <c r="G253" t="n">
        <v>3.4</v>
      </c>
      <c r="H253" t="n">
        <v>0</v>
      </c>
      <c r="I253" t="n">
        <v>0</v>
      </c>
      <c r="J253" t="n">
        <v>0</v>
      </c>
      <c r="K253" t="n">
        <v>0</v>
      </c>
      <c r="L253" t="n">
        <v>0</v>
      </c>
      <c r="M253" t="n">
        <v>0</v>
      </c>
      <c r="N253" t="n">
        <v>0</v>
      </c>
      <c r="O253" t="n">
        <v>0</v>
      </c>
      <c r="P253" t="n">
        <v>0</v>
      </c>
      <c r="Q253" t="n">
        <v>0</v>
      </c>
      <c r="R253" s="2" t="inlineStr"/>
    </row>
    <row r="254" ht="15" customHeight="1">
      <c r="A254" t="inlineStr">
        <is>
          <t>A 3008-2023</t>
        </is>
      </c>
      <c r="B254" s="1" t="n">
        <v>44945.79784722222</v>
      </c>
      <c r="C254" s="1" t="n">
        <v>45982</v>
      </c>
      <c r="D254" t="inlineStr">
        <is>
          <t>ÖSTERGÖTLANDS LÄN</t>
        </is>
      </c>
      <c r="E254" t="inlineStr">
        <is>
          <t>LINKÖPING</t>
        </is>
      </c>
      <c r="G254" t="n">
        <v>19.3</v>
      </c>
      <c r="H254" t="n">
        <v>0</v>
      </c>
      <c r="I254" t="n">
        <v>0</v>
      </c>
      <c r="J254" t="n">
        <v>0</v>
      </c>
      <c r="K254" t="n">
        <v>0</v>
      </c>
      <c r="L254" t="n">
        <v>0</v>
      </c>
      <c r="M254" t="n">
        <v>0</v>
      </c>
      <c r="N254" t="n">
        <v>0</v>
      </c>
      <c r="O254" t="n">
        <v>0</v>
      </c>
      <c r="P254" t="n">
        <v>0</v>
      </c>
      <c r="Q254" t="n">
        <v>0</v>
      </c>
      <c r="R254" s="2" t="inlineStr"/>
    </row>
    <row r="255" ht="15" customHeight="1">
      <c r="A255" t="inlineStr">
        <is>
          <t>A 48699-2024</t>
        </is>
      </c>
      <c r="B255" s="1" t="n">
        <v>45593.52091435185</v>
      </c>
      <c r="C255" s="1" t="n">
        <v>45982</v>
      </c>
      <c r="D255" t="inlineStr">
        <is>
          <t>ÖSTERGÖTLANDS LÄN</t>
        </is>
      </c>
      <c r="E255" t="inlineStr">
        <is>
          <t>LINKÖPING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39438-2025</t>
        </is>
      </c>
      <c r="B256" s="1" t="n">
        <v>45889.68641203704</v>
      </c>
      <c r="C256" s="1" t="n">
        <v>45982</v>
      </c>
      <c r="D256" t="inlineStr">
        <is>
          <t>ÖSTERGÖTLANDS LÄN</t>
        </is>
      </c>
      <c r="E256" t="inlineStr">
        <is>
          <t>LINKÖPING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58947-2022</t>
        </is>
      </c>
      <c r="B257" s="1" t="n">
        <v>44903.64769675926</v>
      </c>
      <c r="C257" s="1" t="n">
        <v>45982</v>
      </c>
      <c r="D257" t="inlineStr">
        <is>
          <t>ÖSTERGÖTLANDS LÄN</t>
        </is>
      </c>
      <c r="E257" t="inlineStr">
        <is>
          <t>LINKÖPING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27264-2025</t>
        </is>
      </c>
      <c r="B258" s="1" t="n">
        <v>45812.4794212963</v>
      </c>
      <c r="C258" s="1" t="n">
        <v>45982</v>
      </c>
      <c r="D258" t="inlineStr">
        <is>
          <t>ÖSTERGÖTLANDS LÄN</t>
        </is>
      </c>
      <c r="E258" t="inlineStr">
        <is>
          <t>LINKÖPING</t>
        </is>
      </c>
      <c r="G258" t="n">
        <v>2.6</v>
      </c>
      <c r="H258" t="n">
        <v>0</v>
      </c>
      <c r="I258" t="n">
        <v>0</v>
      </c>
      <c r="J258" t="n">
        <v>0</v>
      </c>
      <c r="K258" t="n">
        <v>0</v>
      </c>
      <c r="L258" t="n">
        <v>0</v>
      </c>
      <c r="M258" t="n">
        <v>0</v>
      </c>
      <c r="N258" t="n">
        <v>0</v>
      </c>
      <c r="O258" t="n">
        <v>0</v>
      </c>
      <c r="P258" t="n">
        <v>0</v>
      </c>
      <c r="Q258" t="n">
        <v>0</v>
      </c>
      <c r="R258" s="2" t="inlineStr"/>
    </row>
    <row r="259" ht="15" customHeight="1">
      <c r="A259" t="inlineStr">
        <is>
          <t>A 39074-2025</t>
        </is>
      </c>
      <c r="B259" s="1" t="n">
        <v>45888</v>
      </c>
      <c r="C259" s="1" t="n">
        <v>45982</v>
      </c>
      <c r="D259" t="inlineStr">
        <is>
          <t>ÖSTERGÖTLANDS LÄN</t>
        </is>
      </c>
      <c r="E259" t="inlineStr">
        <is>
          <t>LINKÖPING</t>
        </is>
      </c>
      <c r="G259" t="n">
        <v>2.9</v>
      </c>
      <c r="H259" t="n">
        <v>0</v>
      </c>
      <c r="I259" t="n">
        <v>0</v>
      </c>
      <c r="J259" t="n">
        <v>0</v>
      </c>
      <c r="K259" t="n">
        <v>0</v>
      </c>
      <c r="L259" t="n">
        <v>0</v>
      </c>
      <c r="M259" t="n">
        <v>0</v>
      </c>
      <c r="N259" t="n">
        <v>0</v>
      </c>
      <c r="O259" t="n">
        <v>0</v>
      </c>
      <c r="P259" t="n">
        <v>0</v>
      </c>
      <c r="Q259" t="n">
        <v>0</v>
      </c>
      <c r="R259" s="2" t="inlineStr"/>
    </row>
    <row r="260" ht="15" customHeight="1">
      <c r="A260" t="inlineStr">
        <is>
          <t>A 72567-2021</t>
        </is>
      </c>
      <c r="B260" s="1" t="n">
        <v>44546.45023148148</v>
      </c>
      <c r="C260" s="1" t="n">
        <v>45982</v>
      </c>
      <c r="D260" t="inlineStr">
        <is>
          <t>ÖSTERGÖTLANDS LÄN</t>
        </is>
      </c>
      <c r="E260" t="inlineStr">
        <is>
          <t>LINKÖPING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13911-2025</t>
        </is>
      </c>
      <c r="B261" s="1" t="n">
        <v>45737.64784722222</v>
      </c>
      <c r="C261" s="1" t="n">
        <v>45982</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16665-2023</t>
        </is>
      </c>
      <c r="B262" s="1" t="n">
        <v>45030.5583912037</v>
      </c>
      <c r="C262" s="1" t="n">
        <v>45982</v>
      </c>
      <c r="D262" t="inlineStr">
        <is>
          <t>ÖSTERGÖTLANDS LÄN</t>
        </is>
      </c>
      <c r="E262" t="inlineStr">
        <is>
          <t>LINKÖPING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60001-2022</t>
        </is>
      </c>
      <c r="B263" s="1" t="n">
        <v>44909.47087962963</v>
      </c>
      <c r="C263" s="1" t="n">
        <v>45982</v>
      </c>
      <c r="D263" t="inlineStr">
        <is>
          <t>ÖSTERGÖTLANDS LÄN</t>
        </is>
      </c>
      <c r="E263" t="inlineStr">
        <is>
          <t>LINKÖPING</t>
        </is>
      </c>
      <c r="G263" t="n">
        <v>0.9</v>
      </c>
      <c r="H263" t="n">
        <v>0</v>
      </c>
      <c r="I263" t="n">
        <v>0</v>
      </c>
      <c r="J263" t="n">
        <v>0</v>
      </c>
      <c r="K263" t="n">
        <v>0</v>
      </c>
      <c r="L263" t="n">
        <v>0</v>
      </c>
      <c r="M263" t="n">
        <v>0</v>
      </c>
      <c r="N263" t="n">
        <v>0</v>
      </c>
      <c r="O263" t="n">
        <v>0</v>
      </c>
      <c r="P263" t="n">
        <v>0</v>
      </c>
      <c r="Q263" t="n">
        <v>0</v>
      </c>
      <c r="R263" s="2" t="inlineStr"/>
    </row>
    <row r="264" ht="15" customHeight="1">
      <c r="A264" t="inlineStr">
        <is>
          <t>A 60013-2022</t>
        </is>
      </c>
      <c r="B264" s="1" t="n">
        <v>44909.47482638889</v>
      </c>
      <c r="C264" s="1" t="n">
        <v>45982</v>
      </c>
      <c r="D264" t="inlineStr">
        <is>
          <t>ÖSTERGÖTLANDS LÄN</t>
        </is>
      </c>
      <c r="E264" t="inlineStr">
        <is>
          <t>LINKÖPING</t>
        </is>
      </c>
      <c r="G264" t="n">
        <v>0.9</v>
      </c>
      <c r="H264" t="n">
        <v>0</v>
      </c>
      <c r="I264" t="n">
        <v>0</v>
      </c>
      <c r="J264" t="n">
        <v>0</v>
      </c>
      <c r="K264" t="n">
        <v>0</v>
      </c>
      <c r="L264" t="n">
        <v>0</v>
      </c>
      <c r="M264" t="n">
        <v>0</v>
      </c>
      <c r="N264" t="n">
        <v>0</v>
      </c>
      <c r="O264" t="n">
        <v>0</v>
      </c>
      <c r="P264" t="n">
        <v>0</v>
      </c>
      <c r="Q264" t="n">
        <v>0</v>
      </c>
      <c r="R264" s="2" t="inlineStr"/>
    </row>
    <row r="265" ht="15" customHeight="1">
      <c r="A265" t="inlineStr">
        <is>
          <t>A 44280-2024</t>
        </is>
      </c>
      <c r="B265" s="1" t="n">
        <v>45573.49461805556</v>
      </c>
      <c r="C265" s="1" t="n">
        <v>45982</v>
      </c>
      <c r="D265" t="inlineStr">
        <is>
          <t>ÖSTERGÖTLANDS LÄN</t>
        </is>
      </c>
      <c r="E265" t="inlineStr">
        <is>
          <t>LINKÖPING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1211-2023</t>
        </is>
      </c>
      <c r="B266" s="1" t="n">
        <v>44930</v>
      </c>
      <c r="C266" s="1" t="n">
        <v>45982</v>
      </c>
      <c r="D266" t="inlineStr">
        <is>
          <t>ÖSTERGÖTLANDS LÄN</t>
        </is>
      </c>
      <c r="E266" t="inlineStr">
        <is>
          <t>LINKÖPING</t>
        </is>
      </c>
      <c r="F266" t="inlineStr">
        <is>
          <t>Övriga statliga verk och myndigheter</t>
        </is>
      </c>
      <c r="G266" t="n">
        <v>7.9</v>
      </c>
      <c r="H266" t="n">
        <v>0</v>
      </c>
      <c r="I266" t="n">
        <v>0</v>
      </c>
      <c r="J266" t="n">
        <v>0</v>
      </c>
      <c r="K266" t="n">
        <v>0</v>
      </c>
      <c r="L266" t="n">
        <v>0</v>
      </c>
      <c r="M266" t="n">
        <v>0</v>
      </c>
      <c r="N266" t="n">
        <v>0</v>
      </c>
      <c r="O266" t="n">
        <v>0</v>
      </c>
      <c r="P266" t="n">
        <v>0</v>
      </c>
      <c r="Q266" t="n">
        <v>0</v>
      </c>
      <c r="R266" s="2" t="inlineStr"/>
    </row>
    <row r="267" ht="15" customHeight="1">
      <c r="A267" t="inlineStr">
        <is>
          <t>A 40169-2025</t>
        </is>
      </c>
      <c r="B267" s="1" t="n">
        <v>45894.62824074074</v>
      </c>
      <c r="C267" s="1" t="n">
        <v>45982</v>
      </c>
      <c r="D267" t="inlineStr">
        <is>
          <t>ÖSTERGÖTLANDS LÄN</t>
        </is>
      </c>
      <c r="E267" t="inlineStr">
        <is>
          <t>LINKÖPING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38136-2023</t>
        </is>
      </c>
      <c r="B268" s="1" t="n">
        <v>45161.37310185185</v>
      </c>
      <c r="C268" s="1" t="n">
        <v>45982</v>
      </c>
      <c r="D268" t="inlineStr">
        <is>
          <t>ÖSTERGÖTLANDS LÄN</t>
        </is>
      </c>
      <c r="E268" t="inlineStr">
        <is>
          <t>LINKÖPING</t>
        </is>
      </c>
      <c r="G268" t="n">
        <v>5.6</v>
      </c>
      <c r="H268" t="n">
        <v>0</v>
      </c>
      <c r="I268" t="n">
        <v>0</v>
      </c>
      <c r="J268" t="n">
        <v>0</v>
      </c>
      <c r="K268" t="n">
        <v>0</v>
      </c>
      <c r="L268" t="n">
        <v>0</v>
      </c>
      <c r="M268" t="n">
        <v>0</v>
      </c>
      <c r="N268" t="n">
        <v>0</v>
      </c>
      <c r="O268" t="n">
        <v>0</v>
      </c>
      <c r="P268" t="n">
        <v>0</v>
      </c>
      <c r="Q268" t="n">
        <v>0</v>
      </c>
      <c r="R268" s="2" t="inlineStr"/>
    </row>
    <row r="269" ht="15" customHeight="1">
      <c r="A269" t="inlineStr">
        <is>
          <t>A 12317-2025</t>
        </is>
      </c>
      <c r="B269" s="1" t="n">
        <v>45729.8487037037</v>
      </c>
      <c r="C269" s="1" t="n">
        <v>45982</v>
      </c>
      <c r="D269" t="inlineStr">
        <is>
          <t>ÖSTERGÖTLANDS LÄN</t>
        </is>
      </c>
      <c r="E269" t="inlineStr">
        <is>
          <t>LINKÖPING</t>
        </is>
      </c>
      <c r="G269" t="n">
        <v>8</v>
      </c>
      <c r="H269" t="n">
        <v>0</v>
      </c>
      <c r="I269" t="n">
        <v>0</v>
      </c>
      <c r="J269" t="n">
        <v>0</v>
      </c>
      <c r="K269" t="n">
        <v>0</v>
      </c>
      <c r="L269" t="n">
        <v>0</v>
      </c>
      <c r="M269" t="n">
        <v>0</v>
      </c>
      <c r="N269" t="n">
        <v>0</v>
      </c>
      <c r="O269" t="n">
        <v>0</v>
      </c>
      <c r="P269" t="n">
        <v>0</v>
      </c>
      <c r="Q269" t="n">
        <v>0</v>
      </c>
      <c r="R269" s="2" t="inlineStr"/>
    </row>
    <row r="270" ht="15" customHeight="1">
      <c r="A270" t="inlineStr">
        <is>
          <t>A 36557-2023</t>
        </is>
      </c>
      <c r="B270" s="1" t="n">
        <v>45153</v>
      </c>
      <c r="C270" s="1" t="n">
        <v>45982</v>
      </c>
      <c r="D270" t="inlineStr">
        <is>
          <t>ÖSTERGÖTLANDS LÄN</t>
        </is>
      </c>
      <c r="E270" t="inlineStr">
        <is>
          <t>LINKÖPING</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26002-2025</t>
        </is>
      </c>
      <c r="B271" s="1" t="n">
        <v>45804.66534722222</v>
      </c>
      <c r="C271" s="1" t="n">
        <v>45982</v>
      </c>
      <c r="D271" t="inlineStr">
        <is>
          <t>ÖSTERGÖTLANDS LÄN</t>
        </is>
      </c>
      <c r="E271" t="inlineStr">
        <is>
          <t>LINKÖPING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2085-2024</t>
        </is>
      </c>
      <c r="B272" s="1" t="n">
        <v>45309</v>
      </c>
      <c r="C272" s="1" t="n">
        <v>45982</v>
      </c>
      <c r="D272" t="inlineStr">
        <is>
          <t>ÖSTERGÖTLANDS LÄN</t>
        </is>
      </c>
      <c r="E272" t="inlineStr">
        <is>
          <t>LINKÖPING</t>
        </is>
      </c>
      <c r="G272" t="n">
        <v>4.5</v>
      </c>
      <c r="H272" t="n">
        <v>0</v>
      </c>
      <c r="I272" t="n">
        <v>0</v>
      </c>
      <c r="J272" t="n">
        <v>0</v>
      </c>
      <c r="K272" t="n">
        <v>0</v>
      </c>
      <c r="L272" t="n">
        <v>0</v>
      </c>
      <c r="M272" t="n">
        <v>0</v>
      </c>
      <c r="N272" t="n">
        <v>0</v>
      </c>
      <c r="O272" t="n">
        <v>0</v>
      </c>
      <c r="P272" t="n">
        <v>0</v>
      </c>
      <c r="Q272" t="n">
        <v>0</v>
      </c>
      <c r="R272" s="2" t="inlineStr"/>
    </row>
    <row r="273" ht="15" customHeight="1">
      <c r="A273" t="inlineStr">
        <is>
          <t>A 30468-2023</t>
        </is>
      </c>
      <c r="B273" s="1" t="n">
        <v>45111.58732638889</v>
      </c>
      <c r="C273" s="1" t="n">
        <v>45982</v>
      </c>
      <c r="D273" t="inlineStr">
        <is>
          <t>ÖSTERGÖTLANDS LÄN</t>
        </is>
      </c>
      <c r="E273" t="inlineStr">
        <is>
          <t>LINKÖPING</t>
        </is>
      </c>
      <c r="G273" t="n">
        <v>10.1</v>
      </c>
      <c r="H273" t="n">
        <v>0</v>
      </c>
      <c r="I273" t="n">
        <v>0</v>
      </c>
      <c r="J273" t="n">
        <v>0</v>
      </c>
      <c r="K273" t="n">
        <v>0</v>
      </c>
      <c r="L273" t="n">
        <v>0</v>
      </c>
      <c r="M273" t="n">
        <v>0</v>
      </c>
      <c r="N273" t="n">
        <v>0</v>
      </c>
      <c r="O273" t="n">
        <v>0</v>
      </c>
      <c r="P273" t="n">
        <v>0</v>
      </c>
      <c r="Q273" t="n">
        <v>0</v>
      </c>
      <c r="R273" s="2" t="inlineStr"/>
    </row>
    <row r="274" ht="15" customHeight="1">
      <c r="A274" t="inlineStr">
        <is>
          <t>A 25996-2025</t>
        </is>
      </c>
      <c r="B274" s="1" t="n">
        <v>45804.65851851852</v>
      </c>
      <c r="C274" s="1" t="n">
        <v>45982</v>
      </c>
      <c r="D274" t="inlineStr">
        <is>
          <t>ÖSTERGÖTLANDS LÄN</t>
        </is>
      </c>
      <c r="E274" t="inlineStr">
        <is>
          <t>LINKÖPING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40983-2025</t>
        </is>
      </c>
      <c r="B275" s="1" t="n">
        <v>45898</v>
      </c>
      <c r="C275" s="1" t="n">
        <v>45982</v>
      </c>
      <c r="D275" t="inlineStr">
        <is>
          <t>ÖSTERGÖTLANDS LÄN</t>
        </is>
      </c>
      <c r="E275" t="inlineStr">
        <is>
          <t>LINKÖPING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38715-2023</t>
        </is>
      </c>
      <c r="B276" s="1" t="n">
        <v>45160</v>
      </c>
      <c r="C276" s="1" t="n">
        <v>45982</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34864-2023</t>
        </is>
      </c>
      <c r="B277" s="1" t="n">
        <v>45141</v>
      </c>
      <c r="C277" s="1" t="n">
        <v>45982</v>
      </c>
      <c r="D277" t="inlineStr">
        <is>
          <t>ÖSTERGÖTLANDS LÄN</t>
        </is>
      </c>
      <c r="E277" t="inlineStr">
        <is>
          <t>LINKÖPING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46687-2021</t>
        </is>
      </c>
      <c r="B278" s="1" t="n">
        <v>44445</v>
      </c>
      <c r="C278" s="1" t="n">
        <v>45982</v>
      </c>
      <c r="D278" t="inlineStr">
        <is>
          <t>ÖSTERGÖTLANDS LÄN</t>
        </is>
      </c>
      <c r="E278" t="inlineStr">
        <is>
          <t>LINKÖPING</t>
        </is>
      </c>
      <c r="F278" t="inlineStr">
        <is>
          <t>Övriga statliga verk och myndigheter</t>
        </is>
      </c>
      <c r="G278" t="n">
        <v>2.3</v>
      </c>
      <c r="H278" t="n">
        <v>0</v>
      </c>
      <c r="I278" t="n">
        <v>0</v>
      </c>
      <c r="J278" t="n">
        <v>0</v>
      </c>
      <c r="K278" t="n">
        <v>0</v>
      </c>
      <c r="L278" t="n">
        <v>0</v>
      </c>
      <c r="M278" t="n">
        <v>0</v>
      </c>
      <c r="N278" t="n">
        <v>0</v>
      </c>
      <c r="O278" t="n">
        <v>0</v>
      </c>
      <c r="P278" t="n">
        <v>0</v>
      </c>
      <c r="Q278" t="n">
        <v>0</v>
      </c>
      <c r="R278" s="2" t="inlineStr"/>
    </row>
    <row r="279" ht="15" customHeight="1">
      <c r="A279" t="inlineStr">
        <is>
          <t>A 17103-2025</t>
        </is>
      </c>
      <c r="B279" s="1" t="n">
        <v>45755.66143518518</v>
      </c>
      <c r="C279" s="1" t="n">
        <v>45982</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41511-2025</t>
        </is>
      </c>
      <c r="B280" s="1" t="n">
        <v>45901.53839120371</v>
      </c>
      <c r="C280" s="1" t="n">
        <v>45982</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40618-2021</t>
        </is>
      </c>
      <c r="B281" s="1" t="n">
        <v>44420.49575231481</v>
      </c>
      <c r="C281" s="1" t="n">
        <v>45982</v>
      </c>
      <c r="D281" t="inlineStr">
        <is>
          <t>ÖSTERGÖTLANDS LÄN</t>
        </is>
      </c>
      <c r="E281" t="inlineStr">
        <is>
          <t>LINKÖPING</t>
        </is>
      </c>
      <c r="G281" t="n">
        <v>2.3</v>
      </c>
      <c r="H281" t="n">
        <v>0</v>
      </c>
      <c r="I281" t="n">
        <v>0</v>
      </c>
      <c r="J281" t="n">
        <v>0</v>
      </c>
      <c r="K281" t="n">
        <v>0</v>
      </c>
      <c r="L281" t="n">
        <v>0</v>
      </c>
      <c r="M281" t="n">
        <v>0</v>
      </c>
      <c r="N281" t="n">
        <v>0</v>
      </c>
      <c r="O281" t="n">
        <v>0</v>
      </c>
      <c r="P281" t="n">
        <v>0</v>
      </c>
      <c r="Q281" t="n">
        <v>0</v>
      </c>
      <c r="R281" s="2" t="inlineStr"/>
    </row>
    <row r="282" ht="15" customHeight="1">
      <c r="A282" t="inlineStr">
        <is>
          <t>A 56180-2024</t>
        </is>
      </c>
      <c r="B282" s="1" t="n">
        <v>45624.56611111111</v>
      </c>
      <c r="C282" s="1" t="n">
        <v>45982</v>
      </c>
      <c r="D282" t="inlineStr">
        <is>
          <t>ÖSTERGÖTLANDS LÄN</t>
        </is>
      </c>
      <c r="E282" t="inlineStr">
        <is>
          <t>LINKÖPING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30471-2023</t>
        </is>
      </c>
      <c r="B283" s="1" t="n">
        <v>45111.58931712963</v>
      </c>
      <c r="C283" s="1" t="n">
        <v>45982</v>
      </c>
      <c r="D283" t="inlineStr">
        <is>
          <t>ÖSTERGÖTLANDS LÄN</t>
        </is>
      </c>
      <c r="E283" t="inlineStr">
        <is>
          <t>LINKÖPING</t>
        </is>
      </c>
      <c r="G283" t="n">
        <v>2.9</v>
      </c>
      <c r="H283" t="n">
        <v>0</v>
      </c>
      <c r="I283" t="n">
        <v>0</v>
      </c>
      <c r="J283" t="n">
        <v>0</v>
      </c>
      <c r="K283" t="n">
        <v>0</v>
      </c>
      <c r="L283" t="n">
        <v>0</v>
      </c>
      <c r="M283" t="n">
        <v>0</v>
      </c>
      <c r="N283" t="n">
        <v>0</v>
      </c>
      <c r="O283" t="n">
        <v>0</v>
      </c>
      <c r="P283" t="n">
        <v>0</v>
      </c>
      <c r="Q283" t="n">
        <v>0</v>
      </c>
      <c r="R283" s="2" t="inlineStr"/>
    </row>
    <row r="284" ht="15" customHeight="1">
      <c r="A284" t="inlineStr">
        <is>
          <t>A 41706-2025</t>
        </is>
      </c>
      <c r="B284" s="1" t="n">
        <v>45902.42209490741</v>
      </c>
      <c r="C284" s="1" t="n">
        <v>45982</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227-2024</t>
        </is>
      </c>
      <c r="B285" s="1" t="n">
        <v>45294.73603009259</v>
      </c>
      <c r="C285" s="1" t="n">
        <v>45982</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50667-2025</t>
        </is>
      </c>
      <c r="B286" s="1" t="n">
        <v>45945</v>
      </c>
      <c r="C286" s="1" t="n">
        <v>45982</v>
      </c>
      <c r="D286" t="inlineStr">
        <is>
          <t>ÖSTERGÖTLANDS LÄN</t>
        </is>
      </c>
      <c r="E286" t="inlineStr">
        <is>
          <t>LINKÖPING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3042-2024</t>
        </is>
      </c>
      <c r="B287" s="1" t="n">
        <v>45316.35028935185</v>
      </c>
      <c r="C287" s="1" t="n">
        <v>45982</v>
      </c>
      <c r="D287" t="inlineStr">
        <is>
          <t>ÖSTERGÖTLANDS LÄN</t>
        </is>
      </c>
      <c r="E287" t="inlineStr">
        <is>
          <t>LINKÖPING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44155-2024</t>
        </is>
      </c>
      <c r="B288" s="1" t="n">
        <v>45572.68226851852</v>
      </c>
      <c r="C288" s="1" t="n">
        <v>45982</v>
      </c>
      <c r="D288" t="inlineStr">
        <is>
          <t>ÖSTERGÖTLANDS LÄN</t>
        </is>
      </c>
      <c r="E288" t="inlineStr">
        <is>
          <t>LINKÖPING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27950-2025</t>
        </is>
      </c>
      <c r="B289" s="1" t="n">
        <v>45817.52960648148</v>
      </c>
      <c r="C289" s="1" t="n">
        <v>45982</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30434-2024</t>
        </is>
      </c>
      <c r="B290" s="1" t="n">
        <v>45491.69811342593</v>
      </c>
      <c r="C290" s="1" t="n">
        <v>45982</v>
      </c>
      <c r="D290" t="inlineStr">
        <is>
          <t>ÖSTERGÖTLANDS LÄN</t>
        </is>
      </c>
      <c r="E290" t="inlineStr">
        <is>
          <t>LINKÖPING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56917-2022</t>
        </is>
      </c>
      <c r="B291" s="1" t="n">
        <v>44894</v>
      </c>
      <c r="C291" s="1" t="n">
        <v>45982</v>
      </c>
      <c r="D291" t="inlineStr">
        <is>
          <t>ÖSTERGÖTLANDS LÄN</t>
        </is>
      </c>
      <c r="E291" t="inlineStr">
        <is>
          <t>LINKÖPING</t>
        </is>
      </c>
      <c r="G291" t="n">
        <v>2.2</v>
      </c>
      <c r="H291" t="n">
        <v>0</v>
      </c>
      <c r="I291" t="n">
        <v>0</v>
      </c>
      <c r="J291" t="n">
        <v>0</v>
      </c>
      <c r="K291" t="n">
        <v>0</v>
      </c>
      <c r="L291" t="n">
        <v>0</v>
      </c>
      <c r="M291" t="n">
        <v>0</v>
      </c>
      <c r="N291" t="n">
        <v>0</v>
      </c>
      <c r="O291" t="n">
        <v>0</v>
      </c>
      <c r="P291" t="n">
        <v>0</v>
      </c>
      <c r="Q291" t="n">
        <v>0</v>
      </c>
      <c r="R291" s="2" t="inlineStr"/>
    </row>
    <row r="292" ht="15" customHeight="1">
      <c r="A292" t="inlineStr">
        <is>
          <t>A 57766-2023</t>
        </is>
      </c>
      <c r="B292" s="1" t="n">
        <v>45246</v>
      </c>
      <c r="C292" s="1" t="n">
        <v>45982</v>
      </c>
      <c r="D292" t="inlineStr">
        <is>
          <t>ÖSTERGÖTLANDS LÄN</t>
        </is>
      </c>
      <c r="E292" t="inlineStr">
        <is>
          <t>LINKÖPING</t>
        </is>
      </c>
      <c r="F292" t="inlineStr">
        <is>
          <t>Allmännings- och besparingsskogar</t>
        </is>
      </c>
      <c r="G292" t="n">
        <v>12.8</v>
      </c>
      <c r="H292" t="n">
        <v>0</v>
      </c>
      <c r="I292" t="n">
        <v>0</v>
      </c>
      <c r="J292" t="n">
        <v>0</v>
      </c>
      <c r="K292" t="n">
        <v>0</v>
      </c>
      <c r="L292" t="n">
        <v>0</v>
      </c>
      <c r="M292" t="n">
        <v>0</v>
      </c>
      <c r="N292" t="n">
        <v>0</v>
      </c>
      <c r="O292" t="n">
        <v>0</v>
      </c>
      <c r="P292" t="n">
        <v>0</v>
      </c>
      <c r="Q292" t="n">
        <v>0</v>
      </c>
      <c r="R292" s="2" t="inlineStr"/>
    </row>
    <row r="293" ht="15" customHeight="1">
      <c r="A293" t="inlineStr">
        <is>
          <t>A 27797-2025</t>
        </is>
      </c>
      <c r="B293" s="1" t="n">
        <v>45816.80521990741</v>
      </c>
      <c r="C293" s="1" t="n">
        <v>45982</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27798-2025</t>
        </is>
      </c>
      <c r="B294" s="1" t="n">
        <v>45816.81532407407</v>
      </c>
      <c r="C294" s="1" t="n">
        <v>45982</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29293-2025</t>
        </is>
      </c>
      <c r="B295" s="1" t="n">
        <v>45824</v>
      </c>
      <c r="C295" s="1" t="n">
        <v>45982</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28200-2025</t>
        </is>
      </c>
      <c r="B296" s="1" t="n">
        <v>45818.4428125</v>
      </c>
      <c r="C296" s="1" t="n">
        <v>45982</v>
      </c>
      <c r="D296" t="inlineStr">
        <is>
          <t>ÖSTERGÖTLANDS LÄN</t>
        </is>
      </c>
      <c r="E296" t="inlineStr">
        <is>
          <t>LINKÖPING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10253-2022</t>
        </is>
      </c>
      <c r="B297" s="1" t="n">
        <v>44622</v>
      </c>
      <c r="C297" s="1" t="n">
        <v>45982</v>
      </c>
      <c r="D297" t="inlineStr">
        <is>
          <t>ÖSTERGÖTLANDS LÄN</t>
        </is>
      </c>
      <c r="E297" t="inlineStr">
        <is>
          <t>LINKÖPING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42624-2025</t>
        </is>
      </c>
      <c r="B298" s="1" t="n">
        <v>45905</v>
      </c>
      <c r="C298" s="1" t="n">
        <v>45982</v>
      </c>
      <c r="D298" t="inlineStr">
        <is>
          <t>ÖSTERGÖTLANDS LÄN</t>
        </is>
      </c>
      <c r="E298" t="inlineStr">
        <is>
          <t>LINKÖPING</t>
        </is>
      </c>
      <c r="G298" t="n">
        <v>1.5</v>
      </c>
      <c r="H298" t="n">
        <v>0</v>
      </c>
      <c r="I298" t="n">
        <v>0</v>
      </c>
      <c r="J298" t="n">
        <v>0</v>
      </c>
      <c r="K298" t="n">
        <v>0</v>
      </c>
      <c r="L298" t="n">
        <v>0</v>
      </c>
      <c r="M298" t="n">
        <v>0</v>
      </c>
      <c r="N298" t="n">
        <v>0</v>
      </c>
      <c r="O298" t="n">
        <v>0</v>
      </c>
      <c r="P298" t="n">
        <v>0</v>
      </c>
      <c r="Q298" t="n">
        <v>0</v>
      </c>
      <c r="R298" s="2" t="inlineStr"/>
    </row>
    <row r="299" ht="15" customHeight="1">
      <c r="A299" t="inlineStr">
        <is>
          <t>A 42626-2025</t>
        </is>
      </c>
      <c r="B299" s="1" t="n">
        <v>45905</v>
      </c>
      <c r="C299" s="1" t="n">
        <v>45982</v>
      </c>
      <c r="D299" t="inlineStr">
        <is>
          <t>ÖSTERGÖTLANDS LÄN</t>
        </is>
      </c>
      <c r="E299" t="inlineStr">
        <is>
          <t>LINKÖPING</t>
        </is>
      </c>
      <c r="G299" t="n">
        <v>3.6</v>
      </c>
      <c r="H299" t="n">
        <v>0</v>
      </c>
      <c r="I299" t="n">
        <v>0</v>
      </c>
      <c r="J299" t="n">
        <v>0</v>
      </c>
      <c r="K299" t="n">
        <v>0</v>
      </c>
      <c r="L299" t="n">
        <v>0</v>
      </c>
      <c r="M299" t="n">
        <v>0</v>
      </c>
      <c r="N299" t="n">
        <v>0</v>
      </c>
      <c r="O299" t="n">
        <v>0</v>
      </c>
      <c r="P299" t="n">
        <v>0</v>
      </c>
      <c r="Q299" t="n">
        <v>0</v>
      </c>
      <c r="R299" s="2" t="inlineStr"/>
    </row>
    <row r="300" ht="15" customHeight="1">
      <c r="A300" t="inlineStr">
        <is>
          <t>A 28204-2025</t>
        </is>
      </c>
      <c r="B300" s="1" t="n">
        <v>45818.4477662037</v>
      </c>
      <c r="C300" s="1" t="n">
        <v>45982</v>
      </c>
      <c r="D300" t="inlineStr">
        <is>
          <t>ÖSTERGÖTLANDS LÄN</t>
        </is>
      </c>
      <c r="E300" t="inlineStr">
        <is>
          <t>LINKÖPING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28416-2025</t>
        </is>
      </c>
      <c r="B301" s="1" t="n">
        <v>45819.35346064815</v>
      </c>
      <c r="C301" s="1" t="n">
        <v>45982</v>
      </c>
      <c r="D301" t="inlineStr">
        <is>
          <t>ÖSTERGÖTLANDS LÄN</t>
        </is>
      </c>
      <c r="E301" t="inlineStr">
        <is>
          <t>LINKÖPING</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42623-2025</t>
        </is>
      </c>
      <c r="B302" s="1" t="n">
        <v>45905</v>
      </c>
      <c r="C302" s="1" t="n">
        <v>45982</v>
      </c>
      <c r="D302" t="inlineStr">
        <is>
          <t>ÖSTERGÖTLANDS LÄN</t>
        </is>
      </c>
      <c r="E302" t="inlineStr">
        <is>
          <t>LINKÖPING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28398-2025</t>
        </is>
      </c>
      <c r="B303" s="1" t="n">
        <v>45819.34208333334</v>
      </c>
      <c r="C303" s="1" t="n">
        <v>45982</v>
      </c>
      <c r="D303" t="inlineStr">
        <is>
          <t>ÖSTERGÖTLANDS LÄN</t>
        </is>
      </c>
      <c r="E303" t="inlineStr">
        <is>
          <t>LINKÖPING</t>
        </is>
      </c>
      <c r="F303" t="inlineStr">
        <is>
          <t>Sveaskog</t>
        </is>
      </c>
      <c r="G303" t="n">
        <v>7.9</v>
      </c>
      <c r="H303" t="n">
        <v>0</v>
      </c>
      <c r="I303" t="n">
        <v>0</v>
      </c>
      <c r="J303" t="n">
        <v>0</v>
      </c>
      <c r="K303" t="n">
        <v>0</v>
      </c>
      <c r="L303" t="n">
        <v>0</v>
      </c>
      <c r="M303" t="n">
        <v>0</v>
      </c>
      <c r="N303" t="n">
        <v>0</v>
      </c>
      <c r="O303" t="n">
        <v>0</v>
      </c>
      <c r="P303" t="n">
        <v>0</v>
      </c>
      <c r="Q303" t="n">
        <v>0</v>
      </c>
      <c r="R303" s="2" t="inlineStr"/>
    </row>
    <row r="304" ht="15" customHeight="1">
      <c r="A304" t="inlineStr">
        <is>
          <t>A 28209-2025</t>
        </is>
      </c>
      <c r="B304" s="1" t="n">
        <v>45818.45112268518</v>
      </c>
      <c r="C304" s="1" t="n">
        <v>45982</v>
      </c>
      <c r="D304" t="inlineStr">
        <is>
          <t>ÖSTERGÖTLANDS LÄN</t>
        </is>
      </c>
      <c r="E304" t="inlineStr">
        <is>
          <t>LINKÖPING</t>
        </is>
      </c>
      <c r="G304" t="n">
        <v>4.2</v>
      </c>
      <c r="H304" t="n">
        <v>0</v>
      </c>
      <c r="I304" t="n">
        <v>0</v>
      </c>
      <c r="J304" t="n">
        <v>0</v>
      </c>
      <c r="K304" t="n">
        <v>0</v>
      </c>
      <c r="L304" t="n">
        <v>0</v>
      </c>
      <c r="M304" t="n">
        <v>0</v>
      </c>
      <c r="N304" t="n">
        <v>0</v>
      </c>
      <c r="O304" t="n">
        <v>0</v>
      </c>
      <c r="P304" t="n">
        <v>0</v>
      </c>
      <c r="Q304" t="n">
        <v>0</v>
      </c>
      <c r="R304" s="2" t="inlineStr"/>
    </row>
    <row r="305" ht="15" customHeight="1">
      <c r="A305" t="inlineStr">
        <is>
          <t>A 25568-2024</t>
        </is>
      </c>
      <c r="B305" s="1" t="n">
        <v>45463.58699074074</v>
      </c>
      <c r="C305" s="1" t="n">
        <v>45982</v>
      </c>
      <c r="D305" t="inlineStr">
        <is>
          <t>ÖSTERGÖTLANDS LÄN</t>
        </is>
      </c>
      <c r="E305" t="inlineStr">
        <is>
          <t>LINKÖPING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29027-2025</t>
        </is>
      </c>
      <c r="B306" s="1" t="n">
        <v>45821.4375462963</v>
      </c>
      <c r="C306" s="1" t="n">
        <v>45982</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22833-2023</t>
        </is>
      </c>
      <c r="B307" s="1" t="n">
        <v>45071</v>
      </c>
      <c r="C307" s="1" t="n">
        <v>45982</v>
      </c>
      <c r="D307" t="inlineStr">
        <is>
          <t>ÖSTERGÖTLANDS LÄN</t>
        </is>
      </c>
      <c r="E307" t="inlineStr">
        <is>
          <t>LINKÖPING</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29411-2025</t>
        </is>
      </c>
      <c r="B308" s="1" t="n">
        <v>45824.6219212963</v>
      </c>
      <c r="C308" s="1" t="n">
        <v>45982</v>
      </c>
      <c r="D308" t="inlineStr">
        <is>
          <t>ÖSTERGÖTLANDS LÄN</t>
        </is>
      </c>
      <c r="E308" t="inlineStr">
        <is>
          <t>LINKÖPING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29393-2025</t>
        </is>
      </c>
      <c r="B309" s="1" t="n">
        <v>45824.6057175926</v>
      </c>
      <c r="C309" s="1" t="n">
        <v>45982</v>
      </c>
      <c r="D309" t="inlineStr">
        <is>
          <t>ÖSTERGÖTLANDS LÄN</t>
        </is>
      </c>
      <c r="E309" t="inlineStr">
        <is>
          <t>LINKÖPING</t>
        </is>
      </c>
      <c r="F309" t="inlineStr">
        <is>
          <t>Sveaskog</t>
        </is>
      </c>
      <c r="G309" t="n">
        <v>24.6</v>
      </c>
      <c r="H309" t="n">
        <v>0</v>
      </c>
      <c r="I309" t="n">
        <v>0</v>
      </c>
      <c r="J309" t="n">
        <v>0</v>
      </c>
      <c r="K309" t="n">
        <v>0</v>
      </c>
      <c r="L309" t="n">
        <v>0</v>
      </c>
      <c r="M309" t="n">
        <v>0</v>
      </c>
      <c r="N309" t="n">
        <v>0</v>
      </c>
      <c r="O309" t="n">
        <v>0</v>
      </c>
      <c r="P309" t="n">
        <v>0</v>
      </c>
      <c r="Q309" t="n">
        <v>0</v>
      </c>
      <c r="R309" s="2" t="inlineStr"/>
    </row>
    <row r="310" ht="15" customHeight="1">
      <c r="A310" t="inlineStr">
        <is>
          <t>A 29599-2025</t>
        </is>
      </c>
      <c r="B310" s="1" t="n">
        <v>45825.41101851852</v>
      </c>
      <c r="C310" s="1" t="n">
        <v>45982</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2997-2025</t>
        </is>
      </c>
      <c r="B311" s="1" t="n">
        <v>45678.54631944445</v>
      </c>
      <c r="C311" s="1" t="n">
        <v>45982</v>
      </c>
      <c r="D311" t="inlineStr">
        <is>
          <t>ÖSTERGÖTLANDS LÄN</t>
        </is>
      </c>
      <c r="E311" t="inlineStr">
        <is>
          <t>LINKÖPING</t>
        </is>
      </c>
      <c r="G311" t="n">
        <v>2.7</v>
      </c>
      <c r="H311" t="n">
        <v>0</v>
      </c>
      <c r="I311" t="n">
        <v>0</v>
      </c>
      <c r="J311" t="n">
        <v>0</v>
      </c>
      <c r="K311" t="n">
        <v>0</v>
      </c>
      <c r="L311" t="n">
        <v>0</v>
      </c>
      <c r="M311" t="n">
        <v>0</v>
      </c>
      <c r="N311" t="n">
        <v>0</v>
      </c>
      <c r="O311" t="n">
        <v>0</v>
      </c>
      <c r="P311" t="n">
        <v>0</v>
      </c>
      <c r="Q311" t="n">
        <v>0</v>
      </c>
      <c r="R311" s="2" t="inlineStr"/>
    </row>
    <row r="312" ht="15" customHeight="1">
      <c r="A312" t="inlineStr">
        <is>
          <t>A 51802-2025</t>
        </is>
      </c>
      <c r="B312" s="1" t="n">
        <v>45950</v>
      </c>
      <c r="C312" s="1" t="n">
        <v>45982</v>
      </c>
      <c r="D312" t="inlineStr">
        <is>
          <t>ÖSTERGÖTLANDS LÄN</t>
        </is>
      </c>
      <c r="E312" t="inlineStr">
        <is>
          <t>LINKÖPING</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41345-2021</t>
        </is>
      </c>
      <c r="B313" s="1" t="n">
        <v>44424.61851851852</v>
      </c>
      <c r="C313" s="1" t="n">
        <v>45982</v>
      </c>
      <c r="D313" t="inlineStr">
        <is>
          <t>ÖSTERGÖTLANDS LÄN</t>
        </is>
      </c>
      <c r="E313" t="inlineStr">
        <is>
          <t>LINKÖPING</t>
        </is>
      </c>
      <c r="F313" t="inlineStr">
        <is>
          <t>Sveaskog</t>
        </is>
      </c>
      <c r="G313" t="n">
        <v>6.3</v>
      </c>
      <c r="H313" t="n">
        <v>0</v>
      </c>
      <c r="I313" t="n">
        <v>0</v>
      </c>
      <c r="J313" t="n">
        <v>0</v>
      </c>
      <c r="K313" t="n">
        <v>0</v>
      </c>
      <c r="L313" t="n">
        <v>0</v>
      </c>
      <c r="M313" t="n">
        <v>0</v>
      </c>
      <c r="N313" t="n">
        <v>0</v>
      </c>
      <c r="O313" t="n">
        <v>0</v>
      </c>
      <c r="P313" t="n">
        <v>0</v>
      </c>
      <c r="Q313" t="n">
        <v>0</v>
      </c>
      <c r="R313" s="2" t="inlineStr"/>
    </row>
    <row r="314" ht="15" customHeight="1">
      <c r="A314" t="inlineStr">
        <is>
          <t>A 13266-2025</t>
        </is>
      </c>
      <c r="B314" s="1" t="n">
        <v>45735.53318287037</v>
      </c>
      <c r="C314" s="1" t="n">
        <v>45982</v>
      </c>
      <c r="D314" t="inlineStr">
        <is>
          <t>ÖSTERGÖTLANDS LÄN</t>
        </is>
      </c>
      <c r="E314" t="inlineStr">
        <is>
          <t>LINKÖPING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16213-2025</t>
        </is>
      </c>
      <c r="B315" s="1" t="n">
        <v>45750.62740740741</v>
      </c>
      <c r="C315" s="1" t="n">
        <v>45982</v>
      </c>
      <c r="D315" t="inlineStr">
        <is>
          <t>ÖSTERGÖTLANDS LÄN</t>
        </is>
      </c>
      <c r="E315" t="inlineStr">
        <is>
          <t>LINKÖPING</t>
        </is>
      </c>
      <c r="G315" t="n">
        <v>3.4</v>
      </c>
      <c r="H315" t="n">
        <v>0</v>
      </c>
      <c r="I315" t="n">
        <v>0</v>
      </c>
      <c r="J315" t="n">
        <v>0</v>
      </c>
      <c r="K315" t="n">
        <v>0</v>
      </c>
      <c r="L315" t="n">
        <v>0</v>
      </c>
      <c r="M315" t="n">
        <v>0</v>
      </c>
      <c r="N315" t="n">
        <v>0</v>
      </c>
      <c r="O315" t="n">
        <v>0</v>
      </c>
      <c r="P315" t="n">
        <v>0</v>
      </c>
      <c r="Q315" t="n">
        <v>0</v>
      </c>
      <c r="R315" s="2" t="inlineStr"/>
    </row>
    <row r="316" ht="15" customHeight="1">
      <c r="A316" t="inlineStr">
        <is>
          <t>A 30355-2025</t>
        </is>
      </c>
      <c r="B316" s="1" t="n">
        <v>45827</v>
      </c>
      <c r="C316" s="1" t="n">
        <v>45982</v>
      </c>
      <c r="D316" t="inlineStr">
        <is>
          <t>ÖSTERGÖTLANDS LÄN</t>
        </is>
      </c>
      <c r="E316" t="inlineStr">
        <is>
          <t>LINKÖPING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52111-2025</t>
        </is>
      </c>
      <c r="B317" s="1" t="n">
        <v>45952.69527777778</v>
      </c>
      <c r="C317" s="1" t="n">
        <v>45982</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30353-2025</t>
        </is>
      </c>
      <c r="B318" s="1" t="n">
        <v>45827</v>
      </c>
      <c r="C318" s="1" t="n">
        <v>45982</v>
      </c>
      <c r="D318" t="inlineStr">
        <is>
          <t>ÖSTERGÖTLANDS LÄN</t>
        </is>
      </c>
      <c r="E318" t="inlineStr">
        <is>
          <t>LINKÖPING</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46225-2021</t>
        </is>
      </c>
      <c r="B319" s="1" t="n">
        <v>44442</v>
      </c>
      <c r="C319" s="1" t="n">
        <v>45982</v>
      </c>
      <c r="D319" t="inlineStr">
        <is>
          <t>ÖSTERGÖTLANDS LÄN</t>
        </is>
      </c>
      <c r="E319" t="inlineStr">
        <is>
          <t>LINKÖPING</t>
        </is>
      </c>
      <c r="G319" t="n">
        <v>2.9</v>
      </c>
      <c r="H319" t="n">
        <v>0</v>
      </c>
      <c r="I319" t="n">
        <v>0</v>
      </c>
      <c r="J319" t="n">
        <v>0</v>
      </c>
      <c r="K319" t="n">
        <v>0</v>
      </c>
      <c r="L319" t="n">
        <v>0</v>
      </c>
      <c r="M319" t="n">
        <v>0</v>
      </c>
      <c r="N319" t="n">
        <v>0</v>
      </c>
      <c r="O319" t="n">
        <v>0</v>
      </c>
      <c r="P319" t="n">
        <v>0</v>
      </c>
      <c r="Q319" t="n">
        <v>0</v>
      </c>
      <c r="R319" s="2" t="inlineStr"/>
    </row>
    <row r="320" ht="15" customHeight="1">
      <c r="A320" t="inlineStr">
        <is>
          <t>A 25776-2021</t>
        </is>
      </c>
      <c r="B320" s="1" t="n">
        <v>44343</v>
      </c>
      <c r="C320" s="1" t="n">
        <v>45982</v>
      </c>
      <c r="D320" t="inlineStr">
        <is>
          <t>ÖSTERGÖTLANDS LÄN</t>
        </is>
      </c>
      <c r="E320" t="inlineStr">
        <is>
          <t>LINKÖPING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51484-2023</t>
        </is>
      </c>
      <c r="B321" s="1" t="n">
        <v>45222</v>
      </c>
      <c r="C321" s="1" t="n">
        <v>45982</v>
      </c>
      <c r="D321" t="inlineStr">
        <is>
          <t>ÖSTERGÖTLANDS LÄN</t>
        </is>
      </c>
      <c r="E321" t="inlineStr">
        <is>
          <t>LINKÖPING</t>
        </is>
      </c>
      <c r="F321" t="inlineStr">
        <is>
          <t>Övriga Aktiebolag</t>
        </is>
      </c>
      <c r="G321" t="n">
        <v>7.7</v>
      </c>
      <c r="H321" t="n">
        <v>0</v>
      </c>
      <c r="I321" t="n">
        <v>0</v>
      </c>
      <c r="J321" t="n">
        <v>0</v>
      </c>
      <c r="K321" t="n">
        <v>0</v>
      </c>
      <c r="L321" t="n">
        <v>0</v>
      </c>
      <c r="M321" t="n">
        <v>0</v>
      </c>
      <c r="N321" t="n">
        <v>0</v>
      </c>
      <c r="O321" t="n">
        <v>0</v>
      </c>
      <c r="P321" t="n">
        <v>0</v>
      </c>
      <c r="Q321" t="n">
        <v>0</v>
      </c>
      <c r="R321" s="2" t="inlineStr"/>
    </row>
    <row r="322" ht="15" customHeight="1">
      <c r="A322" t="inlineStr">
        <is>
          <t>A 17898-2022</t>
        </is>
      </c>
      <c r="B322" s="1" t="n">
        <v>44683</v>
      </c>
      <c r="C322" s="1" t="n">
        <v>45982</v>
      </c>
      <c r="D322" t="inlineStr">
        <is>
          <t>ÖSTERGÖTLANDS LÄN</t>
        </is>
      </c>
      <c r="E322" t="inlineStr">
        <is>
          <t>LINKÖPING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63487-2023</t>
        </is>
      </c>
      <c r="B323" s="1" t="n">
        <v>45274.66712962963</v>
      </c>
      <c r="C323" s="1" t="n">
        <v>45982</v>
      </c>
      <c r="D323" t="inlineStr">
        <is>
          <t>ÖSTERGÖTLANDS LÄN</t>
        </is>
      </c>
      <c r="E323" t="inlineStr">
        <is>
          <t>LINKÖPING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52743-2025</t>
        </is>
      </c>
      <c r="B324" s="1" t="n">
        <v>45957.38039351852</v>
      </c>
      <c r="C324" s="1" t="n">
        <v>45982</v>
      </c>
      <c r="D324" t="inlineStr">
        <is>
          <t>ÖSTERGÖTLANDS LÄN</t>
        </is>
      </c>
      <c r="E324" t="inlineStr">
        <is>
          <t>LINKÖPING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35463-2023</t>
        </is>
      </c>
      <c r="B325" s="1" t="n">
        <v>45146</v>
      </c>
      <c r="C325" s="1" t="n">
        <v>45982</v>
      </c>
      <c r="D325" t="inlineStr">
        <is>
          <t>ÖSTERGÖTLANDS LÄN</t>
        </is>
      </c>
      <c r="E325" t="inlineStr">
        <is>
          <t>LINKÖPING</t>
        </is>
      </c>
      <c r="F325" t="inlineStr">
        <is>
          <t>Övriga Aktiebolag</t>
        </is>
      </c>
      <c r="G325" t="n">
        <v>1.8</v>
      </c>
      <c r="H325" t="n">
        <v>0</v>
      </c>
      <c r="I325" t="n">
        <v>0</v>
      </c>
      <c r="J325" t="n">
        <v>0</v>
      </c>
      <c r="K325" t="n">
        <v>0</v>
      </c>
      <c r="L325" t="n">
        <v>0</v>
      </c>
      <c r="M325" t="n">
        <v>0</v>
      </c>
      <c r="N325" t="n">
        <v>0</v>
      </c>
      <c r="O325" t="n">
        <v>0</v>
      </c>
      <c r="P325" t="n">
        <v>0</v>
      </c>
      <c r="Q325" t="n">
        <v>0</v>
      </c>
      <c r="R325" s="2" t="inlineStr"/>
    </row>
    <row r="326" ht="15" customHeight="1">
      <c r="A326" t="inlineStr">
        <is>
          <t>A 52807-2025</t>
        </is>
      </c>
      <c r="B326" s="1" t="n">
        <v>45957.44837962963</v>
      </c>
      <c r="C326" s="1" t="n">
        <v>45982</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31581-2025</t>
        </is>
      </c>
      <c r="B327" s="1" t="n">
        <v>45833.6840162037</v>
      </c>
      <c r="C327" s="1" t="n">
        <v>45982</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31585-2025</t>
        </is>
      </c>
      <c r="B328" s="1" t="n">
        <v>45833.68815972222</v>
      </c>
      <c r="C328" s="1" t="n">
        <v>45982</v>
      </c>
      <c r="D328" t="inlineStr">
        <is>
          <t>ÖSTERGÖTLANDS LÄN</t>
        </is>
      </c>
      <c r="E328" t="inlineStr">
        <is>
          <t>LINKÖPING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55632-2022</t>
        </is>
      </c>
      <c r="B329" s="1" t="n">
        <v>44888</v>
      </c>
      <c r="C329" s="1" t="n">
        <v>45982</v>
      </c>
      <c r="D329" t="inlineStr">
        <is>
          <t>ÖSTERGÖTLANDS LÄN</t>
        </is>
      </c>
      <c r="E329" t="inlineStr">
        <is>
          <t>LINKÖPING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44170-2025</t>
        </is>
      </c>
      <c r="B330" s="1" t="n">
        <v>45915.59864583334</v>
      </c>
      <c r="C330" s="1" t="n">
        <v>45982</v>
      </c>
      <c r="D330" t="inlineStr">
        <is>
          <t>ÖSTERGÖTLANDS LÄN</t>
        </is>
      </c>
      <c r="E330" t="inlineStr">
        <is>
          <t>LINKÖPING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63559-2023</t>
        </is>
      </c>
      <c r="B331" s="1" t="n">
        <v>45275.35924768518</v>
      </c>
      <c r="C331" s="1" t="n">
        <v>45982</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43755-2025</t>
        </is>
      </c>
      <c r="B332" s="1" t="n">
        <v>45912.47329861111</v>
      </c>
      <c r="C332" s="1" t="n">
        <v>45982</v>
      </c>
      <c r="D332" t="inlineStr">
        <is>
          <t>ÖSTERGÖTLANDS LÄN</t>
        </is>
      </c>
      <c r="E332" t="inlineStr">
        <is>
          <t>LINKÖPING</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43758-2025</t>
        </is>
      </c>
      <c r="B333" s="1" t="n">
        <v>45912.47711805555</v>
      </c>
      <c r="C333" s="1" t="n">
        <v>45982</v>
      </c>
      <c r="D333" t="inlineStr">
        <is>
          <t>ÖSTERGÖTLANDS LÄN</t>
        </is>
      </c>
      <c r="E333" t="inlineStr">
        <is>
          <t>LINKÖPING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58114-2021</t>
        </is>
      </c>
      <c r="B334" s="1" t="n">
        <v>44487</v>
      </c>
      <c r="C334" s="1" t="n">
        <v>45982</v>
      </c>
      <c r="D334" t="inlineStr">
        <is>
          <t>ÖSTERGÖTLANDS LÄN</t>
        </is>
      </c>
      <c r="E334" t="inlineStr">
        <is>
          <t>LINKÖPING</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52802-2025</t>
        </is>
      </c>
      <c r="B335" s="1" t="n">
        <v>45957.44295138889</v>
      </c>
      <c r="C335" s="1" t="n">
        <v>45982</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43753-2025</t>
        </is>
      </c>
      <c r="B336" s="1" t="n">
        <v>45912.4715625</v>
      </c>
      <c r="C336" s="1" t="n">
        <v>45982</v>
      </c>
      <c r="D336" t="inlineStr">
        <is>
          <t>ÖSTERGÖTLANDS LÄN</t>
        </is>
      </c>
      <c r="E336" t="inlineStr">
        <is>
          <t>LINKÖPING</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52800-2025</t>
        </is>
      </c>
      <c r="B337" s="1" t="n">
        <v>45957.44152777778</v>
      </c>
      <c r="C337" s="1" t="n">
        <v>45982</v>
      </c>
      <c r="D337" t="inlineStr">
        <is>
          <t>ÖSTERGÖTLANDS LÄN</t>
        </is>
      </c>
      <c r="E337" t="inlineStr">
        <is>
          <t>LINKÖPING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55944-2024</t>
        </is>
      </c>
      <c r="B338" s="1" t="n">
        <v>45623.61640046296</v>
      </c>
      <c r="C338" s="1" t="n">
        <v>45982</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55947-2024</t>
        </is>
      </c>
      <c r="B339" s="1" t="n">
        <v>45623</v>
      </c>
      <c r="C339" s="1" t="n">
        <v>45982</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3374-2023</t>
        </is>
      </c>
      <c r="B340" s="1" t="n">
        <v>44949</v>
      </c>
      <c r="C340" s="1" t="n">
        <v>45982</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24151-2024</t>
        </is>
      </c>
      <c r="B341" s="1" t="n">
        <v>45456.67717592593</v>
      </c>
      <c r="C341" s="1" t="n">
        <v>45982</v>
      </c>
      <c r="D341" t="inlineStr">
        <is>
          <t>ÖSTERGÖTLANDS LÄN</t>
        </is>
      </c>
      <c r="E341" t="inlineStr">
        <is>
          <t>LINKÖPING</t>
        </is>
      </c>
      <c r="G341" t="n">
        <v>2.1</v>
      </c>
      <c r="H341" t="n">
        <v>0</v>
      </c>
      <c r="I341" t="n">
        <v>0</v>
      </c>
      <c r="J341" t="n">
        <v>0</v>
      </c>
      <c r="K341" t="n">
        <v>0</v>
      </c>
      <c r="L341" t="n">
        <v>0</v>
      </c>
      <c r="M341" t="n">
        <v>0</v>
      </c>
      <c r="N341" t="n">
        <v>0</v>
      </c>
      <c r="O341" t="n">
        <v>0</v>
      </c>
      <c r="P341" t="n">
        <v>0</v>
      </c>
      <c r="Q341" t="n">
        <v>0</v>
      </c>
      <c r="R341" s="2" t="inlineStr"/>
    </row>
    <row r="342" ht="15" customHeight="1">
      <c r="A342" t="inlineStr">
        <is>
          <t>A 44759-2025</t>
        </is>
      </c>
      <c r="B342" s="1" t="n">
        <v>45917.7152662037</v>
      </c>
      <c r="C342" s="1" t="n">
        <v>45982</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32723-2025</t>
        </is>
      </c>
      <c r="B343" s="1" t="n">
        <v>45838</v>
      </c>
      <c r="C343" s="1" t="n">
        <v>45982</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67123-2020</t>
        </is>
      </c>
      <c r="B344" s="1" t="n">
        <v>44180</v>
      </c>
      <c r="C344" s="1" t="n">
        <v>45982</v>
      </c>
      <c r="D344" t="inlineStr">
        <is>
          <t>ÖSTERGÖTLANDS LÄN</t>
        </is>
      </c>
      <c r="E344" t="inlineStr">
        <is>
          <t>LINKÖPING</t>
        </is>
      </c>
      <c r="F344" t="inlineStr">
        <is>
          <t>Övriga statliga verk och myndigheter</t>
        </is>
      </c>
      <c r="G344" t="n">
        <v>1.3</v>
      </c>
      <c r="H344" t="n">
        <v>0</v>
      </c>
      <c r="I344" t="n">
        <v>0</v>
      </c>
      <c r="J344" t="n">
        <v>0</v>
      </c>
      <c r="K344" t="n">
        <v>0</v>
      </c>
      <c r="L344" t="n">
        <v>0</v>
      </c>
      <c r="M344" t="n">
        <v>0</v>
      </c>
      <c r="N344" t="n">
        <v>0</v>
      </c>
      <c r="O344" t="n">
        <v>0</v>
      </c>
      <c r="P344" t="n">
        <v>0</v>
      </c>
      <c r="Q344" t="n">
        <v>0</v>
      </c>
      <c r="R344" s="2" t="inlineStr"/>
    </row>
    <row r="345" ht="15" customHeight="1">
      <c r="A345" t="inlineStr">
        <is>
          <t>A 44764-2025</t>
        </is>
      </c>
      <c r="B345" s="1" t="n">
        <v>45917.72821759259</v>
      </c>
      <c r="C345" s="1" t="n">
        <v>45982</v>
      </c>
      <c r="D345" t="inlineStr">
        <is>
          <t>ÖSTERGÖTLANDS LÄN</t>
        </is>
      </c>
      <c r="E345" t="inlineStr">
        <is>
          <t>LINKÖPING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14576-2023</t>
        </is>
      </c>
      <c r="B346" s="1" t="n">
        <v>45013</v>
      </c>
      <c r="C346" s="1" t="n">
        <v>45982</v>
      </c>
      <c r="D346" t="inlineStr">
        <is>
          <t>ÖSTERGÖTLANDS LÄN</t>
        </is>
      </c>
      <c r="E346" t="inlineStr">
        <is>
          <t>LINKÖPING</t>
        </is>
      </c>
      <c r="G346" t="n">
        <v>3.2</v>
      </c>
      <c r="H346" t="n">
        <v>0</v>
      </c>
      <c r="I346" t="n">
        <v>0</v>
      </c>
      <c r="J346" t="n">
        <v>0</v>
      </c>
      <c r="K346" t="n">
        <v>0</v>
      </c>
      <c r="L346" t="n">
        <v>0</v>
      </c>
      <c r="M346" t="n">
        <v>0</v>
      </c>
      <c r="N346" t="n">
        <v>0</v>
      </c>
      <c r="O346" t="n">
        <v>0</v>
      </c>
      <c r="P346" t="n">
        <v>0</v>
      </c>
      <c r="Q346" t="n">
        <v>0</v>
      </c>
      <c r="R346" s="2" t="inlineStr"/>
    </row>
    <row r="347" ht="15" customHeight="1">
      <c r="A347" t="inlineStr">
        <is>
          <t>A 74160-2021</t>
        </is>
      </c>
      <c r="B347" s="1" t="n">
        <v>44558</v>
      </c>
      <c r="C347" s="1" t="n">
        <v>45982</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45112-2025</t>
        </is>
      </c>
      <c r="B348" s="1" t="n">
        <v>45919</v>
      </c>
      <c r="C348" s="1" t="n">
        <v>45982</v>
      </c>
      <c r="D348" t="inlineStr">
        <is>
          <t>ÖSTERGÖTLANDS LÄN</t>
        </is>
      </c>
      <c r="E348" t="inlineStr">
        <is>
          <t>LINKÖPING</t>
        </is>
      </c>
      <c r="G348" t="n">
        <v>3.5</v>
      </c>
      <c r="H348" t="n">
        <v>0</v>
      </c>
      <c r="I348" t="n">
        <v>0</v>
      </c>
      <c r="J348" t="n">
        <v>0</v>
      </c>
      <c r="K348" t="n">
        <v>0</v>
      </c>
      <c r="L348" t="n">
        <v>0</v>
      </c>
      <c r="M348" t="n">
        <v>0</v>
      </c>
      <c r="N348" t="n">
        <v>0</v>
      </c>
      <c r="O348" t="n">
        <v>0</v>
      </c>
      <c r="P348" t="n">
        <v>0</v>
      </c>
      <c r="Q348" t="n">
        <v>0</v>
      </c>
      <c r="R348" s="2" t="inlineStr"/>
    </row>
    <row r="349" ht="15" customHeight="1">
      <c r="A349" t="inlineStr">
        <is>
          <t>A 50056-2025</t>
        </is>
      </c>
      <c r="B349" s="1" t="n">
        <v>45941</v>
      </c>
      <c r="C349" s="1" t="n">
        <v>45982</v>
      </c>
      <c r="D349" t="inlineStr">
        <is>
          <t>ÖSTERGÖTLANDS LÄN</t>
        </is>
      </c>
      <c r="E349" t="inlineStr">
        <is>
          <t>LINKÖPING</t>
        </is>
      </c>
      <c r="G349" t="n">
        <v>0.3</v>
      </c>
      <c r="H349" t="n">
        <v>0</v>
      </c>
      <c r="I349" t="n">
        <v>0</v>
      </c>
      <c r="J349" t="n">
        <v>0</v>
      </c>
      <c r="K349" t="n">
        <v>0</v>
      </c>
      <c r="L349" t="n">
        <v>0</v>
      </c>
      <c r="M349" t="n">
        <v>0</v>
      </c>
      <c r="N349" t="n">
        <v>0</v>
      </c>
      <c r="O349" t="n">
        <v>0</v>
      </c>
      <c r="P349" t="n">
        <v>0</v>
      </c>
      <c r="Q349" t="n">
        <v>0</v>
      </c>
      <c r="R349" s="2" t="inlineStr"/>
    </row>
    <row r="350" ht="15" customHeight="1">
      <c r="A350" t="inlineStr">
        <is>
          <t>A 33947-2025</t>
        </is>
      </c>
      <c r="B350" s="1" t="n">
        <v>45842.65444444444</v>
      </c>
      <c r="C350" s="1" t="n">
        <v>45982</v>
      </c>
      <c r="D350" t="inlineStr">
        <is>
          <t>ÖSTERGÖTLANDS LÄN</t>
        </is>
      </c>
      <c r="E350" t="inlineStr">
        <is>
          <t>LINKÖPING</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53529-2024</t>
        </is>
      </c>
      <c r="B351" s="1" t="n">
        <v>45614</v>
      </c>
      <c r="C351" s="1" t="n">
        <v>45982</v>
      </c>
      <c r="D351" t="inlineStr">
        <is>
          <t>ÖSTERGÖTLANDS LÄN</t>
        </is>
      </c>
      <c r="E351" t="inlineStr">
        <is>
          <t>LINKÖPING</t>
        </is>
      </c>
      <c r="G351" t="n">
        <v>6.7</v>
      </c>
      <c r="H351" t="n">
        <v>0</v>
      </c>
      <c r="I351" t="n">
        <v>0</v>
      </c>
      <c r="J351" t="n">
        <v>0</v>
      </c>
      <c r="K351" t="n">
        <v>0</v>
      </c>
      <c r="L351" t="n">
        <v>0</v>
      </c>
      <c r="M351" t="n">
        <v>0</v>
      </c>
      <c r="N351" t="n">
        <v>0</v>
      </c>
      <c r="O351" t="n">
        <v>0</v>
      </c>
      <c r="P351" t="n">
        <v>0</v>
      </c>
      <c r="Q351" t="n">
        <v>0</v>
      </c>
      <c r="R351" s="2" t="inlineStr"/>
    </row>
    <row r="352" ht="15" customHeight="1">
      <c r="A352" t="inlineStr">
        <is>
          <t>A 62012-2024</t>
        </is>
      </c>
      <c r="B352" s="1" t="n">
        <v>45655.79679398148</v>
      </c>
      <c r="C352" s="1" t="n">
        <v>45982</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20469-2025</t>
        </is>
      </c>
      <c r="B353" s="1" t="n">
        <v>45775</v>
      </c>
      <c r="C353" s="1" t="n">
        <v>45982</v>
      </c>
      <c r="D353" t="inlineStr">
        <is>
          <t>ÖSTERGÖTLANDS LÄN</t>
        </is>
      </c>
      <c r="E353" t="inlineStr">
        <is>
          <t>LINKÖPING</t>
        </is>
      </c>
      <c r="F353" t="inlineStr">
        <is>
          <t>Kyrkan</t>
        </is>
      </c>
      <c r="G353" t="n">
        <v>6.1</v>
      </c>
      <c r="H353" t="n">
        <v>0</v>
      </c>
      <c r="I353" t="n">
        <v>0</v>
      </c>
      <c r="J353" t="n">
        <v>0</v>
      </c>
      <c r="K353" t="n">
        <v>0</v>
      </c>
      <c r="L353" t="n">
        <v>0</v>
      </c>
      <c r="M353" t="n">
        <v>0</v>
      </c>
      <c r="N353" t="n">
        <v>0</v>
      </c>
      <c r="O353" t="n">
        <v>0</v>
      </c>
      <c r="P353" t="n">
        <v>0</v>
      </c>
      <c r="Q353" t="n">
        <v>0</v>
      </c>
      <c r="R353" s="2" t="inlineStr"/>
    </row>
    <row r="354" ht="15" customHeight="1">
      <c r="A354" t="inlineStr">
        <is>
          <t>A 27766-2022</t>
        </is>
      </c>
      <c r="B354" s="1" t="n">
        <v>44743.53112268518</v>
      </c>
      <c r="C354" s="1" t="n">
        <v>45982</v>
      </c>
      <c r="D354" t="inlineStr">
        <is>
          <t>ÖSTERGÖTLANDS LÄN</t>
        </is>
      </c>
      <c r="E354" t="inlineStr">
        <is>
          <t>LINKÖPING</t>
        </is>
      </c>
      <c r="G354" t="n">
        <v>2</v>
      </c>
      <c r="H354" t="n">
        <v>0</v>
      </c>
      <c r="I354" t="n">
        <v>0</v>
      </c>
      <c r="J354" t="n">
        <v>0</v>
      </c>
      <c r="K354" t="n">
        <v>0</v>
      </c>
      <c r="L354" t="n">
        <v>0</v>
      </c>
      <c r="M354" t="n">
        <v>0</v>
      </c>
      <c r="N354" t="n">
        <v>0</v>
      </c>
      <c r="O354" t="n">
        <v>0</v>
      </c>
      <c r="P354" t="n">
        <v>0</v>
      </c>
      <c r="Q354" t="n">
        <v>0</v>
      </c>
      <c r="R354" s="2" t="inlineStr"/>
    </row>
    <row r="355" ht="15" customHeight="1">
      <c r="A355" t="inlineStr">
        <is>
          <t>A 53641-2023</t>
        </is>
      </c>
      <c r="B355" s="1" t="n">
        <v>45230</v>
      </c>
      <c r="C355" s="1" t="n">
        <v>45982</v>
      </c>
      <c r="D355" t="inlineStr">
        <is>
          <t>ÖSTERGÖTLANDS LÄN</t>
        </is>
      </c>
      <c r="E355" t="inlineStr">
        <is>
          <t>LINKÖPING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45634-2025</t>
        </is>
      </c>
      <c r="B356" s="1" t="n">
        <v>45922.85089120371</v>
      </c>
      <c r="C356" s="1" t="n">
        <v>45982</v>
      </c>
      <c r="D356" t="inlineStr">
        <is>
          <t>ÖSTERGÖTLANDS LÄN</t>
        </is>
      </c>
      <c r="E356" t="inlineStr">
        <is>
          <t>LINKÖPING</t>
        </is>
      </c>
      <c r="F356" t="inlineStr">
        <is>
          <t>Övriga Aktiebolag</t>
        </is>
      </c>
      <c r="G356" t="n">
        <v>0.3</v>
      </c>
      <c r="H356" t="n">
        <v>0</v>
      </c>
      <c r="I356" t="n">
        <v>0</v>
      </c>
      <c r="J356" t="n">
        <v>0</v>
      </c>
      <c r="K356" t="n">
        <v>0</v>
      </c>
      <c r="L356" t="n">
        <v>0</v>
      </c>
      <c r="M356" t="n">
        <v>0</v>
      </c>
      <c r="N356" t="n">
        <v>0</v>
      </c>
      <c r="O356" t="n">
        <v>0</v>
      </c>
      <c r="P356" t="n">
        <v>0</v>
      </c>
      <c r="Q356" t="n">
        <v>0</v>
      </c>
      <c r="R356" s="2" t="inlineStr"/>
    </row>
    <row r="357" ht="15" customHeight="1">
      <c r="A357" t="inlineStr">
        <is>
          <t>A 33000-2023</t>
        </is>
      </c>
      <c r="B357" s="1" t="n">
        <v>45125</v>
      </c>
      <c r="C357" s="1" t="n">
        <v>45982</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52892-2024</t>
        </is>
      </c>
      <c r="B358" s="1" t="n">
        <v>45610</v>
      </c>
      <c r="C358" s="1" t="n">
        <v>45982</v>
      </c>
      <c r="D358" t="inlineStr">
        <is>
          <t>ÖSTERGÖTLANDS LÄN</t>
        </is>
      </c>
      <c r="E358" t="inlineStr">
        <is>
          <t>LINKÖPING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33800-2023</t>
        </is>
      </c>
      <c r="B359" s="1" t="n">
        <v>45121</v>
      </c>
      <c r="C359" s="1" t="n">
        <v>45982</v>
      </c>
      <c r="D359" t="inlineStr">
        <is>
          <t>ÖSTERGÖTLANDS LÄN</t>
        </is>
      </c>
      <c r="E359" t="inlineStr">
        <is>
          <t>LINKÖPING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26007-2025</t>
        </is>
      </c>
      <c r="B360" s="1" t="n">
        <v>45804.67081018518</v>
      </c>
      <c r="C360" s="1" t="n">
        <v>45982</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35174-2025</t>
        </is>
      </c>
      <c r="B361" s="1" t="n">
        <v>45852.90648148148</v>
      </c>
      <c r="C361" s="1" t="n">
        <v>45982</v>
      </c>
      <c r="D361" t="inlineStr">
        <is>
          <t>ÖSTERGÖTLANDS LÄN</t>
        </is>
      </c>
      <c r="E361" t="inlineStr">
        <is>
          <t>LINKÖPING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30521-2024</t>
        </is>
      </c>
      <c r="B362" s="1" t="n">
        <v>45492</v>
      </c>
      <c r="C362" s="1" t="n">
        <v>45982</v>
      </c>
      <c r="D362" t="inlineStr">
        <is>
          <t>ÖSTERGÖTLANDS LÄN</t>
        </is>
      </c>
      <c r="E362" t="inlineStr">
        <is>
          <t>LINKÖPING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51191-2022</t>
        </is>
      </c>
      <c r="B363" s="1" t="n">
        <v>44865</v>
      </c>
      <c r="C363" s="1" t="n">
        <v>45982</v>
      </c>
      <c r="D363" t="inlineStr">
        <is>
          <t>ÖSTERGÖTLANDS LÄN</t>
        </is>
      </c>
      <c r="E363" t="inlineStr">
        <is>
          <t>LINKÖPING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47991-2023</t>
        </is>
      </c>
      <c r="B364" s="1" t="n">
        <v>45204.62655092592</v>
      </c>
      <c r="C364" s="1" t="n">
        <v>45982</v>
      </c>
      <c r="D364" t="inlineStr">
        <is>
          <t>ÖSTERGÖTLANDS LÄN</t>
        </is>
      </c>
      <c r="E364" t="inlineStr">
        <is>
          <t>LINKÖPING</t>
        </is>
      </c>
      <c r="F364" t="inlineStr">
        <is>
          <t>Allmännings- och besparingsskogar</t>
        </is>
      </c>
      <c r="G364" t="n">
        <v>7.3</v>
      </c>
      <c r="H364" t="n">
        <v>0</v>
      </c>
      <c r="I364" t="n">
        <v>0</v>
      </c>
      <c r="J364" t="n">
        <v>0</v>
      </c>
      <c r="K364" t="n">
        <v>0</v>
      </c>
      <c r="L364" t="n">
        <v>0</v>
      </c>
      <c r="M364" t="n">
        <v>0</v>
      </c>
      <c r="N364" t="n">
        <v>0</v>
      </c>
      <c r="O364" t="n">
        <v>0</v>
      </c>
      <c r="P364" t="n">
        <v>0</v>
      </c>
      <c r="Q364" t="n">
        <v>0</v>
      </c>
      <c r="R364" s="2" t="inlineStr"/>
    </row>
    <row r="365" ht="15" customHeight="1">
      <c r="A365" t="inlineStr">
        <is>
          <t>A 35179-2025</t>
        </is>
      </c>
      <c r="B365" s="1" t="n">
        <v>45852.93737268518</v>
      </c>
      <c r="C365" s="1" t="n">
        <v>45982</v>
      </c>
      <c r="D365" t="inlineStr">
        <is>
          <t>ÖSTERGÖTLANDS LÄN</t>
        </is>
      </c>
      <c r="E365" t="inlineStr">
        <is>
          <t>LINKÖPING</t>
        </is>
      </c>
      <c r="G365" t="n">
        <v>2.2</v>
      </c>
      <c r="H365" t="n">
        <v>0</v>
      </c>
      <c r="I365" t="n">
        <v>0</v>
      </c>
      <c r="J365" t="n">
        <v>0</v>
      </c>
      <c r="K365" t="n">
        <v>0</v>
      </c>
      <c r="L365" t="n">
        <v>0</v>
      </c>
      <c r="M365" t="n">
        <v>0</v>
      </c>
      <c r="N365" t="n">
        <v>0</v>
      </c>
      <c r="O365" t="n">
        <v>0</v>
      </c>
      <c r="P365" t="n">
        <v>0</v>
      </c>
      <c r="Q365" t="n">
        <v>0</v>
      </c>
      <c r="R365" s="2" t="inlineStr"/>
    </row>
    <row r="366" ht="15" customHeight="1">
      <c r="A366" t="inlineStr">
        <is>
          <t>A 35180-2025</t>
        </is>
      </c>
      <c r="B366" s="1" t="n">
        <v>45852.9413425926</v>
      </c>
      <c r="C366" s="1" t="n">
        <v>45982</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35178-2025</t>
        </is>
      </c>
      <c r="B367" s="1" t="n">
        <v>45852.91939814815</v>
      </c>
      <c r="C367" s="1" t="n">
        <v>45982</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12289-2025</t>
        </is>
      </c>
      <c r="B368" s="1" t="n">
        <v>45729</v>
      </c>
      <c r="C368" s="1" t="n">
        <v>45982</v>
      </c>
      <c r="D368" t="inlineStr">
        <is>
          <t>ÖSTERGÖTLANDS LÄN</t>
        </is>
      </c>
      <c r="E368" t="inlineStr">
        <is>
          <t>LINKÖPING</t>
        </is>
      </c>
      <c r="F368" t="inlineStr">
        <is>
          <t>Övriga statliga verk och myndigheter</t>
        </is>
      </c>
      <c r="G368" t="n">
        <v>6.5</v>
      </c>
      <c r="H368" t="n">
        <v>0</v>
      </c>
      <c r="I368" t="n">
        <v>0</v>
      </c>
      <c r="J368" t="n">
        <v>0</v>
      </c>
      <c r="K368" t="n">
        <v>0</v>
      </c>
      <c r="L368" t="n">
        <v>0</v>
      </c>
      <c r="M368" t="n">
        <v>0</v>
      </c>
      <c r="N368" t="n">
        <v>0</v>
      </c>
      <c r="O368" t="n">
        <v>0</v>
      </c>
      <c r="P368" t="n">
        <v>0</v>
      </c>
      <c r="Q368" t="n">
        <v>0</v>
      </c>
      <c r="R368" s="2" t="inlineStr"/>
    </row>
    <row r="369" ht="15" customHeight="1">
      <c r="A369" t="inlineStr">
        <is>
          <t>A 9434-2024</t>
        </is>
      </c>
      <c r="B369" s="1" t="n">
        <v>45359</v>
      </c>
      <c r="C369" s="1" t="n">
        <v>45982</v>
      </c>
      <c r="D369" t="inlineStr">
        <is>
          <t>ÖSTERGÖTLANDS LÄN</t>
        </is>
      </c>
      <c r="E369" t="inlineStr">
        <is>
          <t>LINKÖPING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42054-2022</t>
        </is>
      </c>
      <c r="B370" s="1" t="n">
        <v>44830</v>
      </c>
      <c r="C370" s="1" t="n">
        <v>45982</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50182-2023</t>
        </is>
      </c>
      <c r="B371" s="1" t="n">
        <v>45208</v>
      </c>
      <c r="C371" s="1" t="n">
        <v>45982</v>
      </c>
      <c r="D371" t="inlineStr">
        <is>
          <t>ÖSTERGÖTLANDS LÄN</t>
        </is>
      </c>
      <c r="E371" t="inlineStr">
        <is>
          <t>LINKÖPING</t>
        </is>
      </c>
      <c r="G371" t="n">
        <v>2.5</v>
      </c>
      <c r="H371" t="n">
        <v>0</v>
      </c>
      <c r="I371" t="n">
        <v>0</v>
      </c>
      <c r="J371" t="n">
        <v>0</v>
      </c>
      <c r="K371" t="n">
        <v>0</v>
      </c>
      <c r="L371" t="n">
        <v>0</v>
      </c>
      <c r="M371" t="n">
        <v>0</v>
      </c>
      <c r="N371" t="n">
        <v>0</v>
      </c>
      <c r="O371" t="n">
        <v>0</v>
      </c>
      <c r="P371" t="n">
        <v>0</v>
      </c>
      <c r="Q371" t="n">
        <v>0</v>
      </c>
      <c r="R371" s="2" t="inlineStr"/>
    </row>
    <row r="372" ht="15" customHeight="1">
      <c r="A372" t="inlineStr">
        <is>
          <t>A 54333-2025</t>
        </is>
      </c>
      <c r="B372" s="1" t="n">
        <v>45965.35090277778</v>
      </c>
      <c r="C372" s="1" t="n">
        <v>45982</v>
      </c>
      <c r="D372" t="inlineStr">
        <is>
          <t>ÖSTERGÖTLANDS LÄN</t>
        </is>
      </c>
      <c r="E372" t="inlineStr">
        <is>
          <t>LINKÖPING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45792-2025</t>
        </is>
      </c>
      <c r="B373" s="1" t="n">
        <v>45923.56998842592</v>
      </c>
      <c r="C373" s="1" t="n">
        <v>45982</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45804-2025</t>
        </is>
      </c>
      <c r="B374" s="1" t="n">
        <v>45923.5819675926</v>
      </c>
      <c r="C374" s="1" t="n">
        <v>45982</v>
      </c>
      <c r="D374" t="inlineStr">
        <is>
          <t>ÖSTERGÖTLANDS LÄN</t>
        </is>
      </c>
      <c r="E374" t="inlineStr">
        <is>
          <t>LINKÖPING</t>
        </is>
      </c>
      <c r="G374" t="n">
        <v>3.3</v>
      </c>
      <c r="H374" t="n">
        <v>0</v>
      </c>
      <c r="I374" t="n">
        <v>0</v>
      </c>
      <c r="J374" t="n">
        <v>0</v>
      </c>
      <c r="K374" t="n">
        <v>0</v>
      </c>
      <c r="L374" t="n">
        <v>0</v>
      </c>
      <c r="M374" t="n">
        <v>0</v>
      </c>
      <c r="N374" t="n">
        <v>0</v>
      </c>
      <c r="O374" t="n">
        <v>0</v>
      </c>
      <c r="P374" t="n">
        <v>0</v>
      </c>
      <c r="Q374" t="n">
        <v>0</v>
      </c>
      <c r="R374" s="2" t="inlineStr"/>
    </row>
    <row r="375" ht="15" customHeight="1">
      <c r="A375" t="inlineStr">
        <is>
          <t>A 35781-2023</t>
        </is>
      </c>
      <c r="B375" s="1" t="n">
        <v>45147</v>
      </c>
      <c r="C375" s="1" t="n">
        <v>45982</v>
      </c>
      <c r="D375" t="inlineStr">
        <is>
          <t>ÖSTERGÖTLANDS LÄN</t>
        </is>
      </c>
      <c r="E375" t="inlineStr">
        <is>
          <t>LINKÖPING</t>
        </is>
      </c>
      <c r="G375" t="n">
        <v>1.6</v>
      </c>
      <c r="H375" t="n">
        <v>0</v>
      </c>
      <c r="I375" t="n">
        <v>0</v>
      </c>
      <c r="J375" t="n">
        <v>0</v>
      </c>
      <c r="K375" t="n">
        <v>0</v>
      </c>
      <c r="L375" t="n">
        <v>0</v>
      </c>
      <c r="M375" t="n">
        <v>0</v>
      </c>
      <c r="N375" t="n">
        <v>0</v>
      </c>
      <c r="O375" t="n">
        <v>0</v>
      </c>
      <c r="P375" t="n">
        <v>0</v>
      </c>
      <c r="Q375" t="n">
        <v>0</v>
      </c>
      <c r="R375" s="2" t="inlineStr"/>
    </row>
    <row r="376" ht="15" customHeight="1">
      <c r="A376" t="inlineStr">
        <is>
          <t>A 46426-2025</t>
        </is>
      </c>
      <c r="B376" s="1" t="n">
        <v>45925.6012962963</v>
      </c>
      <c r="C376" s="1" t="n">
        <v>45982</v>
      </c>
      <c r="D376" t="inlineStr">
        <is>
          <t>ÖSTERGÖTLANDS LÄN</t>
        </is>
      </c>
      <c r="E376" t="inlineStr">
        <is>
          <t>LINKÖPING</t>
        </is>
      </c>
      <c r="G376" t="n">
        <v>4.4</v>
      </c>
      <c r="H376" t="n">
        <v>0</v>
      </c>
      <c r="I376" t="n">
        <v>0</v>
      </c>
      <c r="J376" t="n">
        <v>0</v>
      </c>
      <c r="K376" t="n">
        <v>0</v>
      </c>
      <c r="L376" t="n">
        <v>0</v>
      </c>
      <c r="M376" t="n">
        <v>0</v>
      </c>
      <c r="N376" t="n">
        <v>0</v>
      </c>
      <c r="O376" t="n">
        <v>0</v>
      </c>
      <c r="P376" t="n">
        <v>0</v>
      </c>
      <c r="Q376" t="n">
        <v>0</v>
      </c>
      <c r="R376" s="2" t="inlineStr"/>
    </row>
    <row r="377" ht="15" customHeight="1">
      <c r="A377" t="inlineStr">
        <is>
          <t>A 35757-2025</t>
        </is>
      </c>
      <c r="B377" s="1" t="n">
        <v>45860.59876157407</v>
      </c>
      <c r="C377" s="1" t="n">
        <v>45982</v>
      </c>
      <c r="D377" t="inlineStr">
        <is>
          <t>ÖSTERGÖTLANDS LÄN</t>
        </is>
      </c>
      <c r="E377" t="inlineStr">
        <is>
          <t>LINKÖPING</t>
        </is>
      </c>
      <c r="G377" t="n">
        <v>5.7</v>
      </c>
      <c r="H377" t="n">
        <v>0</v>
      </c>
      <c r="I377" t="n">
        <v>0</v>
      </c>
      <c r="J377" t="n">
        <v>0</v>
      </c>
      <c r="K377" t="n">
        <v>0</v>
      </c>
      <c r="L377" t="n">
        <v>0</v>
      </c>
      <c r="M377" t="n">
        <v>0</v>
      </c>
      <c r="N377" t="n">
        <v>0</v>
      </c>
      <c r="O377" t="n">
        <v>0</v>
      </c>
      <c r="P377" t="n">
        <v>0</v>
      </c>
      <c r="Q377" t="n">
        <v>0</v>
      </c>
      <c r="R377" s="2" t="inlineStr"/>
    </row>
    <row r="378" ht="15" customHeight="1">
      <c r="A378" t="inlineStr">
        <is>
          <t>A 35745-2025</t>
        </is>
      </c>
      <c r="B378" s="1" t="n">
        <v>45860.54739583333</v>
      </c>
      <c r="C378" s="1" t="n">
        <v>45982</v>
      </c>
      <c r="D378" t="inlineStr">
        <is>
          <t>ÖSTERGÖTLANDS LÄN</t>
        </is>
      </c>
      <c r="E378" t="inlineStr">
        <is>
          <t>LINKÖPING</t>
        </is>
      </c>
      <c r="G378" t="n">
        <v>4.4</v>
      </c>
      <c r="H378" t="n">
        <v>0</v>
      </c>
      <c r="I378" t="n">
        <v>0</v>
      </c>
      <c r="J378" t="n">
        <v>0</v>
      </c>
      <c r="K378" t="n">
        <v>0</v>
      </c>
      <c r="L378" t="n">
        <v>0</v>
      </c>
      <c r="M378" t="n">
        <v>0</v>
      </c>
      <c r="N378" t="n">
        <v>0</v>
      </c>
      <c r="O378" t="n">
        <v>0</v>
      </c>
      <c r="P378" t="n">
        <v>0</v>
      </c>
      <c r="Q378" t="n">
        <v>0</v>
      </c>
      <c r="R378" s="2" t="inlineStr"/>
    </row>
    <row r="379" ht="15" customHeight="1">
      <c r="A379" t="inlineStr">
        <is>
          <t>A 35747-2025</t>
        </is>
      </c>
      <c r="B379" s="1" t="n">
        <v>45860.56385416666</v>
      </c>
      <c r="C379" s="1" t="n">
        <v>45982</v>
      </c>
      <c r="D379" t="inlineStr">
        <is>
          <t>ÖSTERGÖTLANDS LÄN</t>
        </is>
      </c>
      <c r="E379" t="inlineStr">
        <is>
          <t>LINKÖPING</t>
        </is>
      </c>
      <c r="G379" t="n">
        <v>2.4</v>
      </c>
      <c r="H379" t="n">
        <v>0</v>
      </c>
      <c r="I379" t="n">
        <v>0</v>
      </c>
      <c r="J379" t="n">
        <v>0</v>
      </c>
      <c r="K379" t="n">
        <v>0</v>
      </c>
      <c r="L379" t="n">
        <v>0</v>
      </c>
      <c r="M379" t="n">
        <v>0</v>
      </c>
      <c r="N379" t="n">
        <v>0</v>
      </c>
      <c r="O379" t="n">
        <v>0</v>
      </c>
      <c r="P379" t="n">
        <v>0</v>
      </c>
      <c r="Q379" t="n">
        <v>0</v>
      </c>
      <c r="R379" s="2" t="inlineStr"/>
    </row>
    <row r="380" ht="15" customHeight="1">
      <c r="A380" t="inlineStr">
        <is>
          <t>A 6387-2022</t>
        </is>
      </c>
      <c r="B380" s="1" t="n">
        <v>44600</v>
      </c>
      <c r="C380" s="1" t="n">
        <v>45982</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48707-2023</t>
        </is>
      </c>
      <c r="B381" s="1" t="n">
        <v>45202</v>
      </c>
      <c r="C381" s="1" t="n">
        <v>45982</v>
      </c>
      <c r="D381" t="inlineStr">
        <is>
          <t>ÖSTERGÖTLANDS LÄN</t>
        </is>
      </c>
      <c r="E381" t="inlineStr">
        <is>
          <t>LINKÖPING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35759-2025</t>
        </is>
      </c>
      <c r="B382" s="1" t="n">
        <v>45860</v>
      </c>
      <c r="C382" s="1" t="n">
        <v>45982</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46428-2025</t>
        </is>
      </c>
      <c r="B383" s="1" t="n">
        <v>45925.60758101852</v>
      </c>
      <c r="C383" s="1" t="n">
        <v>45982</v>
      </c>
      <c r="D383" t="inlineStr">
        <is>
          <t>ÖSTERGÖTLANDS LÄN</t>
        </is>
      </c>
      <c r="E383" t="inlineStr">
        <is>
          <t>LINKÖPING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46377-2025</t>
        </is>
      </c>
      <c r="B384" s="1" t="n">
        <v>45925.51773148148</v>
      </c>
      <c r="C384" s="1" t="n">
        <v>45982</v>
      </c>
      <c r="D384" t="inlineStr">
        <is>
          <t>ÖSTERGÖTLANDS LÄN</t>
        </is>
      </c>
      <c r="E384" t="inlineStr">
        <is>
          <t>LINKÖPING</t>
        </is>
      </c>
      <c r="G384" t="n">
        <v>3.1</v>
      </c>
      <c r="H384" t="n">
        <v>0</v>
      </c>
      <c r="I384" t="n">
        <v>0</v>
      </c>
      <c r="J384" t="n">
        <v>0</v>
      </c>
      <c r="K384" t="n">
        <v>0</v>
      </c>
      <c r="L384" t="n">
        <v>0</v>
      </c>
      <c r="M384" t="n">
        <v>0</v>
      </c>
      <c r="N384" t="n">
        <v>0</v>
      </c>
      <c r="O384" t="n">
        <v>0</v>
      </c>
      <c r="P384" t="n">
        <v>0</v>
      </c>
      <c r="Q384" t="n">
        <v>0</v>
      </c>
      <c r="R384" s="2" t="inlineStr"/>
    </row>
    <row r="385" ht="15" customHeight="1">
      <c r="A385" t="inlineStr">
        <is>
          <t>A 55132-2025</t>
        </is>
      </c>
      <c r="B385" s="1" t="n">
        <v>45968.41912037037</v>
      </c>
      <c r="C385" s="1" t="n">
        <v>45982</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12089-2025</t>
        </is>
      </c>
      <c r="B386" s="1" t="n">
        <v>45729</v>
      </c>
      <c r="C386" s="1" t="n">
        <v>45982</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15658-2023</t>
        </is>
      </c>
      <c r="B387" s="1" t="n">
        <v>45021.41194444444</v>
      </c>
      <c r="C387" s="1" t="n">
        <v>45982</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38886-2024</t>
        </is>
      </c>
      <c r="B388" s="1" t="n">
        <v>45547.66443287037</v>
      </c>
      <c r="C388" s="1" t="n">
        <v>45982</v>
      </c>
      <c r="D388" t="inlineStr">
        <is>
          <t>ÖSTERGÖTLANDS LÄN</t>
        </is>
      </c>
      <c r="E388" t="inlineStr">
        <is>
          <t>LINKÖPING</t>
        </is>
      </c>
      <c r="G388" t="n">
        <v>5.3</v>
      </c>
      <c r="H388" t="n">
        <v>0</v>
      </c>
      <c r="I388" t="n">
        <v>0</v>
      </c>
      <c r="J388" t="n">
        <v>0</v>
      </c>
      <c r="K388" t="n">
        <v>0</v>
      </c>
      <c r="L388" t="n">
        <v>0</v>
      </c>
      <c r="M388" t="n">
        <v>0</v>
      </c>
      <c r="N388" t="n">
        <v>0</v>
      </c>
      <c r="O388" t="n">
        <v>0</v>
      </c>
      <c r="P388" t="n">
        <v>0</v>
      </c>
      <c r="Q388" t="n">
        <v>0</v>
      </c>
      <c r="R388" s="2" t="inlineStr"/>
    </row>
    <row r="389" ht="15" customHeight="1">
      <c r="A389" t="inlineStr">
        <is>
          <t>A 51583-2024</t>
        </is>
      </c>
      <c r="B389" s="1" t="n">
        <v>45604.6397337963</v>
      </c>
      <c r="C389" s="1" t="n">
        <v>45982</v>
      </c>
      <c r="D389" t="inlineStr">
        <is>
          <t>ÖSTERGÖTLANDS LÄN</t>
        </is>
      </c>
      <c r="E389" t="inlineStr">
        <is>
          <t>LINKÖPING</t>
        </is>
      </c>
      <c r="F389" t="inlineStr">
        <is>
          <t>Övriga Aktiebolag</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55102-2025</t>
        </is>
      </c>
      <c r="B390" s="1" t="n">
        <v>45968.35410879629</v>
      </c>
      <c r="C390" s="1" t="n">
        <v>45982</v>
      </c>
      <c r="D390" t="inlineStr">
        <is>
          <t>ÖSTERGÖTLANDS LÄN</t>
        </is>
      </c>
      <c r="E390" t="inlineStr">
        <is>
          <t>LINKÖPING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55109-2025</t>
        </is>
      </c>
      <c r="B391" s="1" t="n">
        <v>45968.37731481482</v>
      </c>
      <c r="C391" s="1" t="n">
        <v>45982</v>
      </c>
      <c r="D391" t="inlineStr">
        <is>
          <t>ÖSTERGÖTLANDS LÄN</t>
        </is>
      </c>
      <c r="E391" t="inlineStr">
        <is>
          <t>LINKÖPING</t>
        </is>
      </c>
      <c r="G391" t="n">
        <v>3.2</v>
      </c>
      <c r="H391" t="n">
        <v>0</v>
      </c>
      <c r="I391" t="n">
        <v>0</v>
      </c>
      <c r="J391" t="n">
        <v>0</v>
      </c>
      <c r="K391" t="n">
        <v>0</v>
      </c>
      <c r="L391" t="n">
        <v>0</v>
      </c>
      <c r="M391" t="n">
        <v>0</v>
      </c>
      <c r="N391" t="n">
        <v>0</v>
      </c>
      <c r="O391" t="n">
        <v>0</v>
      </c>
      <c r="P391" t="n">
        <v>0</v>
      </c>
      <c r="Q391" t="n">
        <v>0</v>
      </c>
      <c r="R391" s="2" t="inlineStr"/>
    </row>
    <row r="392" ht="15" customHeight="1">
      <c r="A392" t="inlineStr">
        <is>
          <t>A 64694-2023</t>
        </is>
      </c>
      <c r="B392" s="1" t="n">
        <v>45281</v>
      </c>
      <c r="C392" s="1" t="n">
        <v>45982</v>
      </c>
      <c r="D392" t="inlineStr">
        <is>
          <t>ÖSTERGÖTLANDS LÄN</t>
        </is>
      </c>
      <c r="E392" t="inlineStr">
        <is>
          <t>LINKÖPING</t>
        </is>
      </c>
      <c r="F392" t="inlineStr">
        <is>
          <t>Övriga statliga verk och myndigheter</t>
        </is>
      </c>
      <c r="G392" t="n">
        <v>4.9</v>
      </c>
      <c r="H392" t="n">
        <v>0</v>
      </c>
      <c r="I392" t="n">
        <v>0</v>
      </c>
      <c r="J392" t="n">
        <v>0</v>
      </c>
      <c r="K392" t="n">
        <v>0</v>
      </c>
      <c r="L392" t="n">
        <v>0</v>
      </c>
      <c r="M392" t="n">
        <v>0</v>
      </c>
      <c r="N392" t="n">
        <v>0</v>
      </c>
      <c r="O392" t="n">
        <v>0</v>
      </c>
      <c r="P392" t="n">
        <v>0</v>
      </c>
      <c r="Q392" t="n">
        <v>0</v>
      </c>
      <c r="R392" s="2" t="inlineStr"/>
    </row>
    <row r="393" ht="15" customHeight="1">
      <c r="A393" t="inlineStr">
        <is>
          <t>A 32602-2022</t>
        </is>
      </c>
      <c r="B393" s="1" t="n">
        <v>44783.43192129629</v>
      </c>
      <c r="C393" s="1" t="n">
        <v>45982</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55165-2025</t>
        </is>
      </c>
      <c r="B394" s="1" t="n">
        <v>45968.48194444444</v>
      </c>
      <c r="C394" s="1" t="n">
        <v>45982</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46847-2025</t>
        </is>
      </c>
      <c r="B395" s="1" t="n">
        <v>45928.69971064815</v>
      </c>
      <c r="C395" s="1" t="n">
        <v>45982</v>
      </c>
      <c r="D395" t="inlineStr">
        <is>
          <t>ÖSTERGÖTLANDS LÄN</t>
        </is>
      </c>
      <c r="E395" t="inlineStr">
        <is>
          <t>LINKÖPING</t>
        </is>
      </c>
      <c r="G395" t="n">
        <v>4.6</v>
      </c>
      <c r="H395" t="n">
        <v>0</v>
      </c>
      <c r="I395" t="n">
        <v>0</v>
      </c>
      <c r="J395" t="n">
        <v>0</v>
      </c>
      <c r="K395" t="n">
        <v>0</v>
      </c>
      <c r="L395" t="n">
        <v>0</v>
      </c>
      <c r="M395" t="n">
        <v>0</v>
      </c>
      <c r="N395" t="n">
        <v>0</v>
      </c>
      <c r="O395" t="n">
        <v>0</v>
      </c>
      <c r="P395" t="n">
        <v>0</v>
      </c>
      <c r="Q395" t="n">
        <v>0</v>
      </c>
      <c r="R395" s="2" t="inlineStr"/>
    </row>
    <row r="396" ht="15" customHeight="1">
      <c r="A396" t="inlineStr">
        <is>
          <t>A 62321-2022</t>
        </is>
      </c>
      <c r="B396" s="1" t="n">
        <v>44916</v>
      </c>
      <c r="C396" s="1" t="n">
        <v>45982</v>
      </c>
      <c r="D396" t="inlineStr">
        <is>
          <t>ÖSTERGÖTLANDS LÄN</t>
        </is>
      </c>
      <c r="E396" t="inlineStr">
        <is>
          <t>LINKÖPING</t>
        </is>
      </c>
      <c r="F396" t="inlineStr">
        <is>
          <t>Kommuner</t>
        </is>
      </c>
      <c r="G396" t="n">
        <v>5.3</v>
      </c>
      <c r="H396" t="n">
        <v>0</v>
      </c>
      <c r="I396" t="n">
        <v>0</v>
      </c>
      <c r="J396" t="n">
        <v>0</v>
      </c>
      <c r="K396" t="n">
        <v>0</v>
      </c>
      <c r="L396" t="n">
        <v>0</v>
      </c>
      <c r="M396" t="n">
        <v>0</v>
      </c>
      <c r="N396" t="n">
        <v>0</v>
      </c>
      <c r="O396" t="n">
        <v>0</v>
      </c>
      <c r="P396" t="n">
        <v>0</v>
      </c>
      <c r="Q396" t="n">
        <v>0</v>
      </c>
      <c r="R396" s="2" t="inlineStr"/>
    </row>
    <row r="397" ht="15" customHeight="1">
      <c r="A397" t="inlineStr">
        <is>
          <t>A 56113-2025</t>
        </is>
      </c>
      <c r="B397" s="1" t="n">
        <v>45973.73924768518</v>
      </c>
      <c r="C397" s="1" t="n">
        <v>45982</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47233-2025</t>
        </is>
      </c>
      <c r="B398" s="1" t="n">
        <v>45930.40612268518</v>
      </c>
      <c r="C398" s="1" t="n">
        <v>45982</v>
      </c>
      <c r="D398" t="inlineStr">
        <is>
          <t>ÖSTERGÖTLANDS LÄN</t>
        </is>
      </c>
      <c r="E398" t="inlineStr">
        <is>
          <t>LINKÖPING</t>
        </is>
      </c>
      <c r="G398" t="n">
        <v>4.3</v>
      </c>
      <c r="H398" t="n">
        <v>0</v>
      </c>
      <c r="I398" t="n">
        <v>0</v>
      </c>
      <c r="J398" t="n">
        <v>0</v>
      </c>
      <c r="K398" t="n">
        <v>0</v>
      </c>
      <c r="L398" t="n">
        <v>0</v>
      </c>
      <c r="M398" t="n">
        <v>0</v>
      </c>
      <c r="N398" t="n">
        <v>0</v>
      </c>
      <c r="O398" t="n">
        <v>0</v>
      </c>
      <c r="P398" t="n">
        <v>0</v>
      </c>
      <c r="Q398" t="n">
        <v>0</v>
      </c>
      <c r="R398" s="2" t="inlineStr"/>
    </row>
    <row r="399" ht="15" customHeight="1">
      <c r="A399" t="inlineStr">
        <is>
          <t>A 37057-2025</t>
        </is>
      </c>
      <c r="B399" s="1" t="n">
        <v>45875.37489583333</v>
      </c>
      <c r="C399" s="1" t="n">
        <v>45982</v>
      </c>
      <c r="D399" t="inlineStr">
        <is>
          <t>ÖSTERGÖTLANDS LÄN</t>
        </is>
      </c>
      <c r="E399" t="inlineStr">
        <is>
          <t>LINKÖPING</t>
        </is>
      </c>
      <c r="G399" t="n">
        <v>3.3</v>
      </c>
      <c r="H399" t="n">
        <v>0</v>
      </c>
      <c r="I399" t="n">
        <v>0</v>
      </c>
      <c r="J399" t="n">
        <v>0</v>
      </c>
      <c r="K399" t="n">
        <v>0</v>
      </c>
      <c r="L399" t="n">
        <v>0</v>
      </c>
      <c r="M399" t="n">
        <v>0</v>
      </c>
      <c r="N399" t="n">
        <v>0</v>
      </c>
      <c r="O399" t="n">
        <v>0</v>
      </c>
      <c r="P399" t="n">
        <v>0</v>
      </c>
      <c r="Q399" t="n">
        <v>0</v>
      </c>
      <c r="R399" s="2" t="inlineStr"/>
    </row>
    <row r="400" ht="15" customHeight="1">
      <c r="A400" t="inlineStr">
        <is>
          <t>A 1084-2023</t>
        </is>
      </c>
      <c r="B400" s="1" t="n">
        <v>44929</v>
      </c>
      <c r="C400" s="1" t="n">
        <v>45982</v>
      </c>
      <c r="D400" t="inlineStr">
        <is>
          <t>ÖSTERGÖTLANDS LÄN</t>
        </is>
      </c>
      <c r="E400" t="inlineStr">
        <is>
          <t>LINKÖPING</t>
        </is>
      </c>
      <c r="G400" t="n">
        <v>10.4</v>
      </c>
      <c r="H400" t="n">
        <v>0</v>
      </c>
      <c r="I400" t="n">
        <v>0</v>
      </c>
      <c r="J400" t="n">
        <v>0</v>
      </c>
      <c r="K400" t="n">
        <v>0</v>
      </c>
      <c r="L400" t="n">
        <v>0</v>
      </c>
      <c r="M400" t="n">
        <v>0</v>
      </c>
      <c r="N400" t="n">
        <v>0</v>
      </c>
      <c r="O400" t="n">
        <v>0</v>
      </c>
      <c r="P400" t="n">
        <v>0</v>
      </c>
      <c r="Q400" t="n">
        <v>0</v>
      </c>
      <c r="R400" s="2" t="inlineStr"/>
    </row>
    <row r="401" ht="15" customHeight="1">
      <c r="A401" t="inlineStr">
        <is>
          <t>A 47606-2025</t>
        </is>
      </c>
      <c r="B401" s="1" t="n">
        <v>45931.46402777778</v>
      </c>
      <c r="C401" s="1" t="n">
        <v>45982</v>
      </c>
      <c r="D401" t="inlineStr">
        <is>
          <t>ÖSTERGÖTLANDS LÄN</t>
        </is>
      </c>
      <c r="E401" t="inlineStr">
        <is>
          <t>LINKÖPING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267-2023</t>
        </is>
      </c>
      <c r="B402" s="1" t="n">
        <v>44928.80907407407</v>
      </c>
      <c r="C402" s="1" t="n">
        <v>45982</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940-2023</t>
        </is>
      </c>
      <c r="B403" s="1" t="n">
        <v>44933</v>
      </c>
      <c r="C403" s="1" t="n">
        <v>45982</v>
      </c>
      <c r="D403" t="inlineStr">
        <is>
          <t>ÖSTERGÖTLANDS LÄN</t>
        </is>
      </c>
      <c r="E403" t="inlineStr">
        <is>
          <t>LINKÖPING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55683-2025</t>
        </is>
      </c>
      <c r="B404" s="1" t="n">
        <v>45972.4255324074</v>
      </c>
      <c r="C404" s="1" t="n">
        <v>45982</v>
      </c>
      <c r="D404" t="inlineStr">
        <is>
          <t>ÖSTERGÖTLANDS LÄN</t>
        </is>
      </c>
      <c r="E404" t="inlineStr">
        <is>
          <t>LINKÖPING</t>
        </is>
      </c>
      <c r="G404" t="n">
        <v>3.3</v>
      </c>
      <c r="H404" t="n">
        <v>0</v>
      </c>
      <c r="I404" t="n">
        <v>0</v>
      </c>
      <c r="J404" t="n">
        <v>0</v>
      </c>
      <c r="K404" t="n">
        <v>0</v>
      </c>
      <c r="L404" t="n">
        <v>0</v>
      </c>
      <c r="M404" t="n">
        <v>0</v>
      </c>
      <c r="N404" t="n">
        <v>0</v>
      </c>
      <c r="O404" t="n">
        <v>0</v>
      </c>
      <c r="P404" t="n">
        <v>0</v>
      </c>
      <c r="Q404" t="n">
        <v>0</v>
      </c>
      <c r="R404" s="2" t="inlineStr"/>
    </row>
    <row r="405" ht="15" customHeight="1">
      <c r="A405" t="inlineStr">
        <is>
          <t>A 47304-2025</t>
        </is>
      </c>
      <c r="B405" s="1" t="n">
        <v>45930.52037037037</v>
      </c>
      <c r="C405" s="1" t="n">
        <v>45982</v>
      </c>
      <c r="D405" t="inlineStr">
        <is>
          <t>ÖSTERGÖTLANDS LÄN</t>
        </is>
      </c>
      <c r="E405" t="inlineStr">
        <is>
          <t>LINKÖPING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6369-2023</t>
        </is>
      </c>
      <c r="B406" s="1" t="n">
        <v>44965.61106481482</v>
      </c>
      <c r="C406" s="1" t="n">
        <v>45982</v>
      </c>
      <c r="D406" t="inlineStr">
        <is>
          <t>ÖSTERGÖTLANDS LÄN</t>
        </is>
      </c>
      <c r="E406" t="inlineStr">
        <is>
          <t>LINKÖPING</t>
        </is>
      </c>
      <c r="G406" t="n">
        <v>4</v>
      </c>
      <c r="H406" t="n">
        <v>0</v>
      </c>
      <c r="I406" t="n">
        <v>0</v>
      </c>
      <c r="J406" t="n">
        <v>0</v>
      </c>
      <c r="K406" t="n">
        <v>0</v>
      </c>
      <c r="L406" t="n">
        <v>0</v>
      </c>
      <c r="M406" t="n">
        <v>0</v>
      </c>
      <c r="N406" t="n">
        <v>0</v>
      </c>
      <c r="O406" t="n">
        <v>0</v>
      </c>
      <c r="P406" t="n">
        <v>0</v>
      </c>
      <c r="Q406" t="n">
        <v>0</v>
      </c>
      <c r="R406" s="2" t="inlineStr"/>
    </row>
    <row r="407" ht="15" customHeight="1">
      <c r="A407" t="inlineStr">
        <is>
          <t>A 56105-2025</t>
        </is>
      </c>
      <c r="B407" s="1" t="n">
        <v>45973.72855324074</v>
      </c>
      <c r="C407" s="1" t="n">
        <v>45982</v>
      </c>
      <c r="D407" t="inlineStr">
        <is>
          <t>ÖSTERGÖTLANDS LÄN</t>
        </is>
      </c>
      <c r="E407" t="inlineStr">
        <is>
          <t>LINKÖPING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30980-2022</t>
        </is>
      </c>
      <c r="B408" s="1" t="n">
        <v>44768</v>
      </c>
      <c r="C408" s="1" t="n">
        <v>45982</v>
      </c>
      <c r="D408" t="inlineStr">
        <is>
          <t>ÖSTERGÖTLANDS LÄN</t>
        </is>
      </c>
      <c r="E408" t="inlineStr">
        <is>
          <t>LINKÖPING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60007-2022</t>
        </is>
      </c>
      <c r="B409" s="1" t="n">
        <v>44909.47282407407</v>
      </c>
      <c r="C409" s="1" t="n">
        <v>45982</v>
      </c>
      <c r="D409" t="inlineStr">
        <is>
          <t>ÖSTERGÖTLANDS LÄN</t>
        </is>
      </c>
      <c r="E409" t="inlineStr">
        <is>
          <t>LINKÖPING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50799-2022</t>
        </is>
      </c>
      <c r="B410" s="1" t="n">
        <v>44862</v>
      </c>
      <c r="C410" s="1" t="n">
        <v>45982</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56064-2022</t>
        </is>
      </c>
      <c r="B411" s="1" t="n">
        <v>44889.59107638889</v>
      </c>
      <c r="C411" s="1" t="n">
        <v>45982</v>
      </c>
      <c r="D411" t="inlineStr">
        <is>
          <t>ÖSTERGÖTLANDS LÄN</t>
        </is>
      </c>
      <c r="E411" t="inlineStr">
        <is>
          <t>LINKÖPING</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47703-2023</t>
        </is>
      </c>
      <c r="B412" s="1" t="n">
        <v>45203</v>
      </c>
      <c r="C412" s="1" t="n">
        <v>45982</v>
      </c>
      <c r="D412" t="inlineStr">
        <is>
          <t>ÖSTERGÖTLANDS LÄN</t>
        </is>
      </c>
      <c r="E412" t="inlineStr">
        <is>
          <t>LINKÖPING</t>
        </is>
      </c>
      <c r="G412" t="n">
        <v>4.1</v>
      </c>
      <c r="H412" t="n">
        <v>0</v>
      </c>
      <c r="I412" t="n">
        <v>0</v>
      </c>
      <c r="J412" t="n">
        <v>0</v>
      </c>
      <c r="K412" t="n">
        <v>0</v>
      </c>
      <c r="L412" t="n">
        <v>0</v>
      </c>
      <c r="M412" t="n">
        <v>0</v>
      </c>
      <c r="N412" t="n">
        <v>0</v>
      </c>
      <c r="O412" t="n">
        <v>0</v>
      </c>
      <c r="P412" t="n">
        <v>0</v>
      </c>
      <c r="Q412" t="n">
        <v>0</v>
      </c>
      <c r="R412" s="2" t="inlineStr"/>
    </row>
    <row r="413" ht="15" customHeight="1">
      <c r="A413" t="inlineStr">
        <is>
          <t>A 16111-2022</t>
        </is>
      </c>
      <c r="B413" s="1" t="n">
        <v>44665</v>
      </c>
      <c r="C413" s="1" t="n">
        <v>45982</v>
      </c>
      <c r="D413" t="inlineStr">
        <is>
          <t>ÖSTERGÖTLANDS LÄN</t>
        </is>
      </c>
      <c r="E413" t="inlineStr">
        <is>
          <t>LINKÖPING</t>
        </is>
      </c>
      <c r="F413" t="inlineStr">
        <is>
          <t>Övriga Aktiebolag</t>
        </is>
      </c>
      <c r="G413" t="n">
        <v>2.9</v>
      </c>
      <c r="H413" t="n">
        <v>0</v>
      </c>
      <c r="I413" t="n">
        <v>0</v>
      </c>
      <c r="J413" t="n">
        <v>0</v>
      </c>
      <c r="K413" t="n">
        <v>0</v>
      </c>
      <c r="L413" t="n">
        <v>0</v>
      </c>
      <c r="M413" t="n">
        <v>0</v>
      </c>
      <c r="N413" t="n">
        <v>0</v>
      </c>
      <c r="O413" t="n">
        <v>0</v>
      </c>
      <c r="P413" t="n">
        <v>0</v>
      </c>
      <c r="Q413" t="n">
        <v>0</v>
      </c>
      <c r="R413" s="2" t="inlineStr"/>
    </row>
    <row r="414" ht="15" customHeight="1">
      <c r="A414" t="inlineStr">
        <is>
          <t>A 48962-2022</t>
        </is>
      </c>
      <c r="B414" s="1" t="n">
        <v>44860.31635416667</v>
      </c>
      <c r="C414" s="1" t="n">
        <v>45982</v>
      </c>
      <c r="D414" t="inlineStr">
        <is>
          <t>ÖSTERGÖTLANDS LÄN</t>
        </is>
      </c>
      <c r="E414" t="inlineStr">
        <is>
          <t>LINKÖPING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27891-2021</t>
        </is>
      </c>
      <c r="B415" s="1" t="n">
        <v>44354.65108796296</v>
      </c>
      <c r="C415" s="1" t="n">
        <v>45982</v>
      </c>
      <c r="D415" t="inlineStr">
        <is>
          <t>ÖSTERGÖTLANDS LÄN</t>
        </is>
      </c>
      <c r="E415" t="inlineStr">
        <is>
          <t>LINKÖPING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25829-2025</t>
        </is>
      </c>
      <c r="B416" s="1" t="n">
        <v>45804.44505787037</v>
      </c>
      <c r="C416" s="1" t="n">
        <v>45982</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38046-2025</t>
        </is>
      </c>
      <c r="B417" s="1" t="n">
        <v>45882.39939814815</v>
      </c>
      <c r="C417" s="1" t="n">
        <v>45982</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54332-2025</t>
        </is>
      </c>
      <c r="B418" s="1" t="n">
        <v>45965.34915509259</v>
      </c>
      <c r="C418" s="1" t="n">
        <v>45982</v>
      </c>
      <c r="D418" t="inlineStr">
        <is>
          <t>ÖSTERGÖTLANDS LÄN</t>
        </is>
      </c>
      <c r="E418" t="inlineStr">
        <is>
          <t>LINKÖPING</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48343-2025</t>
        </is>
      </c>
      <c r="B419" s="1" t="n">
        <v>45932</v>
      </c>
      <c r="C419" s="1" t="n">
        <v>45982</v>
      </c>
      <c r="D419" t="inlineStr">
        <is>
          <t>ÖSTERGÖTLANDS LÄN</t>
        </is>
      </c>
      <c r="E419" t="inlineStr">
        <is>
          <t>LINKÖPING</t>
        </is>
      </c>
      <c r="F419" t="inlineStr">
        <is>
          <t>Övriga Aktiebolag</t>
        </is>
      </c>
      <c r="G419" t="n">
        <v>2</v>
      </c>
      <c r="H419" t="n">
        <v>0</v>
      </c>
      <c r="I419" t="n">
        <v>0</v>
      </c>
      <c r="J419" t="n">
        <v>0</v>
      </c>
      <c r="K419" t="n">
        <v>0</v>
      </c>
      <c r="L419" t="n">
        <v>0</v>
      </c>
      <c r="M419" t="n">
        <v>0</v>
      </c>
      <c r="N419" t="n">
        <v>0</v>
      </c>
      <c r="O419" t="n">
        <v>0</v>
      </c>
      <c r="P419" t="n">
        <v>0</v>
      </c>
      <c r="Q419" t="n">
        <v>0</v>
      </c>
      <c r="R419" s="2" t="inlineStr"/>
    </row>
    <row r="420" ht="15" customHeight="1">
      <c r="A420" t="inlineStr">
        <is>
          <t>A 48266-2025</t>
        </is>
      </c>
      <c r="B420" s="1" t="n">
        <v>45932</v>
      </c>
      <c r="C420" s="1" t="n">
        <v>45982</v>
      </c>
      <c r="D420" t="inlineStr">
        <is>
          <t>ÖSTERGÖTLANDS LÄN</t>
        </is>
      </c>
      <c r="E420" t="inlineStr">
        <is>
          <t>LINKÖPING</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1268-2023</t>
        </is>
      </c>
      <c r="B421" s="1" t="n">
        <v>44936</v>
      </c>
      <c r="C421" s="1" t="n">
        <v>45982</v>
      </c>
      <c r="D421" t="inlineStr">
        <is>
          <t>ÖSTERGÖTLANDS LÄN</t>
        </is>
      </c>
      <c r="E421" t="inlineStr">
        <is>
          <t>LINKÖPING</t>
        </is>
      </c>
      <c r="G421" t="n">
        <v>4.6</v>
      </c>
      <c r="H421" t="n">
        <v>0</v>
      </c>
      <c r="I421" t="n">
        <v>0</v>
      </c>
      <c r="J421" t="n">
        <v>0</v>
      </c>
      <c r="K421" t="n">
        <v>0</v>
      </c>
      <c r="L421" t="n">
        <v>0</v>
      </c>
      <c r="M421" t="n">
        <v>0</v>
      </c>
      <c r="N421" t="n">
        <v>0</v>
      </c>
      <c r="O421" t="n">
        <v>0</v>
      </c>
      <c r="P421" t="n">
        <v>0</v>
      </c>
      <c r="Q421" t="n">
        <v>0</v>
      </c>
      <c r="R421" s="2" t="inlineStr"/>
    </row>
    <row r="422" ht="15" customHeight="1">
      <c r="A422" t="inlineStr">
        <is>
          <t>A 62687-2023</t>
        </is>
      </c>
      <c r="B422" s="1" t="n">
        <v>45271</v>
      </c>
      <c r="C422" s="1" t="n">
        <v>45982</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34641-2022</t>
        </is>
      </c>
      <c r="B423" s="1" t="n">
        <v>44795</v>
      </c>
      <c r="C423" s="1" t="n">
        <v>45982</v>
      </c>
      <c r="D423" t="inlineStr">
        <is>
          <t>ÖSTERGÖTLANDS LÄN</t>
        </is>
      </c>
      <c r="E423" t="inlineStr">
        <is>
          <t>LINKÖPING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54329-2025</t>
        </is>
      </c>
      <c r="B424" s="1" t="n">
        <v>45965.34706018519</v>
      </c>
      <c r="C424" s="1" t="n">
        <v>45982</v>
      </c>
      <c r="D424" t="inlineStr">
        <is>
          <t>ÖSTERGÖTLANDS LÄN</t>
        </is>
      </c>
      <c r="E424" t="inlineStr">
        <is>
          <t>LINKÖPING</t>
        </is>
      </c>
      <c r="F424" t="inlineStr">
        <is>
          <t>Sveaskog</t>
        </is>
      </c>
      <c r="G424" t="n">
        <v>5.1</v>
      </c>
      <c r="H424" t="n">
        <v>0</v>
      </c>
      <c r="I424" t="n">
        <v>0</v>
      </c>
      <c r="J424" t="n">
        <v>0</v>
      </c>
      <c r="K424" t="n">
        <v>0</v>
      </c>
      <c r="L424" t="n">
        <v>0</v>
      </c>
      <c r="M424" t="n">
        <v>0</v>
      </c>
      <c r="N424" t="n">
        <v>0</v>
      </c>
      <c r="O424" t="n">
        <v>0</v>
      </c>
      <c r="P424" t="n">
        <v>0</v>
      </c>
      <c r="Q424" t="n">
        <v>0</v>
      </c>
      <c r="R424" s="2" t="inlineStr"/>
    </row>
    <row r="425" ht="15" customHeight="1">
      <c r="A425" t="inlineStr">
        <is>
          <t>A 938-2023</t>
        </is>
      </c>
      <c r="B425" s="1" t="n">
        <v>44933</v>
      </c>
      <c r="C425" s="1" t="n">
        <v>45982</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2389-2023</t>
        </is>
      </c>
      <c r="B426" s="1" t="n">
        <v>44942</v>
      </c>
      <c r="C426" s="1" t="n">
        <v>45982</v>
      </c>
      <c r="D426" t="inlineStr">
        <is>
          <t>ÖSTERGÖTLANDS LÄN</t>
        </is>
      </c>
      <c r="E426" t="inlineStr">
        <is>
          <t>LINKÖPING</t>
        </is>
      </c>
      <c r="G426" t="n">
        <v>3.3</v>
      </c>
      <c r="H426" t="n">
        <v>0</v>
      </c>
      <c r="I426" t="n">
        <v>0</v>
      </c>
      <c r="J426" t="n">
        <v>0</v>
      </c>
      <c r="K426" t="n">
        <v>0</v>
      </c>
      <c r="L426" t="n">
        <v>0</v>
      </c>
      <c r="M426" t="n">
        <v>0</v>
      </c>
      <c r="N426" t="n">
        <v>0</v>
      </c>
      <c r="O426" t="n">
        <v>0</v>
      </c>
      <c r="P426" t="n">
        <v>0</v>
      </c>
      <c r="Q426" t="n">
        <v>0</v>
      </c>
      <c r="R426" s="2" t="inlineStr"/>
    </row>
    <row r="427" ht="15" customHeight="1">
      <c r="A427" t="inlineStr">
        <is>
          <t>A 48-2024</t>
        </is>
      </c>
      <c r="B427" s="1" t="n">
        <v>45293</v>
      </c>
      <c r="C427" s="1" t="n">
        <v>45982</v>
      </c>
      <c r="D427" t="inlineStr">
        <is>
          <t>ÖSTERGÖTLANDS LÄN</t>
        </is>
      </c>
      <c r="E427" t="inlineStr">
        <is>
          <t>LINKÖPING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45771-2023</t>
        </is>
      </c>
      <c r="B428" s="1" t="n">
        <v>45195.4384375</v>
      </c>
      <c r="C428" s="1" t="n">
        <v>45982</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30547-2023</t>
        </is>
      </c>
      <c r="B429" s="1" t="n">
        <v>45111.75905092592</v>
      </c>
      <c r="C429" s="1" t="n">
        <v>45982</v>
      </c>
      <c r="D429" t="inlineStr">
        <is>
          <t>ÖSTERGÖTLANDS LÄN</t>
        </is>
      </c>
      <c r="E429" t="inlineStr">
        <is>
          <t>LINKÖPING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40502-2024</t>
        </is>
      </c>
      <c r="B430" s="1" t="n">
        <v>45555.57263888889</v>
      </c>
      <c r="C430" s="1" t="n">
        <v>45982</v>
      </c>
      <c r="D430" t="inlineStr">
        <is>
          <t>ÖSTERGÖTLANDS LÄN</t>
        </is>
      </c>
      <c r="E430" t="inlineStr">
        <is>
          <t>LINKÖPING</t>
        </is>
      </c>
      <c r="F430" t="inlineStr">
        <is>
          <t>Allmännings- och besparingsskogar</t>
        </is>
      </c>
      <c r="G430" t="n">
        <v>17.5</v>
      </c>
      <c r="H430" t="n">
        <v>0</v>
      </c>
      <c r="I430" t="n">
        <v>0</v>
      </c>
      <c r="J430" t="n">
        <v>0</v>
      </c>
      <c r="K430" t="n">
        <v>0</v>
      </c>
      <c r="L430" t="n">
        <v>0</v>
      </c>
      <c r="M430" t="n">
        <v>0</v>
      </c>
      <c r="N430" t="n">
        <v>0</v>
      </c>
      <c r="O430" t="n">
        <v>0</v>
      </c>
      <c r="P430" t="n">
        <v>0</v>
      </c>
      <c r="Q430" t="n">
        <v>0</v>
      </c>
      <c r="R430" s="2" t="inlineStr"/>
    </row>
    <row r="431" ht="15" customHeight="1">
      <c r="A431" t="inlineStr">
        <is>
          <t>A 48254-2025</t>
        </is>
      </c>
      <c r="B431" s="1" t="n">
        <v>45932</v>
      </c>
      <c r="C431" s="1" t="n">
        <v>45982</v>
      </c>
      <c r="D431" t="inlineStr">
        <is>
          <t>ÖSTERGÖTLANDS LÄN</t>
        </is>
      </c>
      <c r="E431" t="inlineStr">
        <is>
          <t>LINKÖPING</t>
        </is>
      </c>
      <c r="F431" t="inlineStr">
        <is>
          <t>Övriga Aktiebolag</t>
        </is>
      </c>
      <c r="G431" t="n">
        <v>0.8</v>
      </c>
      <c r="H431" t="n">
        <v>0</v>
      </c>
      <c r="I431" t="n">
        <v>0</v>
      </c>
      <c r="J431" t="n">
        <v>0</v>
      </c>
      <c r="K431" t="n">
        <v>0</v>
      </c>
      <c r="L431" t="n">
        <v>0</v>
      </c>
      <c r="M431" t="n">
        <v>0</v>
      </c>
      <c r="N431" t="n">
        <v>0</v>
      </c>
      <c r="O431" t="n">
        <v>0</v>
      </c>
      <c r="P431" t="n">
        <v>0</v>
      </c>
      <c r="Q431" t="n">
        <v>0</v>
      </c>
      <c r="R431" s="2" t="inlineStr"/>
    </row>
    <row r="432" ht="15" customHeight="1">
      <c r="A432" t="inlineStr">
        <is>
          <t>A 56403-2025</t>
        </is>
      </c>
      <c r="B432" s="1" t="n">
        <v>45974</v>
      </c>
      <c r="C432" s="1" t="n">
        <v>45982</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61281-2021</t>
        </is>
      </c>
      <c r="B433" s="1" t="n">
        <v>44498.60736111111</v>
      </c>
      <c r="C433" s="1" t="n">
        <v>45982</v>
      </c>
      <c r="D433" t="inlineStr">
        <is>
          <t>ÖSTERGÖTLANDS LÄN</t>
        </is>
      </c>
      <c r="E433" t="inlineStr">
        <is>
          <t>LINKÖPING</t>
        </is>
      </c>
      <c r="G433" t="n">
        <v>4.5</v>
      </c>
      <c r="H433" t="n">
        <v>0</v>
      </c>
      <c r="I433" t="n">
        <v>0</v>
      </c>
      <c r="J433" t="n">
        <v>0</v>
      </c>
      <c r="K433" t="n">
        <v>0</v>
      </c>
      <c r="L433" t="n">
        <v>0</v>
      </c>
      <c r="M433" t="n">
        <v>0</v>
      </c>
      <c r="N433" t="n">
        <v>0</v>
      </c>
      <c r="O433" t="n">
        <v>0</v>
      </c>
      <c r="P433" t="n">
        <v>0</v>
      </c>
      <c r="Q433" t="n">
        <v>0</v>
      </c>
      <c r="R433" s="2" t="inlineStr"/>
    </row>
    <row r="434" ht="15" customHeight="1">
      <c r="A434" t="inlineStr">
        <is>
          <t>A 25292-2021</t>
        </is>
      </c>
      <c r="B434" s="1" t="n">
        <v>44342</v>
      </c>
      <c r="C434" s="1" t="n">
        <v>45982</v>
      </c>
      <c r="D434" t="inlineStr">
        <is>
          <t>ÖSTERGÖTLANDS LÄN</t>
        </is>
      </c>
      <c r="E434" t="inlineStr">
        <is>
          <t>LINKÖPING</t>
        </is>
      </c>
      <c r="F434" t="inlineStr">
        <is>
          <t>Övriga Aktiebolag</t>
        </is>
      </c>
      <c r="G434" t="n">
        <v>12.8</v>
      </c>
      <c r="H434" t="n">
        <v>0</v>
      </c>
      <c r="I434" t="n">
        <v>0</v>
      </c>
      <c r="J434" t="n">
        <v>0</v>
      </c>
      <c r="K434" t="n">
        <v>0</v>
      </c>
      <c r="L434" t="n">
        <v>0</v>
      </c>
      <c r="M434" t="n">
        <v>0</v>
      </c>
      <c r="N434" t="n">
        <v>0</v>
      </c>
      <c r="O434" t="n">
        <v>0</v>
      </c>
      <c r="P434" t="n">
        <v>0</v>
      </c>
      <c r="Q434" t="n">
        <v>0</v>
      </c>
      <c r="R434" s="2" t="inlineStr"/>
    </row>
    <row r="435" ht="15" customHeight="1">
      <c r="A435" t="inlineStr">
        <is>
          <t>A 63935-2021</t>
        </is>
      </c>
      <c r="B435" s="1" t="n">
        <v>44509</v>
      </c>
      <c r="C435" s="1" t="n">
        <v>45982</v>
      </c>
      <c r="D435" t="inlineStr">
        <is>
          <t>ÖSTERGÖTLANDS LÄN</t>
        </is>
      </c>
      <c r="E435" t="inlineStr">
        <is>
          <t>LINKÖPING</t>
        </is>
      </c>
      <c r="F435" t="inlineStr">
        <is>
          <t>Övriga statliga verk och myndigheter</t>
        </is>
      </c>
      <c r="G435" t="n">
        <v>2.8</v>
      </c>
      <c r="H435" t="n">
        <v>0</v>
      </c>
      <c r="I435" t="n">
        <v>0</v>
      </c>
      <c r="J435" t="n">
        <v>0</v>
      </c>
      <c r="K435" t="n">
        <v>0</v>
      </c>
      <c r="L435" t="n">
        <v>0</v>
      </c>
      <c r="M435" t="n">
        <v>0</v>
      </c>
      <c r="N435" t="n">
        <v>0</v>
      </c>
      <c r="O435" t="n">
        <v>0</v>
      </c>
      <c r="P435" t="n">
        <v>0</v>
      </c>
      <c r="Q435" t="n">
        <v>0</v>
      </c>
      <c r="R435" s="2" t="inlineStr"/>
    </row>
    <row r="436" ht="15" customHeight="1">
      <c r="A436" t="inlineStr">
        <is>
          <t>A 24464-2023</t>
        </is>
      </c>
      <c r="B436" s="1" t="n">
        <v>45082.58068287037</v>
      </c>
      <c r="C436" s="1" t="n">
        <v>45982</v>
      </c>
      <c r="D436" t="inlineStr">
        <is>
          <t>ÖSTERGÖTLANDS LÄN</t>
        </is>
      </c>
      <c r="E436" t="inlineStr">
        <is>
          <t>LINKÖPING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24467-2023</t>
        </is>
      </c>
      <c r="B437" s="1" t="n">
        <v>45082</v>
      </c>
      <c r="C437" s="1" t="n">
        <v>45982</v>
      </c>
      <c r="D437" t="inlineStr">
        <is>
          <t>ÖSTERGÖTLANDS LÄN</t>
        </is>
      </c>
      <c r="E437" t="inlineStr">
        <is>
          <t>LINKÖPING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38971-2025</t>
        </is>
      </c>
      <c r="B438" s="1" t="n">
        <v>45887.71827546296</v>
      </c>
      <c r="C438" s="1" t="n">
        <v>45982</v>
      </c>
      <c r="D438" t="inlineStr">
        <is>
          <t>ÖSTERGÖTLANDS LÄN</t>
        </is>
      </c>
      <c r="E438" t="inlineStr">
        <is>
          <t>LINKÖPING</t>
        </is>
      </c>
      <c r="G438" t="n">
        <v>3.9</v>
      </c>
      <c r="H438" t="n">
        <v>0</v>
      </c>
      <c r="I438" t="n">
        <v>0</v>
      </c>
      <c r="J438" t="n">
        <v>0</v>
      </c>
      <c r="K438" t="n">
        <v>0</v>
      </c>
      <c r="L438" t="n">
        <v>0</v>
      </c>
      <c r="M438" t="n">
        <v>0</v>
      </c>
      <c r="N438" t="n">
        <v>0</v>
      </c>
      <c r="O438" t="n">
        <v>0</v>
      </c>
      <c r="P438" t="n">
        <v>0</v>
      </c>
      <c r="Q438" t="n">
        <v>0</v>
      </c>
      <c r="R438" s="2" t="inlineStr"/>
    </row>
    <row r="439" ht="15" customHeight="1">
      <c r="A439" t="inlineStr">
        <is>
          <t>A 48389-2024</t>
        </is>
      </c>
      <c r="B439" s="1" t="n">
        <v>45590.59991898148</v>
      </c>
      <c r="C439" s="1" t="n">
        <v>45982</v>
      </c>
      <c r="D439" t="inlineStr">
        <is>
          <t>ÖSTERGÖTLANDS LÄN</t>
        </is>
      </c>
      <c r="E439" t="inlineStr">
        <is>
          <t>LINKÖPING</t>
        </is>
      </c>
      <c r="G439" t="n">
        <v>2.6</v>
      </c>
      <c r="H439" t="n">
        <v>0</v>
      </c>
      <c r="I439" t="n">
        <v>0</v>
      </c>
      <c r="J439" t="n">
        <v>0</v>
      </c>
      <c r="K439" t="n">
        <v>0</v>
      </c>
      <c r="L439" t="n">
        <v>0</v>
      </c>
      <c r="M439" t="n">
        <v>0</v>
      </c>
      <c r="N439" t="n">
        <v>0</v>
      </c>
      <c r="O439" t="n">
        <v>0</v>
      </c>
      <c r="P439" t="n">
        <v>0</v>
      </c>
      <c r="Q439" t="n">
        <v>0</v>
      </c>
      <c r="R439" s="2" t="inlineStr"/>
    </row>
    <row r="440" ht="15" customHeight="1">
      <c r="A440" t="inlineStr">
        <is>
          <t>A 56704-2025</t>
        </is>
      </c>
      <c r="B440" s="1" t="n">
        <v>45977.50608796296</v>
      </c>
      <c r="C440" s="1" t="n">
        <v>45982</v>
      </c>
      <c r="D440" t="inlineStr">
        <is>
          <t>ÖSTERGÖTLANDS LÄN</t>
        </is>
      </c>
      <c r="E440" t="inlineStr">
        <is>
          <t>LINKÖPING</t>
        </is>
      </c>
      <c r="F440" t="inlineStr">
        <is>
          <t>Övriga Aktiebolag</t>
        </is>
      </c>
      <c r="G440" t="n">
        <v>0.6</v>
      </c>
      <c r="H440" t="n">
        <v>0</v>
      </c>
      <c r="I440" t="n">
        <v>0</v>
      </c>
      <c r="J440" t="n">
        <v>0</v>
      </c>
      <c r="K440" t="n">
        <v>0</v>
      </c>
      <c r="L440" t="n">
        <v>0</v>
      </c>
      <c r="M440" t="n">
        <v>0</v>
      </c>
      <c r="N440" t="n">
        <v>0</v>
      </c>
      <c r="O440" t="n">
        <v>0</v>
      </c>
      <c r="P440" t="n">
        <v>0</v>
      </c>
      <c r="Q440" t="n">
        <v>0</v>
      </c>
      <c r="R440" s="2" t="inlineStr"/>
    </row>
    <row r="441" ht="15" customHeight="1">
      <c r="A441" t="inlineStr">
        <is>
          <t>A 56792-2023</t>
        </is>
      </c>
      <c r="B441" s="1" t="n">
        <v>45244</v>
      </c>
      <c r="C441" s="1" t="n">
        <v>45982</v>
      </c>
      <c r="D441" t="inlineStr">
        <is>
          <t>ÖSTERGÖTLANDS LÄN</t>
        </is>
      </c>
      <c r="E441" t="inlineStr">
        <is>
          <t>LINKÖPING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55345-2021</t>
        </is>
      </c>
      <c r="B442" s="1" t="n">
        <v>44475</v>
      </c>
      <c r="C442" s="1" t="n">
        <v>45982</v>
      </c>
      <c r="D442" t="inlineStr">
        <is>
          <t>ÖSTERGÖTLANDS LÄN</t>
        </is>
      </c>
      <c r="E442" t="inlineStr">
        <is>
          <t>LINKÖPING</t>
        </is>
      </c>
      <c r="G442" t="n">
        <v>5.7</v>
      </c>
      <c r="H442" t="n">
        <v>0</v>
      </c>
      <c r="I442" t="n">
        <v>0</v>
      </c>
      <c r="J442" t="n">
        <v>0</v>
      </c>
      <c r="K442" t="n">
        <v>0</v>
      </c>
      <c r="L442" t="n">
        <v>0</v>
      </c>
      <c r="M442" t="n">
        <v>0</v>
      </c>
      <c r="N442" t="n">
        <v>0</v>
      </c>
      <c r="O442" t="n">
        <v>0</v>
      </c>
      <c r="P442" t="n">
        <v>0</v>
      </c>
      <c r="Q442" t="n">
        <v>0</v>
      </c>
      <c r="R442" s="2" t="inlineStr"/>
    </row>
    <row r="443" ht="15" customHeight="1">
      <c r="A443" t="inlineStr">
        <is>
          <t>A 39017-2021</t>
        </is>
      </c>
      <c r="B443" s="1" t="n">
        <v>44412</v>
      </c>
      <c r="C443" s="1" t="n">
        <v>45982</v>
      </c>
      <c r="D443" t="inlineStr">
        <is>
          <t>ÖSTERGÖTLANDS LÄN</t>
        </is>
      </c>
      <c r="E443" t="inlineStr">
        <is>
          <t>LINKÖPING</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52740-2025</t>
        </is>
      </c>
      <c r="B444" s="1" t="n">
        <v>45957.37747685185</v>
      </c>
      <c r="C444" s="1" t="n">
        <v>45982</v>
      </c>
      <c r="D444" t="inlineStr">
        <is>
          <t>ÖSTERGÖTLANDS LÄN</t>
        </is>
      </c>
      <c r="E444" t="inlineStr">
        <is>
          <t>LINKÖPING</t>
        </is>
      </c>
      <c r="G444" t="n">
        <v>3.7</v>
      </c>
      <c r="H444" t="n">
        <v>0</v>
      </c>
      <c r="I444" t="n">
        <v>0</v>
      </c>
      <c r="J444" t="n">
        <v>0</v>
      </c>
      <c r="K444" t="n">
        <v>0</v>
      </c>
      <c r="L444" t="n">
        <v>0</v>
      </c>
      <c r="M444" t="n">
        <v>0</v>
      </c>
      <c r="N444" t="n">
        <v>0</v>
      </c>
      <c r="O444" t="n">
        <v>0</v>
      </c>
      <c r="P444" t="n">
        <v>0</v>
      </c>
      <c r="Q444" t="n">
        <v>0</v>
      </c>
      <c r="R444" s="2" t="inlineStr"/>
    </row>
    <row r="445" ht="15" customHeight="1">
      <c r="A445" t="inlineStr">
        <is>
          <t>A 1260-2023</t>
        </is>
      </c>
      <c r="B445" s="1" t="n">
        <v>44936</v>
      </c>
      <c r="C445" s="1" t="n">
        <v>45982</v>
      </c>
      <c r="D445" t="inlineStr">
        <is>
          <t>ÖSTERGÖTLANDS LÄN</t>
        </is>
      </c>
      <c r="E445" t="inlineStr">
        <is>
          <t>LINKÖPING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1355-2023</t>
        </is>
      </c>
      <c r="B446" s="1" t="n">
        <v>44931</v>
      </c>
      <c r="C446" s="1" t="n">
        <v>45982</v>
      </c>
      <c r="D446" t="inlineStr">
        <is>
          <t>ÖSTERGÖTLANDS LÄN</t>
        </is>
      </c>
      <c r="E446" t="inlineStr">
        <is>
          <t>LINKÖPING</t>
        </is>
      </c>
      <c r="G446" t="n">
        <v>4</v>
      </c>
      <c r="H446" t="n">
        <v>0</v>
      </c>
      <c r="I446" t="n">
        <v>0</v>
      </c>
      <c r="J446" t="n">
        <v>0</v>
      </c>
      <c r="K446" t="n">
        <v>0</v>
      </c>
      <c r="L446" t="n">
        <v>0</v>
      </c>
      <c r="M446" t="n">
        <v>0</v>
      </c>
      <c r="N446" t="n">
        <v>0</v>
      </c>
      <c r="O446" t="n">
        <v>0</v>
      </c>
      <c r="P446" t="n">
        <v>0</v>
      </c>
      <c r="Q446" t="n">
        <v>0</v>
      </c>
      <c r="R446" s="2" t="inlineStr"/>
    </row>
    <row r="447" ht="15" customHeight="1">
      <c r="A447" t="inlineStr">
        <is>
          <t>A 3007-2025</t>
        </is>
      </c>
      <c r="B447" s="1" t="n">
        <v>45678.56328703704</v>
      </c>
      <c r="C447" s="1" t="n">
        <v>45982</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10492-2022</t>
        </is>
      </c>
      <c r="B448" s="1" t="n">
        <v>44623.6377199074</v>
      </c>
      <c r="C448" s="1" t="n">
        <v>45982</v>
      </c>
      <c r="D448" t="inlineStr">
        <is>
          <t>ÖSTERGÖTLANDS LÄN</t>
        </is>
      </c>
      <c r="E448" t="inlineStr">
        <is>
          <t>LINKÖPING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30465-2023</t>
        </is>
      </c>
      <c r="B449" s="1" t="n">
        <v>45111</v>
      </c>
      <c r="C449" s="1" t="n">
        <v>45982</v>
      </c>
      <c r="D449" t="inlineStr">
        <is>
          <t>ÖSTERGÖTLANDS LÄN</t>
        </is>
      </c>
      <c r="E449" t="inlineStr">
        <is>
          <t>LINKÖPING</t>
        </is>
      </c>
      <c r="F449" t="inlineStr">
        <is>
          <t>Övriga Aktiebolag</t>
        </is>
      </c>
      <c r="G449" t="n">
        <v>0.7</v>
      </c>
      <c r="H449" t="n">
        <v>0</v>
      </c>
      <c r="I449" t="n">
        <v>0</v>
      </c>
      <c r="J449" t="n">
        <v>0</v>
      </c>
      <c r="K449" t="n">
        <v>0</v>
      </c>
      <c r="L449" t="n">
        <v>0</v>
      </c>
      <c r="M449" t="n">
        <v>0</v>
      </c>
      <c r="N449" t="n">
        <v>0</v>
      </c>
      <c r="O449" t="n">
        <v>0</v>
      </c>
      <c r="P449" t="n">
        <v>0</v>
      </c>
      <c r="Q449" t="n">
        <v>0</v>
      </c>
      <c r="R449" s="2" t="inlineStr"/>
    </row>
    <row r="450" ht="15" customHeight="1">
      <c r="A450" t="inlineStr">
        <is>
          <t>A 49455-2025</t>
        </is>
      </c>
      <c r="B450" s="1" t="n">
        <v>45938</v>
      </c>
      <c r="C450" s="1" t="n">
        <v>45982</v>
      </c>
      <c r="D450" t="inlineStr">
        <is>
          <t>ÖSTERGÖTLANDS LÄN</t>
        </is>
      </c>
      <c r="E450" t="inlineStr">
        <is>
          <t>LINKÖPING</t>
        </is>
      </c>
      <c r="F450" t="inlineStr">
        <is>
          <t>Övriga Aktiebolag</t>
        </is>
      </c>
      <c r="G450" t="n">
        <v>5.9</v>
      </c>
      <c r="H450" t="n">
        <v>0</v>
      </c>
      <c r="I450" t="n">
        <v>0</v>
      </c>
      <c r="J450" t="n">
        <v>0</v>
      </c>
      <c r="K450" t="n">
        <v>0</v>
      </c>
      <c r="L450" t="n">
        <v>0</v>
      </c>
      <c r="M450" t="n">
        <v>0</v>
      </c>
      <c r="N450" t="n">
        <v>0</v>
      </c>
      <c r="O450" t="n">
        <v>0</v>
      </c>
      <c r="P450" t="n">
        <v>0</v>
      </c>
      <c r="Q450" t="n">
        <v>0</v>
      </c>
      <c r="R450" s="2" t="inlineStr"/>
    </row>
    <row r="451" ht="15" customHeight="1">
      <c r="A451" t="inlineStr">
        <is>
          <t>A 39021-2021</t>
        </is>
      </c>
      <c r="B451" s="1" t="n">
        <v>44412</v>
      </c>
      <c r="C451" s="1" t="n">
        <v>45982</v>
      </c>
      <c r="D451" t="inlineStr">
        <is>
          <t>ÖSTERGÖTLANDS LÄN</t>
        </is>
      </c>
      <c r="E451" t="inlineStr">
        <is>
          <t>LINKÖPING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62353-2022</t>
        </is>
      </c>
      <c r="B452" s="1" t="n">
        <v>44923</v>
      </c>
      <c r="C452" s="1" t="n">
        <v>45982</v>
      </c>
      <c r="D452" t="inlineStr">
        <is>
          <t>ÖSTERGÖTLANDS LÄN</t>
        </is>
      </c>
      <c r="E452" t="inlineStr">
        <is>
          <t>LINKÖPING</t>
        </is>
      </c>
      <c r="F452" t="inlineStr">
        <is>
          <t>Allmännings- och besparingsskogar</t>
        </is>
      </c>
      <c r="G452" t="n">
        <v>1.7</v>
      </c>
      <c r="H452" t="n">
        <v>0</v>
      </c>
      <c r="I452" t="n">
        <v>0</v>
      </c>
      <c r="J452" t="n">
        <v>0</v>
      </c>
      <c r="K452" t="n">
        <v>0</v>
      </c>
      <c r="L452" t="n">
        <v>0</v>
      </c>
      <c r="M452" t="n">
        <v>0</v>
      </c>
      <c r="N452" t="n">
        <v>0</v>
      </c>
      <c r="O452" t="n">
        <v>0</v>
      </c>
      <c r="P452" t="n">
        <v>0</v>
      </c>
      <c r="Q452" t="n">
        <v>0</v>
      </c>
      <c r="R452" s="2" t="inlineStr"/>
    </row>
    <row r="453" ht="15" customHeight="1">
      <c r="A453" t="inlineStr">
        <is>
          <t>A 30111-2024</t>
        </is>
      </c>
      <c r="B453" s="1" t="n">
        <v>45489.46947916667</v>
      </c>
      <c r="C453" s="1" t="n">
        <v>45982</v>
      </c>
      <c r="D453" t="inlineStr">
        <is>
          <t>ÖSTERGÖTLANDS LÄN</t>
        </is>
      </c>
      <c r="E453" t="inlineStr">
        <is>
          <t>LINKÖPING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30119-2024</t>
        </is>
      </c>
      <c r="B454" s="1" t="n">
        <v>45489</v>
      </c>
      <c r="C454" s="1" t="n">
        <v>45982</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29411-2023</t>
        </is>
      </c>
      <c r="B455" s="1" t="n">
        <v>45106.46225694445</v>
      </c>
      <c r="C455" s="1" t="n">
        <v>45982</v>
      </c>
      <c r="D455" t="inlineStr">
        <is>
          <t>ÖSTERGÖTLANDS LÄN</t>
        </is>
      </c>
      <c r="E455" t="inlineStr">
        <is>
          <t>LINKÖPING</t>
        </is>
      </c>
      <c r="G455" t="n">
        <v>2.5</v>
      </c>
      <c r="H455" t="n">
        <v>0</v>
      </c>
      <c r="I455" t="n">
        <v>0</v>
      </c>
      <c r="J455" t="n">
        <v>0</v>
      </c>
      <c r="K455" t="n">
        <v>0</v>
      </c>
      <c r="L455" t="n">
        <v>0</v>
      </c>
      <c r="M455" t="n">
        <v>0</v>
      </c>
      <c r="N455" t="n">
        <v>0</v>
      </c>
      <c r="O455" t="n">
        <v>0</v>
      </c>
      <c r="P455" t="n">
        <v>0</v>
      </c>
      <c r="Q455" t="n">
        <v>0</v>
      </c>
      <c r="R455" s="2" t="inlineStr"/>
    </row>
    <row r="456" ht="15" customHeight="1">
      <c r="A456" t="inlineStr">
        <is>
          <t>A 29412-2023</t>
        </is>
      </c>
      <c r="B456" s="1" t="n">
        <v>45106.46359953703</v>
      </c>
      <c r="C456" s="1" t="n">
        <v>45982</v>
      </c>
      <c r="D456" t="inlineStr">
        <is>
          <t>ÖSTERGÖTLANDS LÄN</t>
        </is>
      </c>
      <c r="E456" t="inlineStr">
        <is>
          <t>LINKÖPING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31792-2021</t>
        </is>
      </c>
      <c r="B457" s="1" t="n">
        <v>44369</v>
      </c>
      <c r="C457" s="1" t="n">
        <v>45982</v>
      </c>
      <c r="D457" t="inlineStr">
        <is>
          <t>ÖSTERGÖTLANDS LÄN</t>
        </is>
      </c>
      <c r="E457" t="inlineStr">
        <is>
          <t>LINKÖPING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421-2024</t>
        </is>
      </c>
      <c r="B458" s="1" t="n">
        <v>45296.51877314815</v>
      </c>
      <c r="C458" s="1" t="n">
        <v>45982</v>
      </c>
      <c r="D458" t="inlineStr">
        <is>
          <t>ÖSTERGÖTLANDS LÄN</t>
        </is>
      </c>
      <c r="E458" t="inlineStr">
        <is>
          <t>LINKÖPING</t>
        </is>
      </c>
      <c r="G458" t="n">
        <v>3.7</v>
      </c>
      <c r="H458" t="n">
        <v>0</v>
      </c>
      <c r="I458" t="n">
        <v>0</v>
      </c>
      <c r="J458" t="n">
        <v>0</v>
      </c>
      <c r="K458" t="n">
        <v>0</v>
      </c>
      <c r="L458" t="n">
        <v>0</v>
      </c>
      <c r="M458" t="n">
        <v>0</v>
      </c>
      <c r="N458" t="n">
        <v>0</v>
      </c>
      <c r="O458" t="n">
        <v>0</v>
      </c>
      <c r="P458" t="n">
        <v>0</v>
      </c>
      <c r="Q458" t="n">
        <v>0</v>
      </c>
      <c r="R458" s="2" t="inlineStr"/>
    </row>
    <row r="459" ht="15" customHeight="1">
      <c r="A459" t="inlineStr">
        <is>
          <t>A 22043-2023</t>
        </is>
      </c>
      <c r="B459" s="1" t="n">
        <v>45069.39050925926</v>
      </c>
      <c r="C459" s="1" t="n">
        <v>45982</v>
      </c>
      <c r="D459" t="inlineStr">
        <is>
          <t>ÖSTERGÖTLANDS LÄN</t>
        </is>
      </c>
      <c r="E459" t="inlineStr">
        <is>
          <t>LINKÖPING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61532-2021</t>
        </is>
      </c>
      <c r="B460" s="1" t="n">
        <v>44501</v>
      </c>
      <c r="C460" s="1" t="n">
        <v>45982</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14028-2024</t>
        </is>
      </c>
      <c r="B461" s="1" t="n">
        <v>45392</v>
      </c>
      <c r="C461" s="1" t="n">
        <v>45982</v>
      </c>
      <c r="D461" t="inlineStr">
        <is>
          <t>ÖSTERGÖTLANDS LÄN</t>
        </is>
      </c>
      <c r="E461" t="inlineStr">
        <is>
          <t>LINKÖPING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40431-2024</t>
        </is>
      </c>
      <c r="B462" s="1" t="n">
        <v>45555.47070601852</v>
      </c>
      <c r="C462" s="1" t="n">
        <v>45982</v>
      </c>
      <c r="D462" t="inlineStr">
        <is>
          <t>ÖSTERGÖTLANDS LÄN</t>
        </is>
      </c>
      <c r="E462" t="inlineStr">
        <is>
          <t>LINKÖPING</t>
        </is>
      </c>
      <c r="F462" t="inlineStr">
        <is>
          <t>Allmännings- och besparingsskogar</t>
        </is>
      </c>
      <c r="G462" t="n">
        <v>2.9</v>
      </c>
      <c r="H462" t="n">
        <v>0</v>
      </c>
      <c r="I462" t="n">
        <v>0</v>
      </c>
      <c r="J462" t="n">
        <v>0</v>
      </c>
      <c r="K462" t="n">
        <v>0</v>
      </c>
      <c r="L462" t="n">
        <v>0</v>
      </c>
      <c r="M462" t="n">
        <v>0</v>
      </c>
      <c r="N462" t="n">
        <v>0</v>
      </c>
      <c r="O462" t="n">
        <v>0</v>
      </c>
      <c r="P462" t="n">
        <v>0</v>
      </c>
      <c r="Q462" t="n">
        <v>0</v>
      </c>
      <c r="R462" s="2" t="inlineStr"/>
    </row>
    <row r="463" ht="15" customHeight="1">
      <c r="A463" t="inlineStr">
        <is>
          <t>A 49605-2025</t>
        </is>
      </c>
      <c r="B463" s="1" t="n">
        <v>45938</v>
      </c>
      <c r="C463" s="1" t="n">
        <v>45982</v>
      </c>
      <c r="D463" t="inlineStr">
        <is>
          <t>ÖSTERGÖTLANDS LÄN</t>
        </is>
      </c>
      <c r="E463" t="inlineStr">
        <is>
          <t>LINKÖPING</t>
        </is>
      </c>
      <c r="F463" t="inlineStr">
        <is>
          <t>Övriga Aktiebolag</t>
        </is>
      </c>
      <c r="G463" t="n">
        <v>3.3</v>
      </c>
      <c r="H463" t="n">
        <v>0</v>
      </c>
      <c r="I463" t="n">
        <v>0</v>
      </c>
      <c r="J463" t="n">
        <v>0</v>
      </c>
      <c r="K463" t="n">
        <v>0</v>
      </c>
      <c r="L463" t="n">
        <v>0</v>
      </c>
      <c r="M463" t="n">
        <v>0</v>
      </c>
      <c r="N463" t="n">
        <v>0</v>
      </c>
      <c r="O463" t="n">
        <v>0</v>
      </c>
      <c r="P463" t="n">
        <v>0</v>
      </c>
      <c r="Q463" t="n">
        <v>0</v>
      </c>
      <c r="R463" s="2" t="inlineStr"/>
    </row>
    <row r="464" ht="15" customHeight="1">
      <c r="A464" t="inlineStr">
        <is>
          <t>A 49663-2025</t>
        </is>
      </c>
      <c r="B464" s="1" t="n">
        <v>45938</v>
      </c>
      <c r="C464" s="1" t="n">
        <v>45982</v>
      </c>
      <c r="D464" t="inlineStr">
        <is>
          <t>ÖSTERGÖTLANDS LÄN</t>
        </is>
      </c>
      <c r="E464" t="inlineStr">
        <is>
          <t>LINKÖPING</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49632-2025</t>
        </is>
      </c>
      <c r="B465" s="1" t="n">
        <v>45938</v>
      </c>
      <c r="C465" s="1" t="n">
        <v>45982</v>
      </c>
      <c r="D465" t="inlineStr">
        <is>
          <t>ÖSTERGÖTLANDS LÄN</t>
        </is>
      </c>
      <c r="E465" t="inlineStr">
        <is>
          <t>LINKÖPING</t>
        </is>
      </c>
      <c r="F465" t="inlineStr">
        <is>
          <t>Övriga Aktiebolag</t>
        </is>
      </c>
      <c r="G465" t="n">
        <v>1.6</v>
      </c>
      <c r="H465" t="n">
        <v>0</v>
      </c>
      <c r="I465" t="n">
        <v>0</v>
      </c>
      <c r="J465" t="n">
        <v>0</v>
      </c>
      <c r="K465" t="n">
        <v>0</v>
      </c>
      <c r="L465" t="n">
        <v>0</v>
      </c>
      <c r="M465" t="n">
        <v>0</v>
      </c>
      <c r="N465" t="n">
        <v>0</v>
      </c>
      <c r="O465" t="n">
        <v>0</v>
      </c>
      <c r="P465" t="n">
        <v>0</v>
      </c>
      <c r="Q465" t="n">
        <v>0</v>
      </c>
      <c r="R465" s="2" t="inlineStr"/>
    </row>
    <row r="466" ht="15" customHeight="1">
      <c r="A466" t="inlineStr">
        <is>
          <t>A 60860-2024</t>
        </is>
      </c>
      <c r="B466" s="1" t="n">
        <v>45644.6893287037</v>
      </c>
      <c r="C466" s="1" t="n">
        <v>45982</v>
      </c>
      <c r="D466" t="inlineStr">
        <is>
          <t>ÖSTERGÖTLANDS LÄN</t>
        </is>
      </c>
      <c r="E466" t="inlineStr">
        <is>
          <t>LINKÖPING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49647-2025</t>
        </is>
      </c>
      <c r="B467" s="1" t="n">
        <v>45938</v>
      </c>
      <c r="C467" s="1" t="n">
        <v>45982</v>
      </c>
      <c r="D467" t="inlineStr">
        <is>
          <t>ÖSTERGÖTLANDS LÄN</t>
        </is>
      </c>
      <c r="E467" t="inlineStr">
        <is>
          <t>LINKÖPING</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49652-2025</t>
        </is>
      </c>
      <c r="B468" s="1" t="n">
        <v>45938</v>
      </c>
      <c r="C468" s="1" t="n">
        <v>45982</v>
      </c>
      <c r="D468" t="inlineStr">
        <is>
          <t>ÖSTERGÖTLANDS LÄN</t>
        </is>
      </c>
      <c r="E468" t="inlineStr">
        <is>
          <t>LINKÖPING</t>
        </is>
      </c>
      <c r="F468" t="inlineStr">
        <is>
          <t>Övriga Aktiebolag</t>
        </is>
      </c>
      <c r="G468" t="n">
        <v>1.8</v>
      </c>
      <c r="H468" t="n">
        <v>0</v>
      </c>
      <c r="I468" t="n">
        <v>0</v>
      </c>
      <c r="J468" t="n">
        <v>0</v>
      </c>
      <c r="K468" t="n">
        <v>0</v>
      </c>
      <c r="L468" t="n">
        <v>0</v>
      </c>
      <c r="M468" t="n">
        <v>0</v>
      </c>
      <c r="N468" t="n">
        <v>0</v>
      </c>
      <c r="O468" t="n">
        <v>0</v>
      </c>
      <c r="P468" t="n">
        <v>0</v>
      </c>
      <c r="Q468" t="n">
        <v>0</v>
      </c>
      <c r="R468" s="2" t="inlineStr"/>
    </row>
    <row r="469" ht="15" customHeight="1">
      <c r="A469" t="inlineStr">
        <is>
          <t>A 49654-2025</t>
        </is>
      </c>
      <c r="B469" s="1" t="n">
        <v>45938</v>
      </c>
      <c r="C469" s="1" t="n">
        <v>45982</v>
      </c>
      <c r="D469" t="inlineStr">
        <is>
          <t>ÖSTERGÖTLANDS LÄN</t>
        </is>
      </c>
      <c r="E469" t="inlineStr">
        <is>
          <t>LINKÖPING</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2697-2023</t>
        </is>
      </c>
      <c r="B470" s="1" t="n">
        <v>44944</v>
      </c>
      <c r="C470" s="1" t="n">
        <v>45982</v>
      </c>
      <c r="D470" t="inlineStr">
        <is>
          <t>ÖSTERGÖTLANDS LÄN</t>
        </is>
      </c>
      <c r="E470" t="inlineStr">
        <is>
          <t>LINKÖPING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49615-2025</t>
        </is>
      </c>
      <c r="B471" s="1" t="n">
        <v>45938</v>
      </c>
      <c r="C471" s="1" t="n">
        <v>45982</v>
      </c>
      <c r="D471" t="inlineStr">
        <is>
          <t>ÖSTERGÖTLANDS LÄN</t>
        </is>
      </c>
      <c r="E471" t="inlineStr">
        <is>
          <t>LINKÖPING</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49619-2025</t>
        </is>
      </c>
      <c r="B472" s="1" t="n">
        <v>45938</v>
      </c>
      <c r="C472" s="1" t="n">
        <v>45982</v>
      </c>
      <c r="D472" t="inlineStr">
        <is>
          <t>ÖSTERGÖTLANDS LÄN</t>
        </is>
      </c>
      <c r="E472" t="inlineStr">
        <is>
          <t>LINKÖPING</t>
        </is>
      </c>
      <c r="F472" t="inlineStr">
        <is>
          <t>Övriga Aktiebolag</t>
        </is>
      </c>
      <c r="G472" t="n">
        <v>2.3</v>
      </c>
      <c r="H472" t="n">
        <v>0</v>
      </c>
      <c r="I472" t="n">
        <v>0</v>
      </c>
      <c r="J472" t="n">
        <v>0</v>
      </c>
      <c r="K472" t="n">
        <v>0</v>
      </c>
      <c r="L472" t="n">
        <v>0</v>
      </c>
      <c r="M472" t="n">
        <v>0</v>
      </c>
      <c r="N472" t="n">
        <v>0</v>
      </c>
      <c r="O472" t="n">
        <v>0</v>
      </c>
      <c r="P472" t="n">
        <v>0</v>
      </c>
      <c r="Q472" t="n">
        <v>0</v>
      </c>
      <c r="R472" s="2" t="inlineStr"/>
    </row>
    <row r="473" ht="15" customHeight="1">
      <c r="A473" t="inlineStr">
        <is>
          <t>A 49629-2025</t>
        </is>
      </c>
      <c r="B473" s="1" t="n">
        <v>45938</v>
      </c>
      <c r="C473" s="1" t="n">
        <v>45982</v>
      </c>
      <c r="D473" t="inlineStr">
        <is>
          <t>ÖSTERGÖTLANDS LÄN</t>
        </is>
      </c>
      <c r="E473" t="inlineStr">
        <is>
          <t>LINKÖPING</t>
        </is>
      </c>
      <c r="F473" t="inlineStr">
        <is>
          <t>Övriga Aktiebolag</t>
        </is>
      </c>
      <c r="G473" t="n">
        <v>4.5</v>
      </c>
      <c r="H473" t="n">
        <v>0</v>
      </c>
      <c r="I473" t="n">
        <v>0</v>
      </c>
      <c r="J473" t="n">
        <v>0</v>
      </c>
      <c r="K473" t="n">
        <v>0</v>
      </c>
      <c r="L473" t="n">
        <v>0</v>
      </c>
      <c r="M473" t="n">
        <v>0</v>
      </c>
      <c r="N473" t="n">
        <v>0</v>
      </c>
      <c r="O473" t="n">
        <v>0</v>
      </c>
      <c r="P473" t="n">
        <v>0</v>
      </c>
      <c r="Q473" t="n">
        <v>0</v>
      </c>
      <c r="R473" s="2" t="inlineStr"/>
    </row>
    <row r="474" ht="15" customHeight="1">
      <c r="A474" t="inlineStr">
        <is>
          <t>A 49650-2025</t>
        </is>
      </c>
      <c r="B474" s="1" t="n">
        <v>45938</v>
      </c>
      <c r="C474" s="1" t="n">
        <v>45982</v>
      </c>
      <c r="D474" t="inlineStr">
        <is>
          <t>ÖSTERGÖTLANDS LÄN</t>
        </is>
      </c>
      <c r="E474" t="inlineStr">
        <is>
          <t>LINKÖPING</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45806-2024</t>
        </is>
      </c>
      <c r="B475" s="1" t="n">
        <v>45579.69619212963</v>
      </c>
      <c r="C475" s="1" t="n">
        <v>45982</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56756-2023</t>
        </is>
      </c>
      <c r="B476" s="1" t="n">
        <v>45244</v>
      </c>
      <c r="C476" s="1" t="n">
        <v>45982</v>
      </c>
      <c r="D476" t="inlineStr">
        <is>
          <t>ÖSTERGÖTLANDS LÄN</t>
        </is>
      </c>
      <c r="E476" t="inlineStr">
        <is>
          <t>LINKÖPING</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49633-2025</t>
        </is>
      </c>
      <c r="B477" s="1" t="n">
        <v>45938</v>
      </c>
      <c r="C477" s="1" t="n">
        <v>45982</v>
      </c>
      <c r="D477" t="inlineStr">
        <is>
          <t>ÖSTERGÖTLANDS LÄN</t>
        </is>
      </c>
      <c r="E477" t="inlineStr">
        <is>
          <t>LINKÖPING</t>
        </is>
      </c>
      <c r="F477" t="inlineStr">
        <is>
          <t>Övriga Aktiebolag</t>
        </is>
      </c>
      <c r="G477" t="n">
        <v>0.7</v>
      </c>
      <c r="H477" t="n">
        <v>0</v>
      </c>
      <c r="I477" t="n">
        <v>0</v>
      </c>
      <c r="J477" t="n">
        <v>0</v>
      </c>
      <c r="K477" t="n">
        <v>0</v>
      </c>
      <c r="L477" t="n">
        <v>0</v>
      </c>
      <c r="M477" t="n">
        <v>0</v>
      </c>
      <c r="N477" t="n">
        <v>0</v>
      </c>
      <c r="O477" t="n">
        <v>0</v>
      </c>
      <c r="P477" t="n">
        <v>0</v>
      </c>
      <c r="Q477" t="n">
        <v>0</v>
      </c>
      <c r="R477" s="2" t="inlineStr"/>
    </row>
    <row r="478" ht="15" customHeight="1">
      <c r="A478" t="inlineStr">
        <is>
          <t>A 60985-2023</t>
        </is>
      </c>
      <c r="B478" s="1" t="n">
        <v>45261.48429398148</v>
      </c>
      <c r="C478" s="1" t="n">
        <v>45982</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24904-2024</t>
        </is>
      </c>
      <c r="B479" s="1" t="n">
        <v>45461</v>
      </c>
      <c r="C479" s="1" t="n">
        <v>45982</v>
      </c>
      <c r="D479" t="inlineStr">
        <is>
          <t>ÖSTERGÖTLANDS LÄN</t>
        </is>
      </c>
      <c r="E479" t="inlineStr">
        <is>
          <t>LINKÖPING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55009-2023</t>
        </is>
      </c>
      <c r="B480" s="1" t="n">
        <v>45237</v>
      </c>
      <c r="C480" s="1" t="n">
        <v>45982</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34872-2023</t>
        </is>
      </c>
      <c r="B481" s="1" t="n">
        <v>45140</v>
      </c>
      <c r="C481" s="1" t="n">
        <v>45982</v>
      </c>
      <c r="D481" t="inlineStr">
        <is>
          <t>ÖSTERGÖTLANDS LÄN</t>
        </is>
      </c>
      <c r="E481" t="inlineStr">
        <is>
          <t>LINKÖPING</t>
        </is>
      </c>
      <c r="G481" t="n">
        <v>4.8</v>
      </c>
      <c r="H481" t="n">
        <v>0</v>
      </c>
      <c r="I481" t="n">
        <v>0</v>
      </c>
      <c r="J481" t="n">
        <v>0</v>
      </c>
      <c r="K481" t="n">
        <v>0</v>
      </c>
      <c r="L481" t="n">
        <v>0</v>
      </c>
      <c r="M481" t="n">
        <v>0</v>
      </c>
      <c r="N481" t="n">
        <v>0</v>
      </c>
      <c r="O481" t="n">
        <v>0</v>
      </c>
      <c r="P481" t="n">
        <v>0</v>
      </c>
      <c r="Q481" t="n">
        <v>0</v>
      </c>
      <c r="R481" s="2" t="inlineStr"/>
    </row>
    <row r="482" ht="15" customHeight="1">
      <c r="A482" t="inlineStr">
        <is>
          <t>A 36336-2022</t>
        </is>
      </c>
      <c r="B482" s="1" t="n">
        <v>44803</v>
      </c>
      <c r="C482" s="1" t="n">
        <v>45982</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25097-2023</t>
        </is>
      </c>
      <c r="B483" s="1" t="n">
        <v>45086</v>
      </c>
      <c r="C483" s="1" t="n">
        <v>45982</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10461-2023</t>
        </is>
      </c>
      <c r="B484" s="1" t="n">
        <v>44987.5969212963</v>
      </c>
      <c r="C484" s="1" t="n">
        <v>45982</v>
      </c>
      <c r="D484" t="inlineStr">
        <is>
          <t>ÖSTERGÖTLANDS LÄN</t>
        </is>
      </c>
      <c r="E484" t="inlineStr">
        <is>
          <t>LINKÖPING</t>
        </is>
      </c>
      <c r="G484" t="n">
        <v>7.8</v>
      </c>
      <c r="H484" t="n">
        <v>0</v>
      </c>
      <c r="I484" t="n">
        <v>0</v>
      </c>
      <c r="J484" t="n">
        <v>0</v>
      </c>
      <c r="K484" t="n">
        <v>0</v>
      </c>
      <c r="L484" t="n">
        <v>0</v>
      </c>
      <c r="M484" t="n">
        <v>0</v>
      </c>
      <c r="N484" t="n">
        <v>0</v>
      </c>
      <c r="O484" t="n">
        <v>0</v>
      </c>
      <c r="P484" t="n">
        <v>0</v>
      </c>
      <c r="Q484" t="n">
        <v>0</v>
      </c>
      <c r="R484" s="2" t="inlineStr"/>
    </row>
    <row r="485" ht="15" customHeight="1">
      <c r="A485" t="inlineStr">
        <is>
          <t>A 50386-2021</t>
        </is>
      </c>
      <c r="B485" s="1" t="n">
        <v>44459</v>
      </c>
      <c r="C485" s="1" t="n">
        <v>45982</v>
      </c>
      <c r="D485" t="inlineStr">
        <is>
          <t>ÖSTERGÖTLANDS LÄN</t>
        </is>
      </c>
      <c r="E485" t="inlineStr">
        <is>
          <t>LINKÖPING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350-2022</t>
        </is>
      </c>
      <c r="B486" s="1" t="n">
        <v>44565</v>
      </c>
      <c r="C486" s="1" t="n">
        <v>45982</v>
      </c>
      <c r="D486" t="inlineStr">
        <is>
          <t>ÖSTERGÖTLANDS LÄN</t>
        </is>
      </c>
      <c r="E486" t="inlineStr">
        <is>
          <t>LINKÖPING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18891-2022</t>
        </is>
      </c>
      <c r="B487" s="1" t="n">
        <v>44690</v>
      </c>
      <c r="C487" s="1" t="n">
        <v>45982</v>
      </c>
      <c r="D487" t="inlineStr">
        <is>
          <t>ÖSTERGÖTLANDS LÄN</t>
        </is>
      </c>
      <c r="E487" t="inlineStr">
        <is>
          <t>LINKÖPING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30976-2022</t>
        </is>
      </c>
      <c r="B488" s="1" t="n">
        <v>44768</v>
      </c>
      <c r="C488" s="1" t="n">
        <v>45982</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55736-2022</t>
        </is>
      </c>
      <c r="B489" s="1" t="n">
        <v>44888</v>
      </c>
      <c r="C489" s="1" t="n">
        <v>45982</v>
      </c>
      <c r="D489" t="inlineStr">
        <is>
          <t>ÖSTERGÖTLANDS LÄN</t>
        </is>
      </c>
      <c r="E489" t="inlineStr">
        <is>
          <t>LINKÖPING</t>
        </is>
      </c>
      <c r="G489" t="n">
        <v>5.5</v>
      </c>
      <c r="H489" t="n">
        <v>0</v>
      </c>
      <c r="I489" t="n">
        <v>0</v>
      </c>
      <c r="J489" t="n">
        <v>0</v>
      </c>
      <c r="K489" t="n">
        <v>0</v>
      </c>
      <c r="L489" t="n">
        <v>0</v>
      </c>
      <c r="M489" t="n">
        <v>0</v>
      </c>
      <c r="N489" t="n">
        <v>0</v>
      </c>
      <c r="O489" t="n">
        <v>0</v>
      </c>
      <c r="P489" t="n">
        <v>0</v>
      </c>
      <c r="Q489" t="n">
        <v>0</v>
      </c>
      <c r="R489" s="2" t="inlineStr"/>
    </row>
    <row r="490" ht="15" customHeight="1">
      <c r="A490" t="inlineStr">
        <is>
          <t>A 10194-2023</t>
        </is>
      </c>
      <c r="B490" s="1" t="n">
        <v>44986.52277777778</v>
      </c>
      <c r="C490" s="1" t="n">
        <v>45982</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7702-2023</t>
        </is>
      </c>
      <c r="B491" s="1" t="n">
        <v>44967</v>
      </c>
      <c r="C491" s="1" t="n">
        <v>45982</v>
      </c>
      <c r="D491" t="inlineStr">
        <is>
          <t>ÖSTERGÖTLANDS LÄN</t>
        </is>
      </c>
      <c r="E491" t="inlineStr">
        <is>
          <t>LINKÖPING</t>
        </is>
      </c>
      <c r="F491" t="inlineStr">
        <is>
          <t>Övriga statliga verk och myndigheter</t>
        </is>
      </c>
      <c r="G491" t="n">
        <v>8</v>
      </c>
      <c r="H491" t="n">
        <v>0</v>
      </c>
      <c r="I491" t="n">
        <v>0</v>
      </c>
      <c r="J491" t="n">
        <v>0</v>
      </c>
      <c r="K491" t="n">
        <v>0</v>
      </c>
      <c r="L491" t="n">
        <v>0</v>
      </c>
      <c r="M491" t="n">
        <v>0</v>
      </c>
      <c r="N491" t="n">
        <v>0</v>
      </c>
      <c r="O491" t="n">
        <v>0</v>
      </c>
      <c r="P491" t="n">
        <v>0</v>
      </c>
      <c r="Q491" t="n">
        <v>0</v>
      </c>
      <c r="R491" s="2" t="inlineStr"/>
    </row>
    <row r="492" ht="15" customHeight="1">
      <c r="A492" t="inlineStr">
        <is>
          <t>A 42000-2023</t>
        </is>
      </c>
      <c r="B492" s="1" t="n">
        <v>45177</v>
      </c>
      <c r="C492" s="1" t="n">
        <v>45982</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31534-2023</t>
        </is>
      </c>
      <c r="B493" s="1" t="n">
        <v>45116</v>
      </c>
      <c r="C493" s="1" t="n">
        <v>45982</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35427-2023</t>
        </is>
      </c>
      <c r="B494" s="1" t="n">
        <v>45146</v>
      </c>
      <c r="C494" s="1" t="n">
        <v>45982</v>
      </c>
      <c r="D494" t="inlineStr">
        <is>
          <t>ÖSTERGÖTLANDS LÄN</t>
        </is>
      </c>
      <c r="E494" t="inlineStr">
        <is>
          <t>LINKÖPING</t>
        </is>
      </c>
      <c r="F494" t="inlineStr">
        <is>
          <t>Övriga Aktiebolag</t>
        </is>
      </c>
      <c r="G494" t="n">
        <v>2.5</v>
      </c>
      <c r="H494" t="n">
        <v>0</v>
      </c>
      <c r="I494" t="n">
        <v>0</v>
      </c>
      <c r="J494" t="n">
        <v>0</v>
      </c>
      <c r="K494" t="n">
        <v>0</v>
      </c>
      <c r="L494" t="n">
        <v>0</v>
      </c>
      <c r="M494" t="n">
        <v>0</v>
      </c>
      <c r="N494" t="n">
        <v>0</v>
      </c>
      <c r="O494" t="n">
        <v>0</v>
      </c>
      <c r="P494" t="n">
        <v>0</v>
      </c>
      <c r="Q494" t="n">
        <v>0</v>
      </c>
      <c r="R494" s="2" t="inlineStr"/>
    </row>
    <row r="495" ht="15" customHeight="1">
      <c r="A495" t="inlineStr">
        <is>
          <t>A 36725-2023</t>
        </is>
      </c>
      <c r="B495" s="1" t="n">
        <v>45153.68471064815</v>
      </c>
      <c r="C495" s="1" t="n">
        <v>45982</v>
      </c>
      <c r="D495" t="inlineStr">
        <is>
          <t>ÖSTERGÖTLANDS LÄN</t>
        </is>
      </c>
      <c r="E495" t="inlineStr">
        <is>
          <t>LINKÖPING</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53639-2023</t>
        </is>
      </c>
      <c r="B496" s="1" t="n">
        <v>45230.59686342593</v>
      </c>
      <c r="C496" s="1" t="n">
        <v>45982</v>
      </c>
      <c r="D496" t="inlineStr">
        <is>
          <t>ÖSTERGÖTLANDS LÄN</t>
        </is>
      </c>
      <c r="E496" t="inlineStr">
        <is>
          <t>LINKÖPING</t>
        </is>
      </c>
      <c r="G496" t="n">
        <v>2.3</v>
      </c>
      <c r="H496" t="n">
        <v>0</v>
      </c>
      <c r="I496" t="n">
        <v>0</v>
      </c>
      <c r="J496" t="n">
        <v>0</v>
      </c>
      <c r="K496" t="n">
        <v>0</v>
      </c>
      <c r="L496" t="n">
        <v>0</v>
      </c>
      <c r="M496" t="n">
        <v>0</v>
      </c>
      <c r="N496" t="n">
        <v>0</v>
      </c>
      <c r="O496" t="n">
        <v>0</v>
      </c>
      <c r="P496" t="n">
        <v>0</v>
      </c>
      <c r="Q496" t="n">
        <v>0</v>
      </c>
      <c r="R496" s="2" t="inlineStr"/>
    </row>
    <row r="497" ht="15" customHeight="1">
      <c r="A497" t="inlineStr">
        <is>
          <t>A 1657-2024</t>
        </is>
      </c>
      <c r="B497" s="1" t="n">
        <v>45306.82501157407</v>
      </c>
      <c r="C497" s="1" t="n">
        <v>45982</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50784-2022</t>
        </is>
      </c>
      <c r="B498" s="1" t="n">
        <v>44862</v>
      </c>
      <c r="C498" s="1" t="n">
        <v>45982</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26803-2024</t>
        </is>
      </c>
      <c r="B499" s="1" t="n">
        <v>45470</v>
      </c>
      <c r="C499" s="1" t="n">
        <v>45982</v>
      </c>
      <c r="D499" t="inlineStr">
        <is>
          <t>ÖSTERGÖTLANDS LÄN</t>
        </is>
      </c>
      <c r="E499" t="inlineStr">
        <is>
          <t>LINKÖPING</t>
        </is>
      </c>
      <c r="F499" t="inlineStr">
        <is>
          <t>Allmännings- och besparingsskogar</t>
        </is>
      </c>
      <c r="G499" t="n">
        <v>4.5</v>
      </c>
      <c r="H499" t="n">
        <v>0</v>
      </c>
      <c r="I499" t="n">
        <v>0</v>
      </c>
      <c r="J499" t="n">
        <v>0</v>
      </c>
      <c r="K499" t="n">
        <v>0</v>
      </c>
      <c r="L499" t="n">
        <v>0</v>
      </c>
      <c r="M499" t="n">
        <v>0</v>
      </c>
      <c r="N499" t="n">
        <v>0</v>
      </c>
      <c r="O499" t="n">
        <v>0</v>
      </c>
      <c r="P499" t="n">
        <v>0</v>
      </c>
      <c r="Q499" t="n">
        <v>0</v>
      </c>
      <c r="R499" s="2" t="inlineStr"/>
    </row>
    <row r="500" ht="15" customHeight="1">
      <c r="A500" t="inlineStr">
        <is>
          <t>A 19187-2021</t>
        </is>
      </c>
      <c r="B500" s="1" t="n">
        <v>44308</v>
      </c>
      <c r="C500" s="1" t="n">
        <v>45982</v>
      </c>
      <c r="D500" t="inlineStr">
        <is>
          <t>ÖSTERGÖTLANDS LÄN</t>
        </is>
      </c>
      <c r="E500" t="inlineStr">
        <is>
          <t>LINKÖPING</t>
        </is>
      </c>
      <c r="F500" t="inlineStr">
        <is>
          <t>Allmännings- och besparingsskogar</t>
        </is>
      </c>
      <c r="G500" t="n">
        <v>20</v>
      </c>
      <c r="H500" t="n">
        <v>0</v>
      </c>
      <c r="I500" t="n">
        <v>0</v>
      </c>
      <c r="J500" t="n">
        <v>0</v>
      </c>
      <c r="K500" t="n">
        <v>0</v>
      </c>
      <c r="L500" t="n">
        <v>0</v>
      </c>
      <c r="M500" t="n">
        <v>0</v>
      </c>
      <c r="N500" t="n">
        <v>0</v>
      </c>
      <c r="O500" t="n">
        <v>0</v>
      </c>
      <c r="P500" t="n">
        <v>0</v>
      </c>
      <c r="Q500" t="n">
        <v>0</v>
      </c>
      <c r="R500" s="2" t="inlineStr"/>
    </row>
    <row r="501" ht="15" customHeight="1">
      <c r="A501" t="inlineStr">
        <is>
          <t>A 60472-2022</t>
        </is>
      </c>
      <c r="B501" s="1" t="n">
        <v>44911.41037037037</v>
      </c>
      <c r="C501" s="1" t="n">
        <v>45982</v>
      </c>
      <c r="D501" t="inlineStr">
        <is>
          <t>ÖSTERGÖTLANDS LÄN</t>
        </is>
      </c>
      <c r="E501" t="inlineStr">
        <is>
          <t>LINKÖPING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43934-2023</t>
        </is>
      </c>
      <c r="B502" s="1" t="n">
        <v>45187</v>
      </c>
      <c r="C502" s="1" t="n">
        <v>45982</v>
      </c>
      <c r="D502" t="inlineStr">
        <is>
          <t>ÖSTERGÖTLANDS LÄN</t>
        </is>
      </c>
      <c r="E502" t="inlineStr">
        <is>
          <t>LINKÖPING</t>
        </is>
      </c>
      <c r="F502" t="inlineStr">
        <is>
          <t>Övriga Aktiebolag</t>
        </is>
      </c>
      <c r="G502" t="n">
        <v>3.8</v>
      </c>
      <c r="H502" t="n">
        <v>0</v>
      </c>
      <c r="I502" t="n">
        <v>0</v>
      </c>
      <c r="J502" t="n">
        <v>0</v>
      </c>
      <c r="K502" t="n">
        <v>0</v>
      </c>
      <c r="L502" t="n">
        <v>0</v>
      </c>
      <c r="M502" t="n">
        <v>0</v>
      </c>
      <c r="N502" t="n">
        <v>0</v>
      </c>
      <c r="O502" t="n">
        <v>0</v>
      </c>
      <c r="P502" t="n">
        <v>0</v>
      </c>
      <c r="Q502" t="n">
        <v>0</v>
      </c>
      <c r="R502" s="2" t="inlineStr"/>
    </row>
    <row r="503" ht="15" customHeight="1">
      <c r="A503" t="inlineStr">
        <is>
          <t>A 22774-2024</t>
        </is>
      </c>
      <c r="B503" s="1" t="n">
        <v>45448.46924768519</v>
      </c>
      <c r="C503" s="1" t="n">
        <v>45982</v>
      </c>
      <c r="D503" t="inlineStr">
        <is>
          <t>ÖSTERGÖTLANDS LÄN</t>
        </is>
      </c>
      <c r="E503" t="inlineStr">
        <is>
          <t>LINKÖPING</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22778-2024</t>
        </is>
      </c>
      <c r="B504" s="1" t="n">
        <v>45448.47233796296</v>
      </c>
      <c r="C504" s="1" t="n">
        <v>45982</v>
      </c>
      <c r="D504" t="inlineStr">
        <is>
          <t>ÖSTERGÖTLANDS LÄN</t>
        </is>
      </c>
      <c r="E504" t="inlineStr">
        <is>
          <t>LINKÖPING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1209-2023</t>
        </is>
      </c>
      <c r="B505" s="1" t="n">
        <v>44930</v>
      </c>
      <c r="C505" s="1" t="n">
        <v>45982</v>
      </c>
      <c r="D505" t="inlineStr">
        <is>
          <t>ÖSTERGÖTLANDS LÄN</t>
        </is>
      </c>
      <c r="E505" t="inlineStr">
        <is>
          <t>LINKÖPING</t>
        </is>
      </c>
      <c r="F505" t="inlineStr">
        <is>
          <t>Övriga statliga verk och myndigheter</t>
        </is>
      </c>
      <c r="G505" t="n">
        <v>25.8</v>
      </c>
      <c r="H505" t="n">
        <v>0</v>
      </c>
      <c r="I505" t="n">
        <v>0</v>
      </c>
      <c r="J505" t="n">
        <v>0</v>
      </c>
      <c r="K505" t="n">
        <v>0</v>
      </c>
      <c r="L505" t="n">
        <v>0</v>
      </c>
      <c r="M505" t="n">
        <v>0</v>
      </c>
      <c r="N505" t="n">
        <v>0</v>
      </c>
      <c r="O505" t="n">
        <v>0</v>
      </c>
      <c r="P505" t="n">
        <v>0</v>
      </c>
      <c r="Q505" t="n">
        <v>0</v>
      </c>
      <c r="R505" s="2" t="inlineStr"/>
    </row>
    <row r="506" ht="15" customHeight="1">
      <c r="A506" t="inlineStr">
        <is>
          <t>A 10407-2025</t>
        </is>
      </c>
      <c r="B506" s="1" t="n">
        <v>45720.62863425926</v>
      </c>
      <c r="C506" s="1" t="n">
        <v>45982</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11590-2023</t>
        </is>
      </c>
      <c r="B507" s="1" t="n">
        <v>44994.36689814815</v>
      </c>
      <c r="C507" s="1" t="n">
        <v>45982</v>
      </c>
      <c r="D507" t="inlineStr">
        <is>
          <t>ÖSTERGÖTLANDS LÄN</t>
        </is>
      </c>
      <c r="E507" t="inlineStr">
        <is>
          <t>LINKÖPING</t>
        </is>
      </c>
      <c r="G507" t="n">
        <v>3.1</v>
      </c>
      <c r="H507" t="n">
        <v>0</v>
      </c>
      <c r="I507" t="n">
        <v>0</v>
      </c>
      <c r="J507" t="n">
        <v>0</v>
      </c>
      <c r="K507" t="n">
        <v>0</v>
      </c>
      <c r="L507" t="n">
        <v>0</v>
      </c>
      <c r="M507" t="n">
        <v>0</v>
      </c>
      <c r="N507" t="n">
        <v>0</v>
      </c>
      <c r="O507" t="n">
        <v>0</v>
      </c>
      <c r="P507" t="n">
        <v>0</v>
      </c>
      <c r="Q507" t="n">
        <v>0</v>
      </c>
      <c r="R507" s="2" t="inlineStr"/>
    </row>
    <row r="508" ht="15" customHeight="1">
      <c r="A508" t="inlineStr">
        <is>
          <t>A 19169-2023</t>
        </is>
      </c>
      <c r="B508" s="1" t="n">
        <v>45044</v>
      </c>
      <c r="C508" s="1" t="n">
        <v>45982</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672-2024</t>
        </is>
      </c>
      <c r="B509" s="1" t="n">
        <v>45300</v>
      </c>
      <c r="C509" s="1" t="n">
        <v>45982</v>
      </c>
      <c r="D509" t="inlineStr">
        <is>
          <t>ÖSTERGÖTLANDS LÄN</t>
        </is>
      </c>
      <c r="E509" t="inlineStr">
        <is>
          <t>LINKÖPING</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55493-2021</t>
        </is>
      </c>
      <c r="B510" s="1" t="n">
        <v>44475.61988425926</v>
      </c>
      <c r="C510" s="1" t="n">
        <v>45982</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14093-2024</t>
        </is>
      </c>
      <c r="B511" s="1" t="n">
        <v>45392.60278935185</v>
      </c>
      <c r="C511" s="1" t="n">
        <v>45982</v>
      </c>
      <c r="D511" t="inlineStr">
        <is>
          <t>ÖSTERGÖTLANDS LÄN</t>
        </is>
      </c>
      <c r="E511" t="inlineStr">
        <is>
          <t>LINKÖPING</t>
        </is>
      </c>
      <c r="F511" t="inlineStr">
        <is>
          <t>Övriga Aktiebolag</t>
        </is>
      </c>
      <c r="G511" t="n">
        <v>0.6</v>
      </c>
      <c r="H511" t="n">
        <v>0</v>
      </c>
      <c r="I511" t="n">
        <v>0</v>
      </c>
      <c r="J511" t="n">
        <v>0</v>
      </c>
      <c r="K511" t="n">
        <v>0</v>
      </c>
      <c r="L511" t="n">
        <v>0</v>
      </c>
      <c r="M511" t="n">
        <v>0</v>
      </c>
      <c r="N511" t="n">
        <v>0</v>
      </c>
      <c r="O511" t="n">
        <v>0</v>
      </c>
      <c r="P511" t="n">
        <v>0</v>
      </c>
      <c r="Q511" t="n">
        <v>0</v>
      </c>
      <c r="R511" s="2" t="inlineStr"/>
    </row>
    <row r="512" ht="15" customHeight="1">
      <c r="A512" t="inlineStr">
        <is>
          <t>A 62019-2024</t>
        </is>
      </c>
      <c r="B512" s="1" t="n">
        <v>45655.82</v>
      </c>
      <c r="C512" s="1" t="n">
        <v>45982</v>
      </c>
      <c r="D512" t="inlineStr">
        <is>
          <t>ÖSTERGÖTLANDS LÄN</t>
        </is>
      </c>
      <c r="E512" t="inlineStr">
        <is>
          <t>LINKÖPING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25119-2023</t>
        </is>
      </c>
      <c r="B513" s="1" t="n">
        <v>45086.42326388889</v>
      </c>
      <c r="C513" s="1" t="n">
        <v>45982</v>
      </c>
      <c r="D513" t="inlineStr">
        <is>
          <t>ÖSTERGÖTLANDS LÄN</t>
        </is>
      </c>
      <c r="E513" t="inlineStr">
        <is>
          <t>LINKÖPING</t>
        </is>
      </c>
      <c r="G513" t="n">
        <v>3.2</v>
      </c>
      <c r="H513" t="n">
        <v>0</v>
      </c>
      <c r="I513" t="n">
        <v>0</v>
      </c>
      <c r="J513" t="n">
        <v>0</v>
      </c>
      <c r="K513" t="n">
        <v>0</v>
      </c>
      <c r="L513" t="n">
        <v>0</v>
      </c>
      <c r="M513" t="n">
        <v>0</v>
      </c>
      <c r="N513" t="n">
        <v>0</v>
      </c>
      <c r="O513" t="n">
        <v>0</v>
      </c>
      <c r="P513" t="n">
        <v>0</v>
      </c>
      <c r="Q513" t="n">
        <v>0</v>
      </c>
      <c r="R513" s="2" t="inlineStr"/>
    </row>
    <row r="514" ht="15" customHeight="1">
      <c r="A514" t="inlineStr">
        <is>
          <t>A 57396-2021</t>
        </is>
      </c>
      <c r="B514" s="1" t="n">
        <v>44483.56151620371</v>
      </c>
      <c r="C514" s="1" t="n">
        <v>45982</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51571-2024</t>
        </is>
      </c>
      <c r="B515" s="1" t="n">
        <v>45604</v>
      </c>
      <c r="C515" s="1" t="n">
        <v>45982</v>
      </c>
      <c r="D515" t="inlineStr">
        <is>
          <t>ÖSTERGÖTLANDS LÄN</t>
        </is>
      </c>
      <c r="E515" t="inlineStr">
        <is>
          <t>LINKÖPING</t>
        </is>
      </c>
      <c r="F515" t="inlineStr">
        <is>
          <t>Övriga Aktiebolag</t>
        </is>
      </c>
      <c r="G515" t="n">
        <v>1.4</v>
      </c>
      <c r="H515" t="n">
        <v>0</v>
      </c>
      <c r="I515" t="n">
        <v>0</v>
      </c>
      <c r="J515" t="n">
        <v>0</v>
      </c>
      <c r="K515" t="n">
        <v>0</v>
      </c>
      <c r="L515" t="n">
        <v>0</v>
      </c>
      <c r="M515" t="n">
        <v>0</v>
      </c>
      <c r="N515" t="n">
        <v>0</v>
      </c>
      <c r="O515" t="n">
        <v>0</v>
      </c>
      <c r="P515" t="n">
        <v>0</v>
      </c>
      <c r="Q515" t="n">
        <v>0</v>
      </c>
      <c r="R515" s="2" t="inlineStr"/>
    </row>
    <row r="516" ht="15" customHeight="1">
      <c r="A516" t="inlineStr">
        <is>
          <t>A 17143-2025</t>
        </is>
      </c>
      <c r="B516" s="1" t="n">
        <v>45755.92731481481</v>
      </c>
      <c r="C516" s="1" t="n">
        <v>45982</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17124-2025</t>
        </is>
      </c>
      <c r="B517" s="1" t="n">
        <v>45755.69678240741</v>
      </c>
      <c r="C517" s="1" t="n">
        <v>45982</v>
      </c>
      <c r="D517" t="inlineStr">
        <is>
          <t>ÖSTERGÖTLANDS LÄN</t>
        </is>
      </c>
      <c r="E517" t="inlineStr">
        <is>
          <t>LINKÖPING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17126-2025</t>
        </is>
      </c>
      <c r="B518" s="1" t="n">
        <v>45755.70814814815</v>
      </c>
      <c r="C518" s="1" t="n">
        <v>45982</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31640-2023</t>
        </is>
      </c>
      <c r="B519" s="1" t="n">
        <v>45117</v>
      </c>
      <c r="C519" s="1" t="n">
        <v>45982</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11790-2024</t>
        </is>
      </c>
      <c r="B520" s="1" t="n">
        <v>45374</v>
      </c>
      <c r="C520" s="1" t="n">
        <v>45982</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61281-2021</t>
        </is>
      </c>
      <c r="B521" s="1" t="n">
        <v>44498.60736111111</v>
      </c>
      <c r="C521" s="1" t="n">
        <v>45982</v>
      </c>
      <c r="D521" t="inlineStr">
        <is>
          <t>ÖSTERGÖTLANDS LÄN</t>
        </is>
      </c>
      <c r="E521" t="inlineStr">
        <is>
          <t>LINKÖPING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6206-2024</t>
        </is>
      </c>
      <c r="B522" s="1" t="n">
        <v>45337.5977662037</v>
      </c>
      <c r="C522" s="1" t="n">
        <v>45982</v>
      </c>
      <c r="D522" t="inlineStr">
        <is>
          <t>ÖSTERGÖTLANDS LÄN</t>
        </is>
      </c>
      <c r="E522" t="inlineStr">
        <is>
          <t>LINKÖPING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168-2024</t>
        </is>
      </c>
      <c r="B523" s="1" t="n">
        <v>45294</v>
      </c>
      <c r="C523" s="1" t="n">
        <v>45982</v>
      </c>
      <c r="D523" t="inlineStr">
        <is>
          <t>ÖSTERGÖTLANDS LÄN</t>
        </is>
      </c>
      <c r="E523" t="inlineStr">
        <is>
          <t>LINKÖPING</t>
        </is>
      </c>
      <c r="F523" t="inlineStr">
        <is>
          <t>Allmännings- och besparingsskogar</t>
        </is>
      </c>
      <c r="G523" t="n">
        <v>8.9</v>
      </c>
      <c r="H523" t="n">
        <v>0</v>
      </c>
      <c r="I523" t="n">
        <v>0</v>
      </c>
      <c r="J523" t="n">
        <v>0</v>
      </c>
      <c r="K523" t="n">
        <v>0</v>
      </c>
      <c r="L523" t="n">
        <v>0</v>
      </c>
      <c r="M523" t="n">
        <v>0</v>
      </c>
      <c r="N523" t="n">
        <v>0</v>
      </c>
      <c r="O523" t="n">
        <v>0</v>
      </c>
      <c r="P523" t="n">
        <v>0</v>
      </c>
      <c r="Q523" t="n">
        <v>0</v>
      </c>
      <c r="R523" s="2" t="inlineStr"/>
    </row>
    <row r="524" ht="15" customHeight="1">
      <c r="A524" t="inlineStr">
        <is>
          <t>A 51919-2024</t>
        </is>
      </c>
      <c r="B524" s="1" t="n">
        <v>45607.60791666667</v>
      </c>
      <c r="C524" s="1" t="n">
        <v>45982</v>
      </c>
      <c r="D524" t="inlineStr">
        <is>
          <t>ÖSTERGÖTLANDS LÄN</t>
        </is>
      </c>
      <c r="E524" t="inlineStr">
        <is>
          <t>LINKÖPING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56623-2024</t>
        </is>
      </c>
      <c r="B525" s="1" t="n">
        <v>45625</v>
      </c>
      <c r="C525" s="1" t="n">
        <v>45982</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11330-2023</t>
        </is>
      </c>
      <c r="B526" s="1" t="n">
        <v>44993.24648148148</v>
      </c>
      <c r="C526" s="1" t="n">
        <v>45982</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63304-2021</t>
        </is>
      </c>
      <c r="B527" s="1" t="n">
        <v>44508.4396412037</v>
      </c>
      <c r="C527" s="1" t="n">
        <v>45982</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14528-2025</t>
        </is>
      </c>
      <c r="B528" s="1" t="n">
        <v>45741</v>
      </c>
      <c r="C528" s="1" t="n">
        <v>45982</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3530-2024</t>
        </is>
      </c>
      <c r="B529" s="1" t="n">
        <v>45320.54717592592</v>
      </c>
      <c r="C529" s="1" t="n">
        <v>45982</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62073-2023</t>
        </is>
      </c>
      <c r="B530" s="1" t="n">
        <v>45266.73844907407</v>
      </c>
      <c r="C530" s="1" t="n">
        <v>45982</v>
      </c>
      <c r="D530" t="inlineStr">
        <is>
          <t>ÖSTERGÖTLANDS LÄN</t>
        </is>
      </c>
      <c r="E530" t="inlineStr">
        <is>
          <t>LINKÖPING</t>
        </is>
      </c>
      <c r="F530" t="inlineStr">
        <is>
          <t>Allmännings- och besparingsskogar</t>
        </is>
      </c>
      <c r="G530" t="n">
        <v>1.8</v>
      </c>
      <c r="H530" t="n">
        <v>0</v>
      </c>
      <c r="I530" t="n">
        <v>0</v>
      </c>
      <c r="J530" t="n">
        <v>0</v>
      </c>
      <c r="K530" t="n">
        <v>0</v>
      </c>
      <c r="L530" t="n">
        <v>0</v>
      </c>
      <c r="M530" t="n">
        <v>0</v>
      </c>
      <c r="N530" t="n">
        <v>0</v>
      </c>
      <c r="O530" t="n">
        <v>0</v>
      </c>
      <c r="P530" t="n">
        <v>0</v>
      </c>
      <c r="Q530" t="n">
        <v>0</v>
      </c>
      <c r="R530" s="2" t="inlineStr"/>
    </row>
    <row r="531" ht="15" customHeight="1">
      <c r="A531" t="inlineStr">
        <is>
          <t>A 5872-2025</t>
        </is>
      </c>
      <c r="B531" s="1" t="n">
        <v>45695.36659722222</v>
      </c>
      <c r="C531" s="1" t="n">
        <v>45982</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53814-2023</t>
        </is>
      </c>
      <c r="B532" s="1" t="n">
        <v>45231</v>
      </c>
      <c r="C532" s="1" t="n">
        <v>45982</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3432-2023</t>
        </is>
      </c>
      <c r="B533" s="1" t="n">
        <v>44949</v>
      </c>
      <c r="C533" s="1" t="n">
        <v>45982</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54425-2022</t>
        </is>
      </c>
      <c r="B534" s="1" t="n">
        <v>44882.57453703704</v>
      </c>
      <c r="C534" s="1" t="n">
        <v>45982</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54428-2022</t>
        </is>
      </c>
      <c r="B535" s="1" t="n">
        <v>44882.57643518518</v>
      </c>
      <c r="C535" s="1" t="n">
        <v>45982</v>
      </c>
      <c r="D535" t="inlineStr">
        <is>
          <t>ÖSTERGÖTLANDS LÄN</t>
        </is>
      </c>
      <c r="E535" t="inlineStr">
        <is>
          <t>LINKÖPING</t>
        </is>
      </c>
      <c r="G535" t="n">
        <v>1.4</v>
      </c>
      <c r="H535" t="n">
        <v>0</v>
      </c>
      <c r="I535" t="n">
        <v>0</v>
      </c>
      <c r="J535" t="n">
        <v>0</v>
      </c>
      <c r="K535" t="n">
        <v>0</v>
      </c>
      <c r="L535" t="n">
        <v>0</v>
      </c>
      <c r="M535" t="n">
        <v>0</v>
      </c>
      <c r="N535" t="n">
        <v>0</v>
      </c>
      <c r="O535" t="n">
        <v>0</v>
      </c>
      <c r="P535" t="n">
        <v>0</v>
      </c>
      <c r="Q535" t="n">
        <v>0</v>
      </c>
      <c r="R535" s="2" t="inlineStr"/>
    </row>
    <row r="536" ht="15" customHeight="1">
      <c r="A536" t="inlineStr">
        <is>
          <t>A 660-2023</t>
        </is>
      </c>
      <c r="B536" s="1" t="n">
        <v>44930</v>
      </c>
      <c r="C536" s="1" t="n">
        <v>45982</v>
      </c>
      <c r="D536" t="inlineStr">
        <is>
          <t>ÖSTERGÖTLANDS LÄN</t>
        </is>
      </c>
      <c r="E536" t="inlineStr">
        <is>
          <t>LINKÖPING</t>
        </is>
      </c>
      <c r="F536" t="inlineStr">
        <is>
          <t>Kyrkan</t>
        </is>
      </c>
      <c r="G536" t="n">
        <v>1.6</v>
      </c>
      <c r="H536" t="n">
        <v>0</v>
      </c>
      <c r="I536" t="n">
        <v>0</v>
      </c>
      <c r="J536" t="n">
        <v>0</v>
      </c>
      <c r="K536" t="n">
        <v>0</v>
      </c>
      <c r="L536" t="n">
        <v>0</v>
      </c>
      <c r="M536" t="n">
        <v>0</v>
      </c>
      <c r="N536" t="n">
        <v>0</v>
      </c>
      <c r="O536" t="n">
        <v>0</v>
      </c>
      <c r="P536" t="n">
        <v>0</v>
      </c>
      <c r="Q536" t="n">
        <v>0</v>
      </c>
      <c r="R536" s="2" t="inlineStr"/>
    </row>
    <row r="537" ht="15" customHeight="1">
      <c r="A537" t="inlineStr">
        <is>
          <t>A 62501-2023</t>
        </is>
      </c>
      <c r="B537" s="1" t="n">
        <v>45268</v>
      </c>
      <c r="C537" s="1" t="n">
        <v>45982</v>
      </c>
      <c r="D537" t="inlineStr">
        <is>
          <t>ÖSTERGÖTLANDS LÄN</t>
        </is>
      </c>
      <c r="E537" t="inlineStr">
        <is>
          <t>LINKÖPING</t>
        </is>
      </c>
      <c r="G537" t="n">
        <v>7.4</v>
      </c>
      <c r="H537" t="n">
        <v>0</v>
      </c>
      <c r="I537" t="n">
        <v>0</v>
      </c>
      <c r="J537" t="n">
        <v>0</v>
      </c>
      <c r="K537" t="n">
        <v>0</v>
      </c>
      <c r="L537" t="n">
        <v>0</v>
      </c>
      <c r="M537" t="n">
        <v>0</v>
      </c>
      <c r="N537" t="n">
        <v>0</v>
      </c>
      <c r="O537" t="n">
        <v>0</v>
      </c>
      <c r="P537" t="n">
        <v>0</v>
      </c>
      <c r="Q537" t="n">
        <v>0</v>
      </c>
      <c r="R537" s="2" t="inlineStr"/>
    </row>
    <row r="538" ht="15" customHeight="1">
      <c r="A538" t="inlineStr">
        <is>
          <t>A 13413-2023</t>
        </is>
      </c>
      <c r="B538" s="1" t="n">
        <v>45005.58341435185</v>
      </c>
      <c r="C538" s="1" t="n">
        <v>45982</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26620-2023</t>
        </is>
      </c>
      <c r="B539" s="1" t="n">
        <v>45092.70390046296</v>
      </c>
      <c r="C539" s="1" t="n">
        <v>45982</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62374-2020</t>
        </is>
      </c>
      <c r="B540" s="1" t="n">
        <v>44159</v>
      </c>
      <c r="C540" s="1" t="n">
        <v>45982</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16462-2021</t>
        </is>
      </c>
      <c r="B541" s="1" t="n">
        <v>44293</v>
      </c>
      <c r="C541" s="1" t="n">
        <v>45982</v>
      </c>
      <c r="D541" t="inlineStr">
        <is>
          <t>ÖSTERGÖTLANDS LÄN</t>
        </is>
      </c>
      <c r="E541" t="inlineStr">
        <is>
          <t>LINKÖPING</t>
        </is>
      </c>
      <c r="F541" t="inlineStr">
        <is>
          <t>Allmännings- och besparingsskogar</t>
        </is>
      </c>
      <c r="G541" t="n">
        <v>24.7</v>
      </c>
      <c r="H541" t="n">
        <v>0</v>
      </c>
      <c r="I541" t="n">
        <v>0</v>
      </c>
      <c r="J541" t="n">
        <v>0</v>
      </c>
      <c r="K541" t="n">
        <v>0</v>
      </c>
      <c r="L541" t="n">
        <v>0</v>
      </c>
      <c r="M541" t="n">
        <v>0</v>
      </c>
      <c r="N541" t="n">
        <v>0</v>
      </c>
      <c r="O541" t="n">
        <v>0</v>
      </c>
      <c r="P541" t="n">
        <v>0</v>
      </c>
      <c r="Q541" t="n">
        <v>0</v>
      </c>
      <c r="R541" s="2" t="inlineStr"/>
    </row>
    <row r="542" ht="15" customHeight="1">
      <c r="A542" t="inlineStr">
        <is>
          <t>A 63554-2023</t>
        </is>
      </c>
      <c r="B542" s="1" t="n">
        <v>45275</v>
      </c>
      <c r="C542" s="1" t="n">
        <v>45982</v>
      </c>
      <c r="D542" t="inlineStr">
        <is>
          <t>ÖSTERGÖTLANDS LÄN</t>
        </is>
      </c>
      <c r="E542" t="inlineStr">
        <is>
          <t>LINKÖPING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63638-2023</t>
        </is>
      </c>
      <c r="B543" s="1" t="n">
        <v>45275</v>
      </c>
      <c r="C543" s="1" t="n">
        <v>45982</v>
      </c>
      <c r="D543" t="inlineStr">
        <is>
          <t>ÖSTERGÖTLANDS LÄN</t>
        </is>
      </c>
      <c r="E543" t="inlineStr">
        <is>
          <t>LINKÖPING</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63658-2023</t>
        </is>
      </c>
      <c r="B544" s="1" t="n">
        <v>45275</v>
      </c>
      <c r="C544" s="1" t="n">
        <v>45982</v>
      </c>
      <c r="D544" t="inlineStr">
        <is>
          <t>ÖSTERGÖTLANDS LÄN</t>
        </is>
      </c>
      <c r="E544" t="inlineStr">
        <is>
          <t>LINKÖPING</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16820-2024</t>
        </is>
      </c>
      <c r="B545" s="1" t="n">
        <v>45411.46809027778</v>
      </c>
      <c r="C545" s="1" t="n">
        <v>45982</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4456-2024</t>
        </is>
      </c>
      <c r="B546" s="1" t="n">
        <v>45327.52847222222</v>
      </c>
      <c r="C546" s="1" t="n">
        <v>45982</v>
      </c>
      <c r="D546" t="inlineStr">
        <is>
          <t>ÖSTERGÖTLANDS LÄN</t>
        </is>
      </c>
      <c r="E546" t="inlineStr">
        <is>
          <t>LINKÖPING</t>
        </is>
      </c>
      <c r="G546" t="n">
        <v>2.7</v>
      </c>
      <c r="H546" t="n">
        <v>0</v>
      </c>
      <c r="I546" t="n">
        <v>0</v>
      </c>
      <c r="J546" t="n">
        <v>0</v>
      </c>
      <c r="K546" t="n">
        <v>0</v>
      </c>
      <c r="L546" t="n">
        <v>0</v>
      </c>
      <c r="M546" t="n">
        <v>0</v>
      </c>
      <c r="N546" t="n">
        <v>0</v>
      </c>
      <c r="O546" t="n">
        <v>0</v>
      </c>
      <c r="P546" t="n">
        <v>0</v>
      </c>
      <c r="Q546" t="n">
        <v>0</v>
      </c>
      <c r="R546" s="2" t="inlineStr"/>
    </row>
    <row r="547" ht="15" customHeight="1">
      <c r="A547" t="inlineStr">
        <is>
          <t>A 20298-2025</t>
        </is>
      </c>
      <c r="B547" s="1" t="n">
        <v>45774.75024305555</v>
      </c>
      <c r="C547" s="1" t="n">
        <v>45982</v>
      </c>
      <c r="D547" t="inlineStr">
        <is>
          <t>ÖSTERGÖTLANDS LÄN</t>
        </is>
      </c>
      <c r="E547" t="inlineStr">
        <is>
          <t>LINKÖPING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15121-2022</t>
        </is>
      </c>
      <c r="B548" s="1" t="n">
        <v>44658</v>
      </c>
      <c r="C548" s="1" t="n">
        <v>45982</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50743-2023</t>
        </is>
      </c>
      <c r="B549" s="1" t="n">
        <v>45217</v>
      </c>
      <c r="C549" s="1" t="n">
        <v>45982</v>
      </c>
      <c r="D549" t="inlineStr">
        <is>
          <t>ÖSTERGÖTLANDS LÄN</t>
        </is>
      </c>
      <c r="E549" t="inlineStr">
        <is>
          <t>LINKÖPING</t>
        </is>
      </c>
      <c r="G549" t="n">
        <v>2.7</v>
      </c>
      <c r="H549" t="n">
        <v>0</v>
      </c>
      <c r="I549" t="n">
        <v>0</v>
      </c>
      <c r="J549" t="n">
        <v>0</v>
      </c>
      <c r="K549" t="n">
        <v>0</v>
      </c>
      <c r="L549" t="n">
        <v>0</v>
      </c>
      <c r="M549" t="n">
        <v>0</v>
      </c>
      <c r="N549" t="n">
        <v>0</v>
      </c>
      <c r="O549" t="n">
        <v>0</v>
      </c>
      <c r="P549" t="n">
        <v>0</v>
      </c>
      <c r="Q549" t="n">
        <v>0</v>
      </c>
      <c r="R549" s="2" t="inlineStr"/>
    </row>
    <row r="550" ht="15" customHeight="1">
      <c r="A550" t="inlineStr">
        <is>
          <t>A 1440-2021</t>
        </is>
      </c>
      <c r="B550" s="1" t="n">
        <v>44208</v>
      </c>
      <c r="C550" s="1" t="n">
        <v>45982</v>
      </c>
      <c r="D550" t="inlineStr">
        <is>
          <t>ÖSTERGÖTLANDS LÄN</t>
        </is>
      </c>
      <c r="E550" t="inlineStr">
        <is>
          <t>LINKÖPING</t>
        </is>
      </c>
      <c r="G550" t="n">
        <v>8.4</v>
      </c>
      <c r="H550" t="n">
        <v>0</v>
      </c>
      <c r="I550" t="n">
        <v>0</v>
      </c>
      <c r="J550" t="n">
        <v>0</v>
      </c>
      <c r="K550" t="n">
        <v>0</v>
      </c>
      <c r="L550" t="n">
        <v>0</v>
      </c>
      <c r="M550" t="n">
        <v>0</v>
      </c>
      <c r="N550" t="n">
        <v>0</v>
      </c>
      <c r="O550" t="n">
        <v>0</v>
      </c>
      <c r="P550" t="n">
        <v>0</v>
      </c>
      <c r="Q550" t="n">
        <v>0</v>
      </c>
      <c r="R550" s="2" t="inlineStr"/>
    </row>
    <row r="551" ht="15" customHeight="1">
      <c r="A551" t="inlineStr">
        <is>
          <t>A 13687-2025</t>
        </is>
      </c>
      <c r="B551" s="1" t="n">
        <v>45737.31425925926</v>
      </c>
      <c r="C551" s="1" t="n">
        <v>45982</v>
      </c>
      <c r="D551" t="inlineStr">
        <is>
          <t>ÖSTERGÖTLANDS LÄN</t>
        </is>
      </c>
      <c r="E551" t="inlineStr">
        <is>
          <t>LINKÖPING</t>
        </is>
      </c>
      <c r="G551" t="n">
        <v>2.7</v>
      </c>
      <c r="H551" t="n">
        <v>0</v>
      </c>
      <c r="I551" t="n">
        <v>0</v>
      </c>
      <c r="J551" t="n">
        <v>0</v>
      </c>
      <c r="K551" t="n">
        <v>0</v>
      </c>
      <c r="L551" t="n">
        <v>0</v>
      </c>
      <c r="M551" t="n">
        <v>0</v>
      </c>
      <c r="N551" t="n">
        <v>0</v>
      </c>
      <c r="O551" t="n">
        <v>0</v>
      </c>
      <c r="P551" t="n">
        <v>0</v>
      </c>
      <c r="Q551" t="n">
        <v>0</v>
      </c>
      <c r="R551" s="2" t="inlineStr"/>
    </row>
    <row r="552" ht="15" customHeight="1">
      <c r="A552" t="inlineStr">
        <is>
          <t>A 13695-2025</t>
        </is>
      </c>
      <c r="B552" s="1" t="n">
        <v>45737.32219907407</v>
      </c>
      <c r="C552" s="1" t="n">
        <v>45982</v>
      </c>
      <c r="D552" t="inlineStr">
        <is>
          <t>ÖSTERGÖTLANDS LÄN</t>
        </is>
      </c>
      <c r="E552" t="inlineStr">
        <is>
          <t>LINKÖPING</t>
        </is>
      </c>
      <c r="G552" t="n">
        <v>5.3</v>
      </c>
      <c r="H552" t="n">
        <v>0</v>
      </c>
      <c r="I552" t="n">
        <v>0</v>
      </c>
      <c r="J552" t="n">
        <v>0</v>
      </c>
      <c r="K552" t="n">
        <v>0</v>
      </c>
      <c r="L552" t="n">
        <v>0</v>
      </c>
      <c r="M552" t="n">
        <v>0</v>
      </c>
      <c r="N552" t="n">
        <v>0</v>
      </c>
      <c r="O552" t="n">
        <v>0</v>
      </c>
      <c r="P552" t="n">
        <v>0</v>
      </c>
      <c r="Q552" t="n">
        <v>0</v>
      </c>
      <c r="R552" s="2" t="inlineStr"/>
    </row>
    <row r="553" ht="15" customHeight="1">
      <c r="A553" t="inlineStr">
        <is>
          <t>A 20294-2025</t>
        </is>
      </c>
      <c r="B553" s="1" t="n">
        <v>45774.74667824074</v>
      </c>
      <c r="C553" s="1" t="n">
        <v>45982</v>
      </c>
      <c r="D553" t="inlineStr">
        <is>
          <t>ÖSTERGÖTLANDS LÄN</t>
        </is>
      </c>
      <c r="E553" t="inlineStr">
        <is>
          <t>LINKÖPING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17128-2025</t>
        </is>
      </c>
      <c r="B554" s="1" t="n">
        <v>45755.72622685185</v>
      </c>
      <c r="C554" s="1" t="n">
        <v>45982</v>
      </c>
      <c r="D554" t="inlineStr">
        <is>
          <t>ÖSTERGÖTLANDS LÄN</t>
        </is>
      </c>
      <c r="E554" t="inlineStr">
        <is>
          <t>LINKÖPING</t>
        </is>
      </c>
      <c r="G554" t="n">
        <v>2.9</v>
      </c>
      <c r="H554" t="n">
        <v>0</v>
      </c>
      <c r="I554" t="n">
        <v>0</v>
      </c>
      <c r="J554" t="n">
        <v>0</v>
      </c>
      <c r="K554" t="n">
        <v>0</v>
      </c>
      <c r="L554" t="n">
        <v>0</v>
      </c>
      <c r="M554" t="n">
        <v>0</v>
      </c>
      <c r="N554" t="n">
        <v>0</v>
      </c>
      <c r="O554" t="n">
        <v>0</v>
      </c>
      <c r="P554" t="n">
        <v>0</v>
      </c>
      <c r="Q554" t="n">
        <v>0</v>
      </c>
      <c r="R554" s="2" t="inlineStr"/>
    </row>
    <row r="555" ht="15" customHeight="1">
      <c r="A555" t="inlineStr">
        <is>
          <t>A 52125-2022</t>
        </is>
      </c>
      <c r="B555" s="1" t="n">
        <v>44873</v>
      </c>
      <c r="C555" s="1" t="n">
        <v>45982</v>
      </c>
      <c r="D555" t="inlineStr">
        <is>
          <t>ÖSTERGÖTLANDS LÄN</t>
        </is>
      </c>
      <c r="E555" t="inlineStr">
        <is>
          <t>LINKÖPING</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27343-2023</t>
        </is>
      </c>
      <c r="B556" s="1" t="n">
        <v>45096</v>
      </c>
      <c r="C556" s="1" t="n">
        <v>45982</v>
      </c>
      <c r="D556" t="inlineStr">
        <is>
          <t>ÖSTERGÖTLANDS LÄN</t>
        </is>
      </c>
      <c r="E556" t="inlineStr">
        <is>
          <t>LINKÖPING</t>
        </is>
      </c>
      <c r="F556" t="inlineStr">
        <is>
          <t>Allmännings- och besparingsskogar</t>
        </is>
      </c>
      <c r="G556" t="n">
        <v>6.9</v>
      </c>
      <c r="H556" t="n">
        <v>0</v>
      </c>
      <c r="I556" t="n">
        <v>0</v>
      </c>
      <c r="J556" t="n">
        <v>0</v>
      </c>
      <c r="K556" t="n">
        <v>0</v>
      </c>
      <c r="L556" t="n">
        <v>0</v>
      </c>
      <c r="M556" t="n">
        <v>0</v>
      </c>
      <c r="N556" t="n">
        <v>0</v>
      </c>
      <c r="O556" t="n">
        <v>0</v>
      </c>
      <c r="P556" t="n">
        <v>0</v>
      </c>
      <c r="Q556" t="n">
        <v>0</v>
      </c>
      <c r="R556" s="2" t="inlineStr"/>
    </row>
    <row r="557" ht="15" customHeight="1">
      <c r="A557" t="inlineStr">
        <is>
          <t>A 22842-2023</t>
        </is>
      </c>
      <c r="B557" s="1" t="n">
        <v>45071</v>
      </c>
      <c r="C557" s="1" t="n">
        <v>45982</v>
      </c>
      <c r="D557" t="inlineStr">
        <is>
          <t>ÖSTERGÖTLANDS LÄN</t>
        </is>
      </c>
      <c r="E557" t="inlineStr">
        <is>
          <t>LINKÖPING</t>
        </is>
      </c>
      <c r="F557" t="inlineStr">
        <is>
          <t>Kommuner</t>
        </is>
      </c>
      <c r="G557" t="n">
        <v>1.3</v>
      </c>
      <c r="H557" t="n">
        <v>0</v>
      </c>
      <c r="I557" t="n">
        <v>0</v>
      </c>
      <c r="J557" t="n">
        <v>0</v>
      </c>
      <c r="K557" t="n">
        <v>0</v>
      </c>
      <c r="L557" t="n">
        <v>0</v>
      </c>
      <c r="M557" t="n">
        <v>0</v>
      </c>
      <c r="N557" t="n">
        <v>0</v>
      </c>
      <c r="O557" t="n">
        <v>0</v>
      </c>
      <c r="P557" t="n">
        <v>0</v>
      </c>
      <c r="Q557" t="n">
        <v>0</v>
      </c>
      <c r="R557" s="2" t="inlineStr"/>
    </row>
    <row r="558" ht="15" customHeight="1">
      <c r="A558" t="inlineStr">
        <is>
          <t>A 14520-2025</t>
        </is>
      </c>
      <c r="B558" s="1" t="n">
        <v>45741</v>
      </c>
      <c r="C558" s="1" t="n">
        <v>45982</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31548-2022</t>
        </is>
      </c>
      <c r="B559" s="1" t="n">
        <v>44775.39832175926</v>
      </c>
      <c r="C559" s="1" t="n">
        <v>45982</v>
      </c>
      <c r="D559" t="inlineStr">
        <is>
          <t>ÖSTERGÖTLANDS LÄN</t>
        </is>
      </c>
      <c r="E559" t="inlineStr">
        <is>
          <t>LINKÖPING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62017-2024</t>
        </is>
      </c>
      <c r="B560" s="1" t="n">
        <v>45655.81140046296</v>
      </c>
      <c r="C560" s="1" t="n">
        <v>45982</v>
      </c>
      <c r="D560" t="inlineStr">
        <is>
          <t>ÖSTERGÖTLANDS LÄN</t>
        </is>
      </c>
      <c r="E560" t="inlineStr">
        <is>
          <t>LINKÖPING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17785-2023</t>
        </is>
      </c>
      <c r="B561" s="1" t="n">
        <v>45037.55094907407</v>
      </c>
      <c r="C561" s="1" t="n">
        <v>45982</v>
      </c>
      <c r="D561" t="inlineStr">
        <is>
          <t>ÖSTERGÖTLANDS LÄN</t>
        </is>
      </c>
      <c r="E561" t="inlineStr">
        <is>
          <t>LINKÖPING</t>
        </is>
      </c>
      <c r="F561" t="inlineStr">
        <is>
          <t>Allmännings- och besparingsskogar</t>
        </is>
      </c>
      <c r="G561" t="n">
        <v>3.1</v>
      </c>
      <c r="H561" t="n">
        <v>0</v>
      </c>
      <c r="I561" t="n">
        <v>0</v>
      </c>
      <c r="J561" t="n">
        <v>0</v>
      </c>
      <c r="K561" t="n">
        <v>0</v>
      </c>
      <c r="L561" t="n">
        <v>0</v>
      </c>
      <c r="M561" t="n">
        <v>0</v>
      </c>
      <c r="N561" t="n">
        <v>0</v>
      </c>
      <c r="O561" t="n">
        <v>0</v>
      </c>
      <c r="P561" t="n">
        <v>0</v>
      </c>
      <c r="Q561" t="n">
        <v>0</v>
      </c>
      <c r="R561" s="2" t="inlineStr"/>
    </row>
    <row r="562" ht="15" customHeight="1">
      <c r="A562" t="inlineStr">
        <is>
          <t>A 62686-2023</t>
        </is>
      </c>
      <c r="B562" s="1" t="n">
        <v>45271</v>
      </c>
      <c r="C562" s="1" t="n">
        <v>45982</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42044-2023</t>
        </is>
      </c>
      <c r="B563" s="1" t="n">
        <v>45177</v>
      </c>
      <c r="C563" s="1" t="n">
        <v>45982</v>
      </c>
      <c r="D563" t="inlineStr">
        <is>
          <t>ÖSTERGÖTLANDS LÄN</t>
        </is>
      </c>
      <c r="E563" t="inlineStr">
        <is>
          <t>LINKÖPING</t>
        </is>
      </c>
      <c r="G563" t="n">
        <v>3.9</v>
      </c>
      <c r="H563" t="n">
        <v>0</v>
      </c>
      <c r="I563" t="n">
        <v>0</v>
      </c>
      <c r="J563" t="n">
        <v>0</v>
      </c>
      <c r="K563" t="n">
        <v>0</v>
      </c>
      <c r="L563" t="n">
        <v>0</v>
      </c>
      <c r="M563" t="n">
        <v>0</v>
      </c>
      <c r="N563" t="n">
        <v>0</v>
      </c>
      <c r="O563" t="n">
        <v>0</v>
      </c>
      <c r="P563" t="n">
        <v>0</v>
      </c>
      <c r="Q563" t="n">
        <v>0</v>
      </c>
      <c r="R563" s="2" t="inlineStr"/>
    </row>
    <row r="564" ht="15" customHeight="1">
      <c r="A564" t="inlineStr">
        <is>
          <t>A 5314-2021</t>
        </is>
      </c>
      <c r="B564" s="1" t="n">
        <v>44229</v>
      </c>
      <c r="C564" s="1" t="n">
        <v>45982</v>
      </c>
      <c r="D564" t="inlineStr">
        <is>
          <t>ÖSTERGÖTLANDS LÄN</t>
        </is>
      </c>
      <c r="E564" t="inlineStr">
        <is>
          <t>LINKÖPING</t>
        </is>
      </c>
      <c r="G564" t="n">
        <v>6.2</v>
      </c>
      <c r="H564" t="n">
        <v>0</v>
      </c>
      <c r="I564" t="n">
        <v>0</v>
      </c>
      <c r="J564" t="n">
        <v>0</v>
      </c>
      <c r="K564" t="n">
        <v>0</v>
      </c>
      <c r="L564" t="n">
        <v>0</v>
      </c>
      <c r="M564" t="n">
        <v>0</v>
      </c>
      <c r="N564" t="n">
        <v>0</v>
      </c>
      <c r="O564" t="n">
        <v>0</v>
      </c>
      <c r="P564" t="n">
        <v>0</v>
      </c>
      <c r="Q564" t="n">
        <v>0</v>
      </c>
      <c r="R564" s="2" t="inlineStr"/>
    </row>
    <row r="565" ht="15" customHeight="1">
      <c r="A565" t="inlineStr">
        <is>
          <t>A 49656-2021</t>
        </is>
      </c>
      <c r="B565" s="1" t="n">
        <v>44454</v>
      </c>
      <c r="C565" s="1" t="n">
        <v>45982</v>
      </c>
      <c r="D565" t="inlineStr">
        <is>
          <t>ÖSTERGÖTLANDS LÄN</t>
        </is>
      </c>
      <c r="E565" t="inlineStr">
        <is>
          <t>LINKÖPING</t>
        </is>
      </c>
      <c r="G565" t="n">
        <v>2.3</v>
      </c>
      <c r="H565" t="n">
        <v>0</v>
      </c>
      <c r="I565" t="n">
        <v>0</v>
      </c>
      <c r="J565" t="n">
        <v>0</v>
      </c>
      <c r="K565" t="n">
        <v>0</v>
      </c>
      <c r="L565" t="n">
        <v>0</v>
      </c>
      <c r="M565" t="n">
        <v>0</v>
      </c>
      <c r="N565" t="n">
        <v>0</v>
      </c>
      <c r="O565" t="n">
        <v>0</v>
      </c>
      <c r="P565" t="n">
        <v>0</v>
      </c>
      <c r="Q565" t="n">
        <v>0</v>
      </c>
      <c r="R565" s="2" t="inlineStr"/>
    </row>
    <row r="566" ht="15" customHeight="1">
      <c r="A566" t="inlineStr">
        <is>
          <t>A 38230-2023</t>
        </is>
      </c>
      <c r="B566" s="1" t="n">
        <v>45161.55373842592</v>
      </c>
      <c r="C566" s="1" t="n">
        <v>45982</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45442-2024</t>
        </is>
      </c>
      <c r="B567" s="1" t="n">
        <v>45576.64189814815</v>
      </c>
      <c r="C567" s="1" t="n">
        <v>45982</v>
      </c>
      <c r="D567" t="inlineStr">
        <is>
          <t>ÖSTERGÖTLANDS LÄN</t>
        </is>
      </c>
      <c r="E567" t="inlineStr">
        <is>
          <t>LINKÖPING</t>
        </is>
      </c>
      <c r="G567" t="n">
        <v>1.8</v>
      </c>
      <c r="H567" t="n">
        <v>0</v>
      </c>
      <c r="I567" t="n">
        <v>0</v>
      </c>
      <c r="J567" t="n">
        <v>0</v>
      </c>
      <c r="K567" t="n">
        <v>0</v>
      </c>
      <c r="L567" t="n">
        <v>0</v>
      </c>
      <c r="M567" t="n">
        <v>0</v>
      </c>
      <c r="N567" t="n">
        <v>0</v>
      </c>
      <c r="O567" t="n">
        <v>0</v>
      </c>
      <c r="P567" t="n">
        <v>0</v>
      </c>
      <c r="Q567" t="n">
        <v>0</v>
      </c>
      <c r="R567" s="2" t="inlineStr"/>
    </row>
    <row r="568" ht="15" customHeight="1">
      <c r="A568" t="inlineStr">
        <is>
          <t>A 4908-2023</t>
        </is>
      </c>
      <c r="B568" s="1" t="n">
        <v>44958</v>
      </c>
      <c r="C568" s="1" t="n">
        <v>45982</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1265-2023</t>
        </is>
      </c>
      <c r="B569" s="1" t="n">
        <v>44936</v>
      </c>
      <c r="C569" s="1" t="n">
        <v>45982</v>
      </c>
      <c r="D569" t="inlineStr">
        <is>
          <t>ÖSTERGÖTLANDS LÄN</t>
        </is>
      </c>
      <c r="E569" t="inlineStr">
        <is>
          <t>LINKÖPING</t>
        </is>
      </c>
      <c r="G569" t="n">
        <v>2.3</v>
      </c>
      <c r="H569" t="n">
        <v>0</v>
      </c>
      <c r="I569" t="n">
        <v>0</v>
      </c>
      <c r="J569" t="n">
        <v>0</v>
      </c>
      <c r="K569" t="n">
        <v>0</v>
      </c>
      <c r="L569" t="n">
        <v>0</v>
      </c>
      <c r="M569" t="n">
        <v>0</v>
      </c>
      <c r="N569" t="n">
        <v>0</v>
      </c>
      <c r="O569" t="n">
        <v>0</v>
      </c>
      <c r="P569" t="n">
        <v>0</v>
      </c>
      <c r="Q569" t="n">
        <v>0</v>
      </c>
      <c r="R569" s="2" t="inlineStr"/>
    </row>
    <row r="570" ht="15" customHeight="1">
      <c r="A570" t="inlineStr">
        <is>
          <t>A 12411-2022</t>
        </is>
      </c>
      <c r="B570" s="1" t="n">
        <v>44638.21601851852</v>
      </c>
      <c r="C570" s="1" t="n">
        <v>45982</v>
      </c>
      <c r="D570" t="inlineStr">
        <is>
          <t>ÖSTERGÖTLANDS LÄN</t>
        </is>
      </c>
      <c r="E570" t="inlineStr">
        <is>
          <t>LINKÖPING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23491-2024</t>
        </is>
      </c>
      <c r="B571" s="1" t="n">
        <v>45453</v>
      </c>
      <c r="C571" s="1" t="n">
        <v>45982</v>
      </c>
      <c r="D571" t="inlineStr">
        <is>
          <t>ÖSTERGÖTLANDS LÄN</t>
        </is>
      </c>
      <c r="E571" t="inlineStr">
        <is>
          <t>LINKÖPING</t>
        </is>
      </c>
      <c r="G571" t="n">
        <v>2.2</v>
      </c>
      <c r="H571" t="n">
        <v>0</v>
      </c>
      <c r="I571" t="n">
        <v>0</v>
      </c>
      <c r="J571" t="n">
        <v>0</v>
      </c>
      <c r="K571" t="n">
        <v>0</v>
      </c>
      <c r="L571" t="n">
        <v>0</v>
      </c>
      <c r="M571" t="n">
        <v>0</v>
      </c>
      <c r="N571" t="n">
        <v>0</v>
      </c>
      <c r="O571" t="n">
        <v>0</v>
      </c>
      <c r="P571" t="n">
        <v>0</v>
      </c>
      <c r="Q571" t="n">
        <v>0</v>
      </c>
      <c r="R571" s="2" t="inlineStr"/>
    </row>
    <row r="572" ht="15" customHeight="1">
      <c r="A572" t="inlineStr">
        <is>
          <t>A 70-2024</t>
        </is>
      </c>
      <c r="B572" s="1" t="n">
        <v>45293</v>
      </c>
      <c r="C572" s="1" t="n">
        <v>45982</v>
      </c>
      <c r="D572" t="inlineStr">
        <is>
          <t>ÖSTERGÖTLANDS LÄN</t>
        </is>
      </c>
      <c r="E572" t="inlineStr">
        <is>
          <t>LINKÖPING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6054-2022</t>
        </is>
      </c>
      <c r="B573" s="1" t="n">
        <v>44599.53623842593</v>
      </c>
      <c r="C573" s="1" t="n">
        <v>45982</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31725-2022</t>
        </is>
      </c>
      <c r="B574" s="1" t="n">
        <v>44776.48541666667</v>
      </c>
      <c r="C574" s="1" t="n">
        <v>45982</v>
      </c>
      <c r="D574" t="inlineStr">
        <is>
          <t>ÖSTERGÖTLANDS LÄN</t>
        </is>
      </c>
      <c r="E574" t="inlineStr">
        <is>
          <t>LINKÖPING</t>
        </is>
      </c>
      <c r="G574" t="n">
        <v>2.6</v>
      </c>
      <c r="H574" t="n">
        <v>0</v>
      </c>
      <c r="I574" t="n">
        <v>0</v>
      </c>
      <c r="J574" t="n">
        <v>0</v>
      </c>
      <c r="K574" t="n">
        <v>0</v>
      </c>
      <c r="L574" t="n">
        <v>0</v>
      </c>
      <c r="M574" t="n">
        <v>0</v>
      </c>
      <c r="N574" t="n">
        <v>0</v>
      </c>
      <c r="O574" t="n">
        <v>0</v>
      </c>
      <c r="P574" t="n">
        <v>0</v>
      </c>
      <c r="Q574" t="n">
        <v>0</v>
      </c>
      <c r="R574" s="2" t="inlineStr"/>
    </row>
    <row r="575" ht="15" customHeight="1">
      <c r="A575" t="inlineStr">
        <is>
          <t>A 57391-2023</t>
        </is>
      </c>
      <c r="B575" s="1" t="n">
        <v>45245</v>
      </c>
      <c r="C575" s="1" t="n">
        <v>45982</v>
      </c>
      <c r="D575" t="inlineStr">
        <is>
          <t>ÖSTERGÖTLANDS LÄN</t>
        </is>
      </c>
      <c r="E575" t="inlineStr">
        <is>
          <t>LINKÖPING</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7992-2023</t>
        </is>
      </c>
      <c r="B576" s="1" t="n">
        <v>44970</v>
      </c>
      <c r="C576" s="1" t="n">
        <v>45982</v>
      </c>
      <c r="D576" t="inlineStr">
        <is>
          <t>ÖSTERGÖTLANDS LÄN</t>
        </is>
      </c>
      <c r="E576" t="inlineStr">
        <is>
          <t>LINKÖPING</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13689-2025</t>
        </is>
      </c>
      <c r="B577" s="1" t="n">
        <v>45737.31590277778</v>
      </c>
      <c r="C577" s="1" t="n">
        <v>45982</v>
      </c>
      <c r="D577" t="inlineStr">
        <is>
          <t>ÖSTERGÖTLANDS LÄN</t>
        </is>
      </c>
      <c r="E577" t="inlineStr">
        <is>
          <t>LINKÖPING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13696-2025</t>
        </is>
      </c>
      <c r="B578" s="1" t="n">
        <v>45737.32273148148</v>
      </c>
      <c r="C578" s="1" t="n">
        <v>45982</v>
      </c>
      <c r="D578" t="inlineStr">
        <is>
          <t>ÖSTERGÖTLANDS LÄN</t>
        </is>
      </c>
      <c r="E578" t="inlineStr">
        <is>
          <t>LINKÖPING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1924-2024</t>
        </is>
      </c>
      <c r="B579" s="1" t="n">
        <v>45308</v>
      </c>
      <c r="C579" s="1" t="n">
        <v>45982</v>
      </c>
      <c r="D579" t="inlineStr">
        <is>
          <t>ÖSTERGÖTLANDS LÄN</t>
        </is>
      </c>
      <c r="E579" t="inlineStr">
        <is>
          <t>LINKÖPING</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32346-2023</t>
        </is>
      </c>
      <c r="B580" s="1" t="n">
        <v>45120</v>
      </c>
      <c r="C580" s="1" t="n">
        <v>45982</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50508-2024</t>
        </is>
      </c>
      <c r="B581" s="1" t="n">
        <v>45601.53907407408</v>
      </c>
      <c r="C581" s="1" t="n">
        <v>45982</v>
      </c>
      <c r="D581" t="inlineStr">
        <is>
          <t>ÖSTERGÖTLANDS LÄN</t>
        </is>
      </c>
      <c r="E581" t="inlineStr">
        <is>
          <t>LINKÖPING</t>
        </is>
      </c>
      <c r="F581" t="inlineStr">
        <is>
          <t>Övriga Aktiebolag</t>
        </is>
      </c>
      <c r="G581" t="n">
        <v>2</v>
      </c>
      <c r="H581" t="n">
        <v>0</v>
      </c>
      <c r="I581" t="n">
        <v>0</v>
      </c>
      <c r="J581" t="n">
        <v>0</v>
      </c>
      <c r="K581" t="n">
        <v>0</v>
      </c>
      <c r="L581" t="n">
        <v>0</v>
      </c>
      <c r="M581" t="n">
        <v>0</v>
      </c>
      <c r="N581" t="n">
        <v>0</v>
      </c>
      <c r="O581" t="n">
        <v>0</v>
      </c>
      <c r="P581" t="n">
        <v>0</v>
      </c>
      <c r="Q581" t="n">
        <v>0</v>
      </c>
      <c r="R581" s="2" t="inlineStr"/>
    </row>
    <row r="582" ht="15" customHeight="1">
      <c r="A582" t="inlineStr">
        <is>
          <t>A 7808-2022</t>
        </is>
      </c>
      <c r="B582" s="1" t="n">
        <v>44608</v>
      </c>
      <c r="C582" s="1" t="n">
        <v>45982</v>
      </c>
      <c r="D582" t="inlineStr">
        <is>
          <t>ÖSTERGÖTLANDS LÄN</t>
        </is>
      </c>
      <c r="E582" t="inlineStr">
        <is>
          <t>LINKÖPING</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27844-2024</t>
        </is>
      </c>
      <c r="B583" s="1" t="n">
        <v>45475.63047453704</v>
      </c>
      <c r="C583" s="1" t="n">
        <v>45982</v>
      </c>
      <c r="D583" t="inlineStr">
        <is>
          <t>ÖSTERGÖTLANDS LÄN</t>
        </is>
      </c>
      <c r="E583" t="inlineStr">
        <is>
          <t>LINKÖPING</t>
        </is>
      </c>
      <c r="G583" t="n">
        <v>1.2</v>
      </c>
      <c r="H583" t="n">
        <v>0</v>
      </c>
      <c r="I583" t="n">
        <v>0</v>
      </c>
      <c r="J583" t="n">
        <v>0</v>
      </c>
      <c r="K583" t="n">
        <v>0</v>
      </c>
      <c r="L583" t="n">
        <v>0</v>
      </c>
      <c r="M583" t="n">
        <v>0</v>
      </c>
      <c r="N583" t="n">
        <v>0</v>
      </c>
      <c r="O583" t="n">
        <v>0</v>
      </c>
      <c r="P583" t="n">
        <v>0</v>
      </c>
      <c r="Q583" t="n">
        <v>0</v>
      </c>
      <c r="R583" s="2" t="inlineStr"/>
    </row>
    <row r="584" ht="15" customHeight="1">
      <c r="A584" t="inlineStr">
        <is>
          <t>A 40810-2022</t>
        </is>
      </c>
      <c r="B584" s="1" t="n">
        <v>44824</v>
      </c>
      <c r="C584" s="1" t="n">
        <v>45982</v>
      </c>
      <c r="D584" t="inlineStr">
        <is>
          <t>ÖSTERGÖTLANDS LÄN</t>
        </is>
      </c>
      <c r="E584" t="inlineStr">
        <is>
          <t>LINKÖPING</t>
        </is>
      </c>
      <c r="G584" t="n">
        <v>2.8</v>
      </c>
      <c r="H584" t="n">
        <v>0</v>
      </c>
      <c r="I584" t="n">
        <v>0</v>
      </c>
      <c r="J584" t="n">
        <v>0</v>
      </c>
      <c r="K584" t="n">
        <v>0</v>
      </c>
      <c r="L584" t="n">
        <v>0</v>
      </c>
      <c r="M584" t="n">
        <v>0</v>
      </c>
      <c r="N584" t="n">
        <v>0</v>
      </c>
      <c r="O584" t="n">
        <v>0</v>
      </c>
      <c r="P584" t="n">
        <v>0</v>
      </c>
      <c r="Q584" t="n">
        <v>0</v>
      </c>
      <c r="R584" s="2" t="inlineStr"/>
    </row>
    <row r="585" ht="15" customHeight="1">
      <c r="A585" t="inlineStr">
        <is>
          <t>A 51559-2024</t>
        </is>
      </c>
      <c r="B585" s="1" t="n">
        <v>45604.61431712963</v>
      </c>
      <c r="C585" s="1" t="n">
        <v>45982</v>
      </c>
      <c r="D585" t="inlineStr">
        <is>
          <t>ÖSTERGÖTLANDS LÄN</t>
        </is>
      </c>
      <c r="E585" t="inlineStr">
        <is>
          <t>LINKÖPING</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49979-2022</t>
        </is>
      </c>
      <c r="B586" s="1" t="n">
        <v>44865</v>
      </c>
      <c r="C586" s="1" t="n">
        <v>45982</v>
      </c>
      <c r="D586" t="inlineStr">
        <is>
          <t>ÖSTERGÖTLANDS LÄN</t>
        </is>
      </c>
      <c r="E586" t="inlineStr">
        <is>
          <t>LINKÖPING</t>
        </is>
      </c>
      <c r="F586" t="inlineStr">
        <is>
          <t>Övriga Aktiebolag</t>
        </is>
      </c>
      <c r="G586" t="n">
        <v>11.4</v>
      </c>
      <c r="H586" t="n">
        <v>0</v>
      </c>
      <c r="I586" t="n">
        <v>0</v>
      </c>
      <c r="J586" t="n">
        <v>0</v>
      </c>
      <c r="K586" t="n">
        <v>0</v>
      </c>
      <c r="L586" t="n">
        <v>0</v>
      </c>
      <c r="M586" t="n">
        <v>0</v>
      </c>
      <c r="N586" t="n">
        <v>0</v>
      </c>
      <c r="O586" t="n">
        <v>0</v>
      </c>
      <c r="P586" t="n">
        <v>0</v>
      </c>
      <c r="Q586" t="n">
        <v>0</v>
      </c>
      <c r="R586" s="2" t="inlineStr"/>
    </row>
    <row r="587" ht="15" customHeight="1">
      <c r="A587" t="inlineStr">
        <is>
          <t>A 39219-2021</t>
        </is>
      </c>
      <c r="B587" s="1" t="n">
        <v>44413</v>
      </c>
      <c r="C587" s="1" t="n">
        <v>45982</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39224-2021</t>
        </is>
      </c>
      <c r="B588" s="1" t="n">
        <v>44413</v>
      </c>
      <c r="C588" s="1" t="n">
        <v>45982</v>
      </c>
      <c r="D588" t="inlineStr">
        <is>
          <t>ÖSTERGÖTLANDS LÄN</t>
        </is>
      </c>
      <c r="E588" t="inlineStr">
        <is>
          <t>LINKÖPING</t>
        </is>
      </c>
      <c r="G588" t="n">
        <v>2.1</v>
      </c>
      <c r="H588" t="n">
        <v>0</v>
      </c>
      <c r="I588" t="n">
        <v>0</v>
      </c>
      <c r="J588" t="n">
        <v>0</v>
      </c>
      <c r="K588" t="n">
        <v>0</v>
      </c>
      <c r="L588" t="n">
        <v>0</v>
      </c>
      <c r="M588" t="n">
        <v>0</v>
      </c>
      <c r="N588" t="n">
        <v>0</v>
      </c>
      <c r="O588" t="n">
        <v>0</v>
      </c>
      <c r="P588" t="n">
        <v>0</v>
      </c>
      <c r="Q588" t="n">
        <v>0</v>
      </c>
      <c r="R588" s="2" t="inlineStr"/>
    </row>
    <row r="589" ht="15" customHeight="1">
      <c r="A589" t="inlineStr">
        <is>
          <t>A 62495-2023</t>
        </is>
      </c>
      <c r="B589" s="1" t="n">
        <v>45268.59717592593</v>
      </c>
      <c r="C589" s="1" t="n">
        <v>45982</v>
      </c>
      <c r="D589" t="inlineStr">
        <is>
          <t>ÖSTERGÖTLANDS LÄN</t>
        </is>
      </c>
      <c r="E589" t="inlineStr">
        <is>
          <t>LINKÖPING</t>
        </is>
      </c>
      <c r="G589" t="n">
        <v>4.1</v>
      </c>
      <c r="H589" t="n">
        <v>0</v>
      </c>
      <c r="I589" t="n">
        <v>0</v>
      </c>
      <c r="J589" t="n">
        <v>0</v>
      </c>
      <c r="K589" t="n">
        <v>0</v>
      </c>
      <c r="L589" t="n">
        <v>0</v>
      </c>
      <c r="M589" t="n">
        <v>0</v>
      </c>
      <c r="N589" t="n">
        <v>0</v>
      </c>
      <c r="O589" t="n">
        <v>0</v>
      </c>
      <c r="P589" t="n">
        <v>0</v>
      </c>
      <c r="Q589" t="n">
        <v>0</v>
      </c>
      <c r="R589" s="2" t="inlineStr"/>
    </row>
    <row r="590" ht="15" customHeight="1">
      <c r="A590" t="inlineStr">
        <is>
          <t>A 29413-2023</t>
        </is>
      </c>
      <c r="B590" s="1" t="n">
        <v>45106.46465277778</v>
      </c>
      <c r="C590" s="1" t="n">
        <v>45982</v>
      </c>
      <c r="D590" t="inlineStr">
        <is>
          <t>ÖSTERGÖTLANDS LÄN</t>
        </is>
      </c>
      <c r="E590" t="inlineStr">
        <is>
          <t>LINKÖPING</t>
        </is>
      </c>
      <c r="G590" t="n">
        <v>8</v>
      </c>
      <c r="H590" t="n">
        <v>0</v>
      </c>
      <c r="I590" t="n">
        <v>0</v>
      </c>
      <c r="J590" t="n">
        <v>0</v>
      </c>
      <c r="K590" t="n">
        <v>0</v>
      </c>
      <c r="L590" t="n">
        <v>0</v>
      </c>
      <c r="M590" t="n">
        <v>0</v>
      </c>
      <c r="N590" t="n">
        <v>0</v>
      </c>
      <c r="O590" t="n">
        <v>0</v>
      </c>
      <c r="P590" t="n">
        <v>0</v>
      </c>
      <c r="Q590" t="n">
        <v>0</v>
      </c>
      <c r="R590" s="2" t="inlineStr"/>
    </row>
    <row r="591" ht="15" customHeight="1">
      <c r="A591" t="inlineStr">
        <is>
          <t>A 25948-2023</t>
        </is>
      </c>
      <c r="B591" s="1" t="n">
        <v>45090</v>
      </c>
      <c r="C591" s="1" t="n">
        <v>45982</v>
      </c>
      <c r="D591" t="inlineStr">
        <is>
          <t>ÖSTERGÖTLANDS LÄN</t>
        </is>
      </c>
      <c r="E591" t="inlineStr">
        <is>
          <t>LINKÖPING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1627-2023</t>
        </is>
      </c>
      <c r="B592" s="1" t="n">
        <v>44937</v>
      </c>
      <c r="C592" s="1" t="n">
        <v>45982</v>
      </c>
      <c r="D592" t="inlineStr">
        <is>
          <t>ÖSTERGÖTLANDS LÄN</t>
        </is>
      </c>
      <c r="E592" t="inlineStr">
        <is>
          <t>LINKÖPING</t>
        </is>
      </c>
      <c r="G592" t="n">
        <v>10.8</v>
      </c>
      <c r="H592" t="n">
        <v>0</v>
      </c>
      <c r="I592" t="n">
        <v>0</v>
      </c>
      <c r="J592" t="n">
        <v>0</v>
      </c>
      <c r="K592" t="n">
        <v>0</v>
      </c>
      <c r="L592" t="n">
        <v>0</v>
      </c>
      <c r="M592" t="n">
        <v>0</v>
      </c>
      <c r="N592" t="n">
        <v>0</v>
      </c>
      <c r="O592" t="n">
        <v>0</v>
      </c>
      <c r="P592" t="n">
        <v>0</v>
      </c>
      <c r="Q592" t="n">
        <v>0</v>
      </c>
      <c r="R592" s="2" t="inlineStr"/>
    </row>
    <row r="593" ht="15" customHeight="1">
      <c r="A593" t="inlineStr">
        <is>
          <t>A 30481-2023</t>
        </is>
      </c>
      <c r="B593" s="1" t="n">
        <v>45111</v>
      </c>
      <c r="C593" s="1" t="n">
        <v>45982</v>
      </c>
      <c r="D593" t="inlineStr">
        <is>
          <t>ÖSTERGÖTLANDS LÄN</t>
        </is>
      </c>
      <c r="E593" t="inlineStr">
        <is>
          <t>LINKÖPING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21782-2024</t>
        </is>
      </c>
      <c r="B594" s="1" t="n">
        <v>45442.63368055555</v>
      </c>
      <c r="C594" s="1" t="n">
        <v>45982</v>
      </c>
      <c r="D594" t="inlineStr">
        <is>
          <t>ÖSTERGÖTLANDS LÄN</t>
        </is>
      </c>
      <c r="E594" t="inlineStr">
        <is>
          <t>LINKÖPING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11671-2023</t>
        </is>
      </c>
      <c r="B595" s="1" t="n">
        <v>44994.48125</v>
      </c>
      <c r="C595" s="1" t="n">
        <v>45982</v>
      </c>
      <c r="D595" t="inlineStr">
        <is>
          <t>ÖSTERGÖTLANDS LÄN</t>
        </is>
      </c>
      <c r="E595" t="inlineStr">
        <is>
          <t>LINKÖPING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3013-2023</t>
        </is>
      </c>
      <c r="B596" s="1" t="n">
        <v>44945.8092824074</v>
      </c>
      <c r="C596" s="1" t="n">
        <v>45982</v>
      </c>
      <c r="D596" t="inlineStr">
        <is>
          <t>ÖSTERGÖTLANDS LÄN</t>
        </is>
      </c>
      <c r="E596" t="inlineStr">
        <is>
          <t>LINKÖPING</t>
        </is>
      </c>
      <c r="G596" t="n">
        <v>5.2</v>
      </c>
      <c r="H596" t="n">
        <v>0</v>
      </c>
      <c r="I596" t="n">
        <v>0</v>
      </c>
      <c r="J596" t="n">
        <v>0</v>
      </c>
      <c r="K596" t="n">
        <v>0</v>
      </c>
      <c r="L596" t="n">
        <v>0</v>
      </c>
      <c r="M596" t="n">
        <v>0</v>
      </c>
      <c r="N596" t="n">
        <v>0</v>
      </c>
      <c r="O596" t="n">
        <v>0</v>
      </c>
      <c r="P596" t="n">
        <v>0</v>
      </c>
      <c r="Q596" t="n">
        <v>0</v>
      </c>
      <c r="R596" s="2" t="inlineStr"/>
    </row>
    <row r="597" ht="15" customHeight="1">
      <c r="A597" t="inlineStr">
        <is>
          <t>A 49747-2024</t>
        </is>
      </c>
      <c r="B597" s="1" t="n">
        <v>45596</v>
      </c>
      <c r="C597" s="1" t="n">
        <v>45982</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42997-2021</t>
        </is>
      </c>
      <c r="B598" s="1" t="n">
        <v>44431.45556712963</v>
      </c>
      <c r="C598" s="1" t="n">
        <v>45982</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3011-2023</t>
        </is>
      </c>
      <c r="B599" s="1" t="n">
        <v>44945</v>
      </c>
      <c r="C599" s="1" t="n">
        <v>45982</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23735-2023</t>
        </is>
      </c>
      <c r="B600" s="1" t="n">
        <v>45077</v>
      </c>
      <c r="C600" s="1" t="n">
        <v>45982</v>
      </c>
      <c r="D600" t="inlineStr">
        <is>
          <t>ÖSTERGÖTLANDS LÄN</t>
        </is>
      </c>
      <c r="E600" t="inlineStr">
        <is>
          <t>LINKÖPING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45821-2024</t>
        </is>
      </c>
      <c r="B601" s="1" t="n">
        <v>45579.75803240741</v>
      </c>
      <c r="C601" s="1" t="n">
        <v>45982</v>
      </c>
      <c r="D601" t="inlineStr">
        <is>
          <t>ÖSTERGÖTLANDS LÄN</t>
        </is>
      </c>
      <c r="E601" t="inlineStr">
        <is>
          <t>LINKÖPING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53647-2021</t>
        </is>
      </c>
      <c r="B602" s="1" t="n">
        <v>44469</v>
      </c>
      <c r="C602" s="1" t="n">
        <v>45982</v>
      </c>
      <c r="D602" t="inlineStr">
        <is>
          <t>ÖSTERGÖTLANDS LÄN</t>
        </is>
      </c>
      <c r="E602" t="inlineStr">
        <is>
          <t>LINKÖPING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6599-2023</t>
        </is>
      </c>
      <c r="B603" s="1" t="n">
        <v>44966.52603009259</v>
      </c>
      <c r="C603" s="1" t="n">
        <v>45982</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35735-2023</t>
        </is>
      </c>
      <c r="B604" s="1" t="n">
        <v>45147</v>
      </c>
      <c r="C604" s="1" t="n">
        <v>45982</v>
      </c>
      <c r="D604" t="inlineStr">
        <is>
          <t>ÖSTERGÖTLANDS LÄN</t>
        </is>
      </c>
      <c r="E604" t="inlineStr">
        <is>
          <t>LINKÖPING</t>
        </is>
      </c>
      <c r="G604" t="n">
        <v>2.8</v>
      </c>
      <c r="H604" t="n">
        <v>0</v>
      </c>
      <c r="I604" t="n">
        <v>0</v>
      </c>
      <c r="J604" t="n">
        <v>0</v>
      </c>
      <c r="K604" t="n">
        <v>0</v>
      </c>
      <c r="L604" t="n">
        <v>0</v>
      </c>
      <c r="M604" t="n">
        <v>0</v>
      </c>
      <c r="N604" t="n">
        <v>0</v>
      </c>
      <c r="O604" t="n">
        <v>0</v>
      </c>
      <c r="P604" t="n">
        <v>0</v>
      </c>
      <c r="Q604" t="n">
        <v>0</v>
      </c>
      <c r="R604" s="2" t="inlineStr"/>
    </row>
    <row r="605" ht="15" customHeight="1">
      <c r="A605" t="inlineStr">
        <is>
          <t>A 45831-2024</t>
        </is>
      </c>
      <c r="B605" s="1" t="n">
        <v>45579.90508101852</v>
      </c>
      <c r="C605" s="1" t="n">
        <v>45982</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17157-2024</t>
        </is>
      </c>
      <c r="B606" s="1" t="n">
        <v>45412.70567129629</v>
      </c>
      <c r="C606" s="1" t="n">
        <v>45982</v>
      </c>
      <c r="D606" t="inlineStr">
        <is>
          <t>ÖSTERGÖTLANDS LÄN</t>
        </is>
      </c>
      <c r="E606" t="inlineStr">
        <is>
          <t>LINKÖPING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37154-2023</t>
        </is>
      </c>
      <c r="B607" s="1" t="n">
        <v>45155</v>
      </c>
      <c r="C607" s="1" t="n">
        <v>45982</v>
      </c>
      <c r="D607" t="inlineStr">
        <is>
          <t>ÖSTERGÖTLANDS LÄN</t>
        </is>
      </c>
      <c r="E607" t="inlineStr">
        <is>
          <t>LINKÖPING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53812-2023</t>
        </is>
      </c>
      <c r="B608" s="1" t="n">
        <v>45231.39583333334</v>
      </c>
      <c r="C608" s="1" t="n">
        <v>45982</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53830-2023</t>
        </is>
      </c>
      <c r="B609" s="1" t="n">
        <v>45230</v>
      </c>
      <c r="C609" s="1" t="n">
        <v>45982</v>
      </c>
      <c r="D609" t="inlineStr">
        <is>
          <t>ÖSTERGÖTLANDS LÄN</t>
        </is>
      </c>
      <c r="E609" t="inlineStr">
        <is>
          <t>LINKÖPING</t>
        </is>
      </c>
      <c r="G609" t="n">
        <v>1.5</v>
      </c>
      <c r="H609" t="n">
        <v>0</v>
      </c>
      <c r="I609" t="n">
        <v>0</v>
      </c>
      <c r="J609" t="n">
        <v>0</v>
      </c>
      <c r="K609" t="n">
        <v>0</v>
      </c>
      <c r="L609" t="n">
        <v>0</v>
      </c>
      <c r="M609" t="n">
        <v>0</v>
      </c>
      <c r="N609" t="n">
        <v>0</v>
      </c>
      <c r="O609" t="n">
        <v>0</v>
      </c>
      <c r="P609" t="n">
        <v>0</v>
      </c>
      <c r="Q609" t="n">
        <v>0</v>
      </c>
      <c r="R609" s="2" t="inlineStr"/>
    </row>
    <row r="610" ht="15" customHeight="1">
      <c r="A610" t="inlineStr">
        <is>
          <t>A 56841-2023</t>
        </is>
      </c>
      <c r="B610" s="1" t="n">
        <v>45244</v>
      </c>
      <c r="C610" s="1" t="n">
        <v>45982</v>
      </c>
      <c r="D610" t="inlineStr">
        <is>
          <t>ÖSTERGÖTLANDS LÄN</t>
        </is>
      </c>
      <c r="E610" t="inlineStr">
        <is>
          <t>LINKÖPING</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56741-2023</t>
        </is>
      </c>
      <c r="B611" s="1" t="n">
        <v>45244</v>
      </c>
      <c r="C611" s="1" t="n">
        <v>45982</v>
      </c>
      <c r="D611" t="inlineStr">
        <is>
          <t>ÖSTERGÖTLANDS LÄN</t>
        </is>
      </c>
      <c r="E611" t="inlineStr">
        <is>
          <t>LINKÖPING</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53816-2023</t>
        </is>
      </c>
      <c r="B612" s="1" t="n">
        <v>45231.40012731482</v>
      </c>
      <c r="C612" s="1" t="n">
        <v>45982</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63935-2021</t>
        </is>
      </c>
      <c r="B613" s="1" t="n">
        <v>44509</v>
      </c>
      <c r="C613" s="1" t="n">
        <v>45982</v>
      </c>
      <c r="D613" t="inlineStr">
        <is>
          <t>ÖSTERGÖTLANDS LÄN</t>
        </is>
      </c>
      <c r="E613" t="inlineStr">
        <is>
          <t>LINKÖPING</t>
        </is>
      </c>
      <c r="F613" t="inlineStr">
        <is>
          <t>Övriga statliga verk och myndigheter</t>
        </is>
      </c>
      <c r="G613" t="n">
        <v>2.8</v>
      </c>
      <c r="H613" t="n">
        <v>0</v>
      </c>
      <c r="I613" t="n">
        <v>0</v>
      </c>
      <c r="J613" t="n">
        <v>0</v>
      </c>
      <c r="K613" t="n">
        <v>0</v>
      </c>
      <c r="L613" t="n">
        <v>0</v>
      </c>
      <c r="M613" t="n">
        <v>0</v>
      </c>
      <c r="N613" t="n">
        <v>0</v>
      </c>
      <c r="O613" t="n">
        <v>0</v>
      </c>
      <c r="P613" t="n">
        <v>0</v>
      </c>
      <c r="Q613" t="n">
        <v>0</v>
      </c>
      <c r="R613" s="2" t="inlineStr"/>
    </row>
    <row r="614" ht="15" customHeight="1">
      <c r="A614" t="inlineStr">
        <is>
          <t>A 6726-2024</t>
        </is>
      </c>
      <c r="B614" s="1" t="n">
        <v>45341</v>
      </c>
      <c r="C614" s="1" t="n">
        <v>45982</v>
      </c>
      <c r="D614" t="inlineStr">
        <is>
          <t>ÖSTERGÖTLANDS LÄN</t>
        </is>
      </c>
      <c r="E614" t="inlineStr">
        <is>
          <t>LINKÖPING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3007-2023</t>
        </is>
      </c>
      <c r="B615" s="1" t="n">
        <v>44945</v>
      </c>
      <c r="C615" s="1" t="n">
        <v>45982</v>
      </c>
      <c r="D615" t="inlineStr">
        <is>
          <t>ÖSTERGÖTLANDS LÄN</t>
        </is>
      </c>
      <c r="E615" t="inlineStr">
        <is>
          <t>LINKÖPING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18145-2021</t>
        </is>
      </c>
      <c r="B616" s="1" t="n">
        <v>44302</v>
      </c>
      <c r="C616" s="1" t="n">
        <v>45982</v>
      </c>
      <c r="D616" t="inlineStr">
        <is>
          <t>ÖSTERGÖTLANDS LÄN</t>
        </is>
      </c>
      <c r="E616" t="inlineStr">
        <is>
          <t>LINKÖPING</t>
        </is>
      </c>
      <c r="G616" t="n">
        <v>2.4</v>
      </c>
      <c r="H616" t="n">
        <v>0</v>
      </c>
      <c r="I616" t="n">
        <v>0</v>
      </c>
      <c r="J616" t="n">
        <v>0</v>
      </c>
      <c r="K616" t="n">
        <v>0</v>
      </c>
      <c r="L616" t="n">
        <v>0</v>
      </c>
      <c r="M616" t="n">
        <v>0</v>
      </c>
      <c r="N616" t="n">
        <v>0</v>
      </c>
      <c r="O616" t="n">
        <v>0</v>
      </c>
      <c r="P616" t="n">
        <v>0</v>
      </c>
      <c r="Q616" t="n">
        <v>0</v>
      </c>
      <c r="R616" s="2" t="inlineStr"/>
    </row>
    <row r="617" ht="15" customHeight="1">
      <c r="A617" t="inlineStr">
        <is>
          <t>A 29309-2024</t>
        </is>
      </c>
      <c r="B617" s="1" t="n">
        <v>45483</v>
      </c>
      <c r="C617" s="1" t="n">
        <v>45982</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53411-2023</t>
        </is>
      </c>
      <c r="B618" s="1" t="n">
        <v>45229.81049768518</v>
      </c>
      <c r="C618" s="1" t="n">
        <v>45982</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26788-2022</t>
        </is>
      </c>
      <c r="B619" s="1" t="n">
        <v>44740</v>
      </c>
      <c r="C619" s="1" t="n">
        <v>45982</v>
      </c>
      <c r="D619" t="inlineStr">
        <is>
          <t>ÖSTERGÖTLANDS LÄN</t>
        </is>
      </c>
      <c r="E619" t="inlineStr">
        <is>
          <t>LINKÖPING</t>
        </is>
      </c>
      <c r="G619" t="n">
        <v>3.2</v>
      </c>
      <c r="H619" t="n">
        <v>0</v>
      </c>
      <c r="I619" t="n">
        <v>0</v>
      </c>
      <c r="J619" t="n">
        <v>0</v>
      </c>
      <c r="K619" t="n">
        <v>0</v>
      </c>
      <c r="L619" t="n">
        <v>0</v>
      </c>
      <c r="M619" t="n">
        <v>0</v>
      </c>
      <c r="N619" t="n">
        <v>0</v>
      </c>
      <c r="O619" t="n">
        <v>0</v>
      </c>
      <c r="P619" t="n">
        <v>0</v>
      </c>
      <c r="Q619" t="n">
        <v>0</v>
      </c>
      <c r="R619" s="2" t="inlineStr"/>
    </row>
    <row r="620" ht="15" customHeight="1">
      <c r="A620" t="inlineStr">
        <is>
          <t>A 24462-2023</t>
        </is>
      </c>
      <c r="B620" s="1" t="n">
        <v>45082</v>
      </c>
      <c r="C620" s="1" t="n">
        <v>45982</v>
      </c>
      <c r="D620" t="inlineStr">
        <is>
          <t>ÖSTERGÖTLANDS LÄN</t>
        </is>
      </c>
      <c r="E620" t="inlineStr">
        <is>
          <t>LINKÖPING</t>
        </is>
      </c>
      <c r="G620" t="n">
        <v>3.5</v>
      </c>
      <c r="H620" t="n">
        <v>0</v>
      </c>
      <c r="I620" t="n">
        <v>0</v>
      </c>
      <c r="J620" t="n">
        <v>0</v>
      </c>
      <c r="K620" t="n">
        <v>0</v>
      </c>
      <c r="L620" t="n">
        <v>0</v>
      </c>
      <c r="M620" t="n">
        <v>0</v>
      </c>
      <c r="N620" t="n">
        <v>0</v>
      </c>
      <c r="O620" t="n">
        <v>0</v>
      </c>
      <c r="P620" t="n">
        <v>0</v>
      </c>
      <c r="Q620" t="n">
        <v>0</v>
      </c>
      <c r="R620" s="2" t="inlineStr"/>
    </row>
    <row r="621" ht="15" customHeight="1">
      <c r="A621" t="inlineStr">
        <is>
          <t>A 62015-2024</t>
        </is>
      </c>
      <c r="B621" s="1" t="n">
        <v>45655.80457175926</v>
      </c>
      <c r="C621" s="1" t="n">
        <v>45982</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10741-2023</t>
        </is>
      </c>
      <c r="B622" s="1" t="n">
        <v>44988.70084490741</v>
      </c>
      <c r="C622" s="1" t="n">
        <v>45982</v>
      </c>
      <c r="D622" t="inlineStr">
        <is>
          <t>ÖSTERGÖTLANDS LÄN</t>
        </is>
      </c>
      <c r="E622" t="inlineStr">
        <is>
          <t>LINKÖPING</t>
        </is>
      </c>
      <c r="F622" t="inlineStr">
        <is>
          <t>Allmännings- och besparingsskogar</t>
        </is>
      </c>
      <c r="G622" t="n">
        <v>11.2</v>
      </c>
      <c r="H622" t="n">
        <v>0</v>
      </c>
      <c r="I622" t="n">
        <v>0</v>
      </c>
      <c r="J622" t="n">
        <v>0</v>
      </c>
      <c r="K622" t="n">
        <v>0</v>
      </c>
      <c r="L622" t="n">
        <v>0</v>
      </c>
      <c r="M622" t="n">
        <v>0</v>
      </c>
      <c r="N622" t="n">
        <v>0</v>
      </c>
      <c r="O622" t="n">
        <v>0</v>
      </c>
      <c r="P622" t="n">
        <v>0</v>
      </c>
      <c r="Q622" t="n">
        <v>0</v>
      </c>
      <c r="R622" s="2" t="inlineStr"/>
    </row>
    <row r="623" ht="15" customHeight="1">
      <c r="A623" t="inlineStr">
        <is>
          <t>A 43473-2024</t>
        </is>
      </c>
      <c r="B623" s="1" t="n">
        <v>45568</v>
      </c>
      <c r="C623" s="1" t="n">
        <v>45982</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43475-2024</t>
        </is>
      </c>
      <c r="B624" s="1" t="n">
        <v>45568</v>
      </c>
      <c r="C624" s="1" t="n">
        <v>45982</v>
      </c>
      <c r="D624" t="inlineStr">
        <is>
          <t>ÖSTERGÖTLANDS LÄN</t>
        </is>
      </c>
      <c r="E624" t="inlineStr">
        <is>
          <t>LINKÖPING</t>
        </is>
      </c>
      <c r="G624" t="n">
        <v>3.2</v>
      </c>
      <c r="H624" t="n">
        <v>0</v>
      </c>
      <c r="I624" t="n">
        <v>0</v>
      </c>
      <c r="J624" t="n">
        <v>0</v>
      </c>
      <c r="K624" t="n">
        <v>0</v>
      </c>
      <c r="L624" t="n">
        <v>0</v>
      </c>
      <c r="M624" t="n">
        <v>0</v>
      </c>
      <c r="N624" t="n">
        <v>0</v>
      </c>
      <c r="O624" t="n">
        <v>0</v>
      </c>
      <c r="P624" t="n">
        <v>0</v>
      </c>
      <c r="Q624" t="n">
        <v>0</v>
      </c>
      <c r="R624" s="2" t="inlineStr"/>
    </row>
    <row r="625" ht="15" customHeight="1">
      <c r="A625" t="inlineStr">
        <is>
          <t>A 1207-2023</t>
        </is>
      </c>
      <c r="B625" s="1" t="n">
        <v>44930</v>
      </c>
      <c r="C625" s="1" t="n">
        <v>45982</v>
      </c>
      <c r="D625" t="inlineStr">
        <is>
          <t>ÖSTERGÖTLANDS LÄN</t>
        </is>
      </c>
      <c r="E625" t="inlineStr">
        <is>
          <t>LINKÖPING</t>
        </is>
      </c>
      <c r="F625" t="inlineStr">
        <is>
          <t>Övriga statliga verk och myndigheter</t>
        </is>
      </c>
      <c r="G625" t="n">
        <v>32.8</v>
      </c>
      <c r="H625" t="n">
        <v>0</v>
      </c>
      <c r="I625" t="n">
        <v>0</v>
      </c>
      <c r="J625" t="n">
        <v>0</v>
      </c>
      <c r="K625" t="n">
        <v>0</v>
      </c>
      <c r="L625" t="n">
        <v>0</v>
      </c>
      <c r="M625" t="n">
        <v>0</v>
      </c>
      <c r="N625" t="n">
        <v>0</v>
      </c>
      <c r="O625" t="n">
        <v>0</v>
      </c>
      <c r="P625" t="n">
        <v>0</v>
      </c>
      <c r="Q625" t="n">
        <v>0</v>
      </c>
      <c r="R625" s="2" t="inlineStr"/>
    </row>
    <row r="626" ht="15" customHeight="1">
      <c r="A626" t="inlineStr">
        <is>
          <t>A 29859-2024</t>
        </is>
      </c>
      <c r="B626" s="1" t="n">
        <v>45485.6846412037</v>
      </c>
      <c r="C626" s="1" t="n">
        <v>45982</v>
      </c>
      <c r="D626" t="inlineStr">
        <is>
          <t>ÖSTERGÖTLANDS LÄN</t>
        </is>
      </c>
      <c r="E626" t="inlineStr">
        <is>
          <t>LINKÖPING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45819-2024</t>
        </is>
      </c>
      <c r="B627" s="1" t="n">
        <v>45579.7454050926</v>
      </c>
      <c r="C627" s="1" t="n">
        <v>45982</v>
      </c>
      <c r="D627" t="inlineStr">
        <is>
          <t>ÖSTERGÖTLANDS LÄN</t>
        </is>
      </c>
      <c r="E627" t="inlineStr">
        <is>
          <t>LINKÖPING</t>
        </is>
      </c>
      <c r="G627" t="n">
        <v>5</v>
      </c>
      <c r="H627" t="n">
        <v>0</v>
      </c>
      <c r="I627" t="n">
        <v>0</v>
      </c>
      <c r="J627" t="n">
        <v>0</v>
      </c>
      <c r="K627" t="n">
        <v>0</v>
      </c>
      <c r="L627" t="n">
        <v>0</v>
      </c>
      <c r="M627" t="n">
        <v>0</v>
      </c>
      <c r="N627" t="n">
        <v>0</v>
      </c>
      <c r="O627" t="n">
        <v>0</v>
      </c>
      <c r="P627" t="n">
        <v>0</v>
      </c>
      <c r="Q627" t="n">
        <v>0</v>
      </c>
      <c r="R627" s="2" t="inlineStr"/>
    </row>
    <row r="628" ht="15" customHeight="1">
      <c r="A628" t="inlineStr">
        <is>
          <t>A 15748-2025</t>
        </is>
      </c>
      <c r="B628" s="1" t="n">
        <v>45748.55282407408</v>
      </c>
      <c r="C628" s="1" t="n">
        <v>45982</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15754-2025</t>
        </is>
      </c>
      <c r="B629" s="1" t="n">
        <v>45748.56105324074</v>
      </c>
      <c r="C629" s="1" t="n">
        <v>45982</v>
      </c>
      <c r="D629" t="inlineStr">
        <is>
          <t>ÖSTERGÖTLANDS LÄN</t>
        </is>
      </c>
      <c r="E629" t="inlineStr">
        <is>
          <t>LINKÖPING</t>
        </is>
      </c>
      <c r="G629" t="n">
        <v>1.7</v>
      </c>
      <c r="H629" t="n">
        <v>0</v>
      </c>
      <c r="I629" t="n">
        <v>0</v>
      </c>
      <c r="J629" t="n">
        <v>0</v>
      </c>
      <c r="K629" t="n">
        <v>0</v>
      </c>
      <c r="L629" t="n">
        <v>0</v>
      </c>
      <c r="M629" t="n">
        <v>0</v>
      </c>
      <c r="N629" t="n">
        <v>0</v>
      </c>
      <c r="O629" t="n">
        <v>0</v>
      </c>
      <c r="P629" t="n">
        <v>0</v>
      </c>
      <c r="Q629" t="n">
        <v>0</v>
      </c>
      <c r="R629" s="2" t="inlineStr"/>
    </row>
    <row r="630" ht="15" customHeight="1">
      <c r="A630" t="inlineStr">
        <is>
          <t>A 30518-2024</t>
        </is>
      </c>
      <c r="B630" s="1" t="n">
        <v>45492</v>
      </c>
      <c r="C630" s="1" t="n">
        <v>45982</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53797-2023</t>
        </is>
      </c>
      <c r="B631" s="1" t="n">
        <v>45230</v>
      </c>
      <c r="C631" s="1" t="n">
        <v>45982</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55345-2021</t>
        </is>
      </c>
      <c r="B632" s="1" t="n">
        <v>44475</v>
      </c>
      <c r="C632" s="1" t="n">
        <v>45982</v>
      </c>
      <c r="D632" t="inlineStr">
        <is>
          <t>ÖSTERGÖTLANDS LÄN</t>
        </is>
      </c>
      <c r="E632" t="inlineStr">
        <is>
          <t>LINKÖPING</t>
        </is>
      </c>
      <c r="G632" t="n">
        <v>5.7</v>
      </c>
      <c r="H632" t="n">
        <v>0</v>
      </c>
      <c r="I632" t="n">
        <v>0</v>
      </c>
      <c r="J632" t="n">
        <v>0</v>
      </c>
      <c r="K632" t="n">
        <v>0</v>
      </c>
      <c r="L632" t="n">
        <v>0</v>
      </c>
      <c r="M632" t="n">
        <v>0</v>
      </c>
      <c r="N632" t="n">
        <v>0</v>
      </c>
      <c r="O632" t="n">
        <v>0</v>
      </c>
      <c r="P632" t="n">
        <v>0</v>
      </c>
      <c r="Q632" t="n">
        <v>0</v>
      </c>
      <c r="R632" s="2" t="inlineStr"/>
    </row>
    <row r="633" ht="15" customHeight="1">
      <c r="A633" t="inlineStr">
        <is>
          <t>A 10198-2023</t>
        </is>
      </c>
      <c r="B633" s="1" t="n">
        <v>44986.54665509259</v>
      </c>
      <c r="C633" s="1" t="n">
        <v>45982</v>
      </c>
      <c r="D633" t="inlineStr">
        <is>
          <t>ÖSTERGÖTLANDS LÄN</t>
        </is>
      </c>
      <c r="E633" t="inlineStr">
        <is>
          <t>LINKÖPING</t>
        </is>
      </c>
      <c r="G633" t="n">
        <v>4.6</v>
      </c>
      <c r="H633" t="n">
        <v>0</v>
      </c>
      <c r="I633" t="n">
        <v>0</v>
      </c>
      <c r="J633" t="n">
        <v>0</v>
      </c>
      <c r="K633" t="n">
        <v>0</v>
      </c>
      <c r="L633" t="n">
        <v>0</v>
      </c>
      <c r="M633" t="n">
        <v>0</v>
      </c>
      <c r="N633" t="n">
        <v>0</v>
      </c>
      <c r="O633" t="n">
        <v>0</v>
      </c>
      <c r="P633" t="n">
        <v>0</v>
      </c>
      <c r="Q633" t="n">
        <v>0</v>
      </c>
      <c r="R633" s="2" t="inlineStr"/>
    </row>
    <row r="634" ht="15" customHeight="1">
      <c r="A634" t="inlineStr">
        <is>
          <t>A 4298-2023</t>
        </is>
      </c>
      <c r="B634" s="1" t="n">
        <v>44953</v>
      </c>
      <c r="C634" s="1" t="n">
        <v>45982</v>
      </c>
      <c r="D634" t="inlineStr">
        <is>
          <t>ÖSTERGÖTLANDS LÄN</t>
        </is>
      </c>
      <c r="E634" t="inlineStr">
        <is>
          <t>LINKÖPING</t>
        </is>
      </c>
      <c r="G634" t="n">
        <v>2.8</v>
      </c>
      <c r="H634" t="n">
        <v>0</v>
      </c>
      <c r="I634" t="n">
        <v>0</v>
      </c>
      <c r="J634" t="n">
        <v>0</v>
      </c>
      <c r="K634" t="n">
        <v>0</v>
      </c>
      <c r="L634" t="n">
        <v>0</v>
      </c>
      <c r="M634" t="n">
        <v>0</v>
      </c>
      <c r="N634" t="n">
        <v>0</v>
      </c>
      <c r="O634" t="n">
        <v>0</v>
      </c>
      <c r="P634" t="n">
        <v>0</v>
      </c>
      <c r="Q634" t="n">
        <v>0</v>
      </c>
      <c r="R634" s="2" t="inlineStr"/>
    </row>
    <row r="635" ht="15" customHeight="1">
      <c r="A635" t="inlineStr">
        <is>
          <t>A 12428-2024</t>
        </is>
      </c>
      <c r="B635" s="1" t="n">
        <v>45379</v>
      </c>
      <c r="C635" s="1" t="n">
        <v>45982</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26618-2023</t>
        </is>
      </c>
      <c r="B636" s="1" t="n">
        <v>45092.70306712963</v>
      </c>
      <c r="C636" s="1" t="n">
        <v>45982</v>
      </c>
      <c r="D636" t="inlineStr">
        <is>
          <t>ÖSTERGÖTLANDS LÄN</t>
        </is>
      </c>
      <c r="E636" t="inlineStr">
        <is>
          <t>LINKÖPING</t>
        </is>
      </c>
      <c r="G636" t="n">
        <v>6.9</v>
      </c>
      <c r="H636" t="n">
        <v>0</v>
      </c>
      <c r="I636" t="n">
        <v>0</v>
      </c>
      <c r="J636" t="n">
        <v>0</v>
      </c>
      <c r="K636" t="n">
        <v>0</v>
      </c>
      <c r="L636" t="n">
        <v>0</v>
      </c>
      <c r="M636" t="n">
        <v>0</v>
      </c>
      <c r="N636" t="n">
        <v>0</v>
      </c>
      <c r="O636" t="n">
        <v>0</v>
      </c>
      <c r="P636" t="n">
        <v>0</v>
      </c>
      <c r="Q636" t="n">
        <v>0</v>
      </c>
      <c r="R636" s="2" t="inlineStr"/>
    </row>
    <row r="637" ht="15" customHeight="1">
      <c r="A637" t="inlineStr">
        <is>
          <t>A 34930-2023</t>
        </is>
      </c>
      <c r="B637" s="1" t="n">
        <v>45142</v>
      </c>
      <c r="C637" s="1" t="n">
        <v>45982</v>
      </c>
      <c r="D637" t="inlineStr">
        <is>
          <t>ÖSTERGÖTLANDS LÄN</t>
        </is>
      </c>
      <c r="E637" t="inlineStr">
        <is>
          <t>LINKÖPING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670-2024</t>
        </is>
      </c>
      <c r="B638" s="1" t="n">
        <v>45300.3408912037</v>
      </c>
      <c r="C638" s="1" t="n">
        <v>45982</v>
      </c>
      <c r="D638" t="inlineStr">
        <is>
          <t>ÖSTERGÖTLANDS LÄN</t>
        </is>
      </c>
      <c r="E638" t="inlineStr">
        <is>
          <t>LINKÖPING</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63845-2021</t>
        </is>
      </c>
      <c r="B639" s="1" t="n">
        <v>44509</v>
      </c>
      <c r="C639" s="1" t="n">
        <v>45982</v>
      </c>
      <c r="D639" t="inlineStr">
        <is>
          <t>ÖSTERGÖTLANDS LÄN</t>
        </is>
      </c>
      <c r="E639" t="inlineStr">
        <is>
          <t>LINKÖPING</t>
        </is>
      </c>
      <c r="G639" t="n">
        <v>5</v>
      </c>
      <c r="H639" t="n">
        <v>0</v>
      </c>
      <c r="I639" t="n">
        <v>0</v>
      </c>
      <c r="J639" t="n">
        <v>0</v>
      </c>
      <c r="K639" t="n">
        <v>0</v>
      </c>
      <c r="L639" t="n">
        <v>0</v>
      </c>
      <c r="M639" t="n">
        <v>0</v>
      </c>
      <c r="N639" t="n">
        <v>0</v>
      </c>
      <c r="O639" t="n">
        <v>0</v>
      </c>
      <c r="P639" t="n">
        <v>0</v>
      </c>
      <c r="Q639" t="n">
        <v>0</v>
      </c>
      <c r="R639" s="2" t="inlineStr"/>
    </row>
    <row r="640" ht="15" customHeight="1">
      <c r="A640" t="inlineStr">
        <is>
          <t>A 54034-2022</t>
        </is>
      </c>
      <c r="B640" s="1" t="n">
        <v>44881</v>
      </c>
      <c r="C640" s="1" t="n">
        <v>45982</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36336-2023</t>
        </is>
      </c>
      <c r="B641" s="1" t="n">
        <v>45152.45078703704</v>
      </c>
      <c r="C641" s="1" t="n">
        <v>45982</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48829-2023</t>
        </is>
      </c>
      <c r="B642" s="1" t="n">
        <v>45209.38177083333</v>
      </c>
      <c r="C642" s="1" t="n">
        <v>45982</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48186-2022</t>
        </is>
      </c>
      <c r="B643" s="1" t="n">
        <v>44858</v>
      </c>
      <c r="C643" s="1" t="n">
        <v>45982</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63669-2023</t>
        </is>
      </c>
      <c r="B644" s="1" t="n">
        <v>45275</v>
      </c>
      <c r="C644" s="1" t="n">
        <v>45982</v>
      </c>
      <c r="D644" t="inlineStr">
        <is>
          <t>ÖSTERGÖTLANDS LÄN</t>
        </is>
      </c>
      <c r="E644" t="inlineStr">
        <is>
          <t>LINKÖPING</t>
        </is>
      </c>
      <c r="F644" t="inlineStr">
        <is>
          <t>Övriga Aktiebolag</t>
        </is>
      </c>
      <c r="G644" t="n">
        <v>3</v>
      </c>
      <c r="H644" t="n">
        <v>0</v>
      </c>
      <c r="I644" t="n">
        <v>0</v>
      </c>
      <c r="J644" t="n">
        <v>0</v>
      </c>
      <c r="K644" t="n">
        <v>0</v>
      </c>
      <c r="L644" t="n">
        <v>0</v>
      </c>
      <c r="M644" t="n">
        <v>0</v>
      </c>
      <c r="N644" t="n">
        <v>0</v>
      </c>
      <c r="O644" t="n">
        <v>0</v>
      </c>
      <c r="P644" t="n">
        <v>0</v>
      </c>
      <c r="Q644" t="n">
        <v>0</v>
      </c>
      <c r="R644" s="2" t="inlineStr"/>
    </row>
    <row r="645" ht="15" customHeight="1">
      <c r="A645" t="inlineStr">
        <is>
          <t>A 24586-2024</t>
        </is>
      </c>
      <c r="B645" s="1" t="n">
        <v>45460.46664351852</v>
      </c>
      <c r="C645" s="1" t="n">
        <v>45982</v>
      </c>
      <c r="D645" t="inlineStr">
        <is>
          <t>ÖSTERGÖTLANDS LÄN</t>
        </is>
      </c>
      <c r="E645" t="inlineStr">
        <is>
          <t>LINKÖPING</t>
        </is>
      </c>
      <c r="G645" t="n">
        <v>4</v>
      </c>
      <c r="H645" t="n">
        <v>0</v>
      </c>
      <c r="I645" t="n">
        <v>0</v>
      </c>
      <c r="J645" t="n">
        <v>0</v>
      </c>
      <c r="K645" t="n">
        <v>0</v>
      </c>
      <c r="L645" t="n">
        <v>0</v>
      </c>
      <c r="M645" t="n">
        <v>0</v>
      </c>
      <c r="N645" t="n">
        <v>0</v>
      </c>
      <c r="O645" t="n">
        <v>0</v>
      </c>
      <c r="P645" t="n">
        <v>0</v>
      </c>
      <c r="Q645" t="n">
        <v>0</v>
      </c>
      <c r="R645" s="2" t="inlineStr"/>
    </row>
    <row r="646" ht="15" customHeight="1">
      <c r="A646" t="inlineStr">
        <is>
          <t>A 59576-2024</t>
        </is>
      </c>
      <c r="B646" s="1" t="n">
        <v>45638.66378472222</v>
      </c>
      <c r="C646" s="1" t="n">
        <v>45982</v>
      </c>
      <c r="D646" t="inlineStr">
        <is>
          <t>ÖSTERGÖTLANDS LÄN</t>
        </is>
      </c>
      <c r="E646" t="inlineStr">
        <is>
          <t>LINKÖPING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59642-2024</t>
        </is>
      </c>
      <c r="B647" s="1" t="n">
        <v>45639.31511574074</v>
      </c>
      <c r="C647" s="1" t="n">
        <v>45982</v>
      </c>
      <c r="D647" t="inlineStr">
        <is>
          <t>ÖSTERGÖTLANDS LÄN</t>
        </is>
      </c>
      <c r="E647" t="inlineStr">
        <is>
          <t>LINKÖPING</t>
        </is>
      </c>
      <c r="G647" t="n">
        <v>0.9</v>
      </c>
      <c r="H647" t="n">
        <v>0</v>
      </c>
      <c r="I647" t="n">
        <v>0</v>
      </c>
      <c r="J647" t="n">
        <v>0</v>
      </c>
      <c r="K647" t="n">
        <v>0</v>
      </c>
      <c r="L647" t="n">
        <v>0</v>
      </c>
      <c r="M647" t="n">
        <v>0</v>
      </c>
      <c r="N647" t="n">
        <v>0</v>
      </c>
      <c r="O647" t="n">
        <v>0</v>
      </c>
      <c r="P647" t="n">
        <v>0</v>
      </c>
      <c r="Q647" t="n">
        <v>0</v>
      </c>
      <c r="R647" s="2" t="inlineStr"/>
    </row>
    <row r="648" ht="15" customHeight="1">
      <c r="A648" t="inlineStr">
        <is>
          <t>A 59674-2024</t>
        </is>
      </c>
      <c r="B648" s="1" t="n">
        <v>45639</v>
      </c>
      <c r="C648" s="1" t="n">
        <v>45982</v>
      </c>
      <c r="D648" t="inlineStr">
        <is>
          <t>ÖSTERGÖTLANDS LÄN</t>
        </is>
      </c>
      <c r="E648" t="inlineStr">
        <is>
          <t>LINKÖPING</t>
        </is>
      </c>
      <c r="G648" t="n">
        <v>6.3</v>
      </c>
      <c r="H648" t="n">
        <v>0</v>
      </c>
      <c r="I648" t="n">
        <v>0</v>
      </c>
      <c r="J648" t="n">
        <v>0</v>
      </c>
      <c r="K648" t="n">
        <v>0</v>
      </c>
      <c r="L648" t="n">
        <v>0</v>
      </c>
      <c r="M648" t="n">
        <v>0</v>
      </c>
      <c r="N648" t="n">
        <v>0</v>
      </c>
      <c r="O648" t="n">
        <v>0</v>
      </c>
      <c r="P648" t="n">
        <v>0</v>
      </c>
      <c r="Q648" t="n">
        <v>0</v>
      </c>
      <c r="R648" s="2" t="inlineStr"/>
    </row>
    <row r="649" ht="15" customHeight="1">
      <c r="A649" t="inlineStr">
        <is>
          <t>A 3742-2021</t>
        </is>
      </c>
      <c r="B649" s="1" t="n">
        <v>44221</v>
      </c>
      <c r="C649" s="1" t="n">
        <v>45982</v>
      </c>
      <c r="D649" t="inlineStr">
        <is>
          <t>ÖSTERGÖTLANDS LÄN</t>
        </is>
      </c>
      <c r="E649" t="inlineStr">
        <is>
          <t>LINKÖPING</t>
        </is>
      </c>
      <c r="G649" t="n">
        <v>5.5</v>
      </c>
      <c r="H649" t="n">
        <v>0</v>
      </c>
      <c r="I649" t="n">
        <v>0</v>
      </c>
      <c r="J649" t="n">
        <v>0</v>
      </c>
      <c r="K649" t="n">
        <v>0</v>
      </c>
      <c r="L649" t="n">
        <v>0</v>
      </c>
      <c r="M649" t="n">
        <v>0</v>
      </c>
      <c r="N649" t="n">
        <v>0</v>
      </c>
      <c r="O649" t="n">
        <v>0</v>
      </c>
      <c r="P649" t="n">
        <v>0</v>
      </c>
      <c r="Q649" t="n">
        <v>0</v>
      </c>
      <c r="R649" s="2" t="inlineStr"/>
    </row>
    <row r="650" ht="15" customHeight="1">
      <c r="A650" t="inlineStr">
        <is>
          <t>A 18916-2024</t>
        </is>
      </c>
      <c r="B650" s="1" t="n">
        <v>45427.39541666667</v>
      </c>
      <c r="C650" s="1" t="n">
        <v>45982</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11084-2022</t>
        </is>
      </c>
      <c r="B651" s="1" t="n">
        <v>44628</v>
      </c>
      <c r="C651" s="1" t="n">
        <v>45982</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10203-2023</t>
        </is>
      </c>
      <c r="B652" s="1" t="n">
        <v>44986.55711805556</v>
      </c>
      <c r="C652" s="1" t="n">
        <v>45982</v>
      </c>
      <c r="D652" t="inlineStr">
        <is>
          <t>ÖSTERGÖTLANDS LÄN</t>
        </is>
      </c>
      <c r="E652" t="inlineStr">
        <is>
          <t>LINKÖPING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2618-2023</t>
        </is>
      </c>
      <c r="B653" s="1" t="n">
        <v>44944.35847222222</v>
      </c>
      <c r="C653" s="1" t="n">
        <v>45982</v>
      </c>
      <c r="D653" t="inlineStr">
        <is>
          <t>ÖSTERGÖTLANDS LÄN</t>
        </is>
      </c>
      <c r="E653" t="inlineStr">
        <is>
          <t>LINKÖPING</t>
        </is>
      </c>
      <c r="G653" t="n">
        <v>4.3</v>
      </c>
      <c r="H653" t="n">
        <v>0</v>
      </c>
      <c r="I653" t="n">
        <v>0</v>
      </c>
      <c r="J653" t="n">
        <v>0</v>
      </c>
      <c r="K653" t="n">
        <v>0</v>
      </c>
      <c r="L653" t="n">
        <v>0</v>
      </c>
      <c r="M653" t="n">
        <v>0</v>
      </c>
      <c r="N653" t="n">
        <v>0</v>
      </c>
      <c r="O653" t="n">
        <v>0</v>
      </c>
      <c r="P653" t="n">
        <v>0</v>
      </c>
      <c r="Q653" t="n">
        <v>0</v>
      </c>
      <c r="R653" s="2" t="inlineStr"/>
    </row>
    <row r="654" ht="15" customHeight="1">
      <c r="A654" t="inlineStr">
        <is>
          <t>A 62020-2024</t>
        </is>
      </c>
      <c r="B654" s="1" t="n">
        <v>45655.83563657408</v>
      </c>
      <c r="C654" s="1" t="n">
        <v>45982</v>
      </c>
      <c r="D654" t="inlineStr">
        <is>
          <t>ÖSTERGÖTLANDS LÄN</t>
        </is>
      </c>
      <c r="E654" t="inlineStr">
        <is>
          <t>LINKÖPING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62021-2024</t>
        </is>
      </c>
      <c r="B655" s="1" t="n">
        <v>45655.84232638889</v>
      </c>
      <c r="C655" s="1" t="n">
        <v>45982</v>
      </c>
      <c r="D655" t="inlineStr">
        <is>
          <t>ÖSTERGÖTLANDS LÄN</t>
        </is>
      </c>
      <c r="E655" t="inlineStr">
        <is>
          <t>LINKÖPING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1362-2023</t>
        </is>
      </c>
      <c r="B656" s="1" t="n">
        <v>44931</v>
      </c>
      <c r="C656" s="1" t="n">
        <v>45982</v>
      </c>
      <c r="D656" t="inlineStr">
        <is>
          <t>ÖSTERGÖTLANDS LÄN</t>
        </is>
      </c>
      <c r="E656" t="inlineStr">
        <is>
          <t>LINKÖPING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49928-2024</t>
        </is>
      </c>
      <c r="B657" s="1" t="n">
        <v>45597.57811342592</v>
      </c>
      <c r="C657" s="1" t="n">
        <v>45982</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3627-2023</t>
        </is>
      </c>
      <c r="B658" s="1" t="n">
        <v>44950.64782407408</v>
      </c>
      <c r="C658" s="1" t="n">
        <v>45982</v>
      </c>
      <c r="D658" t="inlineStr">
        <is>
          <t>ÖSTERGÖTLANDS LÄN</t>
        </is>
      </c>
      <c r="E658" t="inlineStr">
        <is>
          <t>LINKÖPING</t>
        </is>
      </c>
      <c r="G658" t="n">
        <v>3.1</v>
      </c>
      <c r="H658" t="n">
        <v>0</v>
      </c>
      <c r="I658" t="n">
        <v>0</v>
      </c>
      <c r="J658" t="n">
        <v>0</v>
      </c>
      <c r="K658" t="n">
        <v>0</v>
      </c>
      <c r="L658" t="n">
        <v>0</v>
      </c>
      <c r="M658" t="n">
        <v>0</v>
      </c>
      <c r="N658" t="n">
        <v>0</v>
      </c>
      <c r="O658" t="n">
        <v>0</v>
      </c>
      <c r="P658" t="n">
        <v>0</v>
      </c>
      <c r="Q658" t="n">
        <v>0</v>
      </c>
      <c r="R658" s="2" t="inlineStr"/>
    </row>
    <row r="659" ht="15" customHeight="1">
      <c r="A659" t="inlineStr">
        <is>
          <t>A 51405-2023</t>
        </is>
      </c>
      <c r="B659" s="1" t="n">
        <v>45219</v>
      </c>
      <c r="C659" s="1" t="n">
        <v>45982</v>
      </c>
      <c r="D659" t="inlineStr">
        <is>
          <t>ÖSTERGÖTLANDS LÄN</t>
        </is>
      </c>
      <c r="E659" t="inlineStr">
        <is>
          <t>LINKÖPING</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11601-2023</t>
        </is>
      </c>
      <c r="B660" s="1" t="n">
        <v>44994</v>
      </c>
      <c r="C660" s="1" t="n">
        <v>45982</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40338-2024</t>
        </is>
      </c>
      <c r="B661" s="1" t="n">
        <v>45555.32940972222</v>
      </c>
      <c r="C661" s="1" t="n">
        <v>45982</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167-2024</t>
        </is>
      </c>
      <c r="B662" s="1" t="n">
        <v>45294</v>
      </c>
      <c r="C662" s="1" t="n">
        <v>45982</v>
      </c>
      <c r="D662" t="inlineStr">
        <is>
          <t>ÖSTERGÖTLANDS LÄN</t>
        </is>
      </c>
      <c r="E662" t="inlineStr">
        <is>
          <t>LINKÖPING</t>
        </is>
      </c>
      <c r="F662" t="inlineStr">
        <is>
          <t>Allmännings- och besparingsskogar</t>
        </is>
      </c>
      <c r="G662" t="n">
        <v>11.6</v>
      </c>
      <c r="H662" t="n">
        <v>0</v>
      </c>
      <c r="I662" t="n">
        <v>0</v>
      </c>
      <c r="J662" t="n">
        <v>0</v>
      </c>
      <c r="K662" t="n">
        <v>0</v>
      </c>
      <c r="L662" t="n">
        <v>0</v>
      </c>
      <c r="M662" t="n">
        <v>0</v>
      </c>
      <c r="N662" t="n">
        <v>0</v>
      </c>
      <c r="O662" t="n">
        <v>0</v>
      </c>
      <c r="P662" t="n">
        <v>0</v>
      </c>
      <c r="Q662" t="n">
        <v>0</v>
      </c>
      <c r="R662" s="2" t="inlineStr"/>
    </row>
    <row r="663" ht="15" customHeight="1">
      <c r="A663" t="inlineStr">
        <is>
          <t>A 27186-2021</t>
        </is>
      </c>
      <c r="B663" s="1" t="n">
        <v>44350.67715277777</v>
      </c>
      <c r="C663" s="1" t="n">
        <v>45982</v>
      </c>
      <c r="D663" t="inlineStr">
        <is>
          <t>ÖSTERGÖTLANDS LÄN</t>
        </is>
      </c>
      <c r="E663" t="inlineStr">
        <is>
          <t>LINKÖPING</t>
        </is>
      </c>
      <c r="F663" t="inlineStr">
        <is>
          <t>Allmännings- och besparingsskogar</t>
        </is>
      </c>
      <c r="G663" t="n">
        <v>1.4</v>
      </c>
      <c r="H663" t="n">
        <v>0</v>
      </c>
      <c r="I663" t="n">
        <v>0</v>
      </c>
      <c r="J663" t="n">
        <v>0</v>
      </c>
      <c r="K663" t="n">
        <v>0</v>
      </c>
      <c r="L663" t="n">
        <v>0</v>
      </c>
      <c r="M663" t="n">
        <v>0</v>
      </c>
      <c r="N663" t="n">
        <v>0</v>
      </c>
      <c r="O663" t="n">
        <v>0</v>
      </c>
      <c r="P663" t="n">
        <v>0</v>
      </c>
      <c r="Q663" t="n">
        <v>0</v>
      </c>
      <c r="R663" s="2" t="inlineStr"/>
    </row>
    <row r="664" ht="15" customHeight="1">
      <c r="A664" t="inlineStr">
        <is>
          <t>A 7343-2025</t>
        </is>
      </c>
      <c r="B664" s="1" t="n">
        <v>45703.67853009259</v>
      </c>
      <c r="C664" s="1" t="n">
        <v>45982</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48271-2023</t>
        </is>
      </c>
      <c r="B665" s="1" t="n">
        <v>45205</v>
      </c>
      <c r="C665" s="1" t="n">
        <v>45982</v>
      </c>
      <c r="D665" t="inlineStr">
        <is>
          <t>ÖSTERGÖTLANDS LÄN</t>
        </is>
      </c>
      <c r="E665" t="inlineStr">
        <is>
          <t>LINKÖPING</t>
        </is>
      </c>
      <c r="G665" t="n">
        <v>3</v>
      </c>
      <c r="H665" t="n">
        <v>0</v>
      </c>
      <c r="I665" t="n">
        <v>0</v>
      </c>
      <c r="J665" t="n">
        <v>0</v>
      </c>
      <c r="K665" t="n">
        <v>0</v>
      </c>
      <c r="L665" t="n">
        <v>0</v>
      </c>
      <c r="M665" t="n">
        <v>0</v>
      </c>
      <c r="N665" t="n">
        <v>0</v>
      </c>
      <c r="O665" t="n">
        <v>0</v>
      </c>
      <c r="P665" t="n">
        <v>0</v>
      </c>
      <c r="Q665" t="n">
        <v>0</v>
      </c>
      <c r="R665" s="2" t="inlineStr"/>
    </row>
    <row r="666" ht="15" customHeight="1">
      <c r="A666" t="inlineStr">
        <is>
          <t>A 12720-2022</t>
        </is>
      </c>
      <c r="B666" s="1" t="n">
        <v>44641</v>
      </c>
      <c r="C666" s="1" t="n">
        <v>45982</v>
      </c>
      <c r="D666" t="inlineStr">
        <is>
          <t>ÖSTERGÖTLANDS LÄN</t>
        </is>
      </c>
      <c r="E666" t="inlineStr">
        <is>
          <t>LINKÖPING</t>
        </is>
      </c>
      <c r="F666" t="inlineStr">
        <is>
          <t>Övriga Aktiebolag</t>
        </is>
      </c>
      <c r="G666" t="n">
        <v>2</v>
      </c>
      <c r="H666" t="n">
        <v>0</v>
      </c>
      <c r="I666" t="n">
        <v>0</v>
      </c>
      <c r="J666" t="n">
        <v>0</v>
      </c>
      <c r="K666" t="n">
        <v>0</v>
      </c>
      <c r="L666" t="n">
        <v>0</v>
      </c>
      <c r="M666" t="n">
        <v>0</v>
      </c>
      <c r="N666" t="n">
        <v>0</v>
      </c>
      <c r="O666" t="n">
        <v>0</v>
      </c>
      <c r="P666" t="n">
        <v>0</v>
      </c>
      <c r="Q666" t="n">
        <v>0</v>
      </c>
      <c r="R666" s="2" t="inlineStr"/>
    </row>
    <row r="667" ht="15" customHeight="1">
      <c r="A667" t="inlineStr">
        <is>
          <t>A 62018-2024</t>
        </is>
      </c>
      <c r="B667" s="1" t="n">
        <v>45655.81387731482</v>
      </c>
      <c r="C667" s="1" t="n">
        <v>45982</v>
      </c>
      <c r="D667" t="inlineStr">
        <is>
          <t>ÖSTERGÖTLANDS LÄN</t>
        </is>
      </c>
      <c r="E667" t="inlineStr">
        <is>
          <t>LINKÖPING</t>
        </is>
      </c>
      <c r="G667" t="n">
        <v>1.3</v>
      </c>
      <c r="H667" t="n">
        <v>0</v>
      </c>
      <c r="I667" t="n">
        <v>0</v>
      </c>
      <c r="J667" t="n">
        <v>0</v>
      </c>
      <c r="K667" t="n">
        <v>0</v>
      </c>
      <c r="L667" t="n">
        <v>0</v>
      </c>
      <c r="M667" t="n">
        <v>0</v>
      </c>
      <c r="N667" t="n">
        <v>0</v>
      </c>
      <c r="O667" t="n">
        <v>0</v>
      </c>
      <c r="P667" t="n">
        <v>0</v>
      </c>
      <c r="Q667" t="n">
        <v>0</v>
      </c>
      <c r="R667" s="2" t="inlineStr"/>
    </row>
    <row r="668" ht="15" customHeight="1">
      <c r="A668" t="inlineStr">
        <is>
          <t>A 30551-2023</t>
        </is>
      </c>
      <c r="B668" s="1" t="n">
        <v>45111</v>
      </c>
      <c r="C668" s="1" t="n">
        <v>45982</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30860-2022</t>
        </is>
      </c>
      <c r="B669" s="1" t="n">
        <v>44767</v>
      </c>
      <c r="C669" s="1" t="n">
        <v>45982</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60004-2022</t>
        </is>
      </c>
      <c r="B670" s="1" t="n">
        <v>44909.47206018519</v>
      </c>
      <c r="C670" s="1" t="n">
        <v>45982</v>
      </c>
      <c r="D670" t="inlineStr">
        <is>
          <t>ÖSTERGÖTLANDS LÄN</t>
        </is>
      </c>
      <c r="E670" t="inlineStr">
        <is>
          <t>LINKÖPING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60010-2022</t>
        </is>
      </c>
      <c r="B671" s="1" t="n">
        <v>44909.4740625</v>
      </c>
      <c r="C671" s="1" t="n">
        <v>45982</v>
      </c>
      <c r="D671" t="inlineStr">
        <is>
          <t>ÖSTERGÖTLANDS LÄN</t>
        </is>
      </c>
      <c r="E671" t="inlineStr">
        <is>
          <t>LINKÖPING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53827-2023</t>
        </is>
      </c>
      <c r="B672" s="1" t="n">
        <v>45230</v>
      </c>
      <c r="C672" s="1" t="n">
        <v>45982</v>
      </c>
      <c r="D672" t="inlineStr">
        <is>
          <t>ÖSTERGÖTLANDS LÄN</t>
        </is>
      </c>
      <c r="E672" t="inlineStr">
        <is>
          <t>LINKÖPING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4256-2022</t>
        </is>
      </c>
      <c r="B673" s="1" t="n">
        <v>44588</v>
      </c>
      <c r="C673" s="1" t="n">
        <v>45982</v>
      </c>
      <c r="D673" t="inlineStr">
        <is>
          <t>ÖSTERGÖTLANDS LÄN</t>
        </is>
      </c>
      <c r="E673" t="inlineStr">
        <is>
          <t>LINKÖPING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61649-2023</t>
        </is>
      </c>
      <c r="B674" s="1" t="n">
        <v>45265</v>
      </c>
      <c r="C674" s="1" t="n">
        <v>45982</v>
      </c>
      <c r="D674" t="inlineStr">
        <is>
          <t>ÖSTERGÖTLANDS LÄN</t>
        </is>
      </c>
      <c r="E674" t="inlineStr">
        <is>
          <t>LINKÖPING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223-2024</t>
        </is>
      </c>
      <c r="B675" s="1" t="n">
        <v>45294.72739583333</v>
      </c>
      <c r="C675" s="1" t="n">
        <v>45982</v>
      </c>
      <c r="D675" t="inlineStr">
        <is>
          <t>ÖSTERGÖTLANDS LÄN</t>
        </is>
      </c>
      <c r="E675" t="inlineStr">
        <is>
          <t>LINKÖPING</t>
        </is>
      </c>
      <c r="G675" t="n">
        <v>2.2</v>
      </c>
      <c r="H675" t="n">
        <v>0</v>
      </c>
      <c r="I675" t="n">
        <v>0</v>
      </c>
      <c r="J675" t="n">
        <v>0</v>
      </c>
      <c r="K675" t="n">
        <v>0</v>
      </c>
      <c r="L675" t="n">
        <v>0</v>
      </c>
      <c r="M675" t="n">
        <v>0</v>
      </c>
      <c r="N675" t="n">
        <v>0</v>
      </c>
      <c r="O675" t="n">
        <v>0</v>
      </c>
      <c r="P675" t="n">
        <v>0</v>
      </c>
      <c r="Q675" t="n">
        <v>0</v>
      </c>
      <c r="R675" s="2" t="inlineStr"/>
    </row>
    <row r="676" ht="15" customHeight="1">
      <c r="A676" t="inlineStr">
        <is>
          <t>A 19464-2024</t>
        </is>
      </c>
      <c r="B676" s="1" t="n">
        <v>45429</v>
      </c>
      <c r="C676" s="1" t="n">
        <v>45982</v>
      </c>
      <c r="D676" t="inlineStr">
        <is>
          <t>ÖSTERGÖTLANDS LÄN</t>
        </is>
      </c>
      <c r="E676" t="inlineStr">
        <is>
          <t>LINKÖPING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630-2024</t>
        </is>
      </c>
      <c r="B677" s="1" t="n">
        <v>45299.67736111111</v>
      </c>
      <c r="C677" s="1" t="n">
        <v>45982</v>
      </c>
      <c r="D677" t="inlineStr">
        <is>
          <t>ÖSTERGÖTLANDS LÄN</t>
        </is>
      </c>
      <c r="E677" t="inlineStr">
        <is>
          <t>LINKÖPING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30433-2024</t>
        </is>
      </c>
      <c r="B678" s="1" t="n">
        <v>45491.69741898148</v>
      </c>
      <c r="C678" s="1" t="n">
        <v>45982</v>
      </c>
      <c r="D678" t="inlineStr">
        <is>
          <t>ÖSTERGÖTLANDS LÄN</t>
        </is>
      </c>
      <c r="E678" t="inlineStr">
        <is>
          <t>LINKÖPING</t>
        </is>
      </c>
      <c r="G678" t="n">
        <v>1.7</v>
      </c>
      <c r="H678" t="n">
        <v>0</v>
      </c>
      <c r="I678" t="n">
        <v>0</v>
      </c>
      <c r="J678" t="n">
        <v>0</v>
      </c>
      <c r="K678" t="n">
        <v>0</v>
      </c>
      <c r="L678" t="n">
        <v>0</v>
      </c>
      <c r="M678" t="n">
        <v>0</v>
      </c>
      <c r="N678" t="n">
        <v>0</v>
      </c>
      <c r="O678" t="n">
        <v>0</v>
      </c>
      <c r="P678" t="n">
        <v>0</v>
      </c>
      <c r="Q678" t="n">
        <v>0</v>
      </c>
      <c r="R678" s="2" t="inlineStr"/>
    </row>
    <row r="679" ht="15" customHeight="1">
      <c r="A679" t="inlineStr">
        <is>
          <t>A 63528-2023</t>
        </is>
      </c>
      <c r="B679" s="1" t="n">
        <v>45274.94810185185</v>
      </c>
      <c r="C679" s="1" t="n">
        <v>45982</v>
      </c>
      <c r="D679" t="inlineStr">
        <is>
          <t>ÖSTERGÖTLANDS LÄN</t>
        </is>
      </c>
      <c r="E679" t="inlineStr">
        <is>
          <t>LINKÖPING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61936-2023</t>
        </is>
      </c>
      <c r="B680" s="1" t="n">
        <v>45266.54534722222</v>
      </c>
      <c r="C680" s="1" t="n">
        <v>45982</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62492-2023</t>
        </is>
      </c>
      <c r="B681" s="1" t="n">
        <v>45268.58987268519</v>
      </c>
      <c r="C681" s="1" t="n">
        <v>45982</v>
      </c>
      <c r="D681" t="inlineStr">
        <is>
          <t>ÖSTERGÖTLANDS LÄN</t>
        </is>
      </c>
      <c r="E681" t="inlineStr">
        <is>
          <t>LINKÖPING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674-2024</t>
        </is>
      </c>
      <c r="B682" s="1" t="n">
        <v>45300.34408564815</v>
      </c>
      <c r="C682" s="1" t="n">
        <v>45982</v>
      </c>
      <c r="D682" t="inlineStr">
        <is>
          <t>ÖSTERGÖTLANDS LÄN</t>
        </is>
      </c>
      <c r="E682" t="inlineStr">
        <is>
          <t>LINKÖPING</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6782-2024</t>
        </is>
      </c>
      <c r="B683" s="1" t="n">
        <v>45342</v>
      </c>
      <c r="C683" s="1" t="n">
        <v>45982</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10094-2024</t>
        </is>
      </c>
      <c r="B684" s="1" t="n">
        <v>45364</v>
      </c>
      <c r="C684" s="1" t="n">
        <v>45982</v>
      </c>
      <c r="D684" t="inlineStr">
        <is>
          <t>ÖSTERGÖTLANDS LÄN</t>
        </is>
      </c>
      <c r="E684" t="inlineStr">
        <is>
          <t>LINKÖPING</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63684-2023</t>
        </is>
      </c>
      <c r="B685" s="1" t="n">
        <v>45275</v>
      </c>
      <c r="C685" s="1" t="n">
        <v>45982</v>
      </c>
      <c r="D685" t="inlineStr">
        <is>
          <t>ÖSTERGÖTLANDS LÄN</t>
        </is>
      </c>
      <c r="E685" t="inlineStr">
        <is>
          <t>LINKÖPING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63688-2023</t>
        </is>
      </c>
      <c r="B686" s="1" t="n">
        <v>45275</v>
      </c>
      <c r="C686" s="1" t="n">
        <v>45982</v>
      </c>
      <c r="D686" t="inlineStr">
        <is>
          <t>ÖSTERGÖTLANDS LÄN</t>
        </is>
      </c>
      <c r="E686" t="inlineStr">
        <is>
          <t>LINKÖPING</t>
        </is>
      </c>
      <c r="F686" t="inlineStr">
        <is>
          <t>Övriga Aktiebolag</t>
        </is>
      </c>
      <c r="G686" t="n">
        <v>2.4</v>
      </c>
      <c r="H686" t="n">
        <v>0</v>
      </c>
      <c r="I686" t="n">
        <v>0</v>
      </c>
      <c r="J686" t="n">
        <v>0</v>
      </c>
      <c r="K686" t="n">
        <v>0</v>
      </c>
      <c r="L686" t="n">
        <v>0</v>
      </c>
      <c r="M686" t="n">
        <v>0</v>
      </c>
      <c r="N686" t="n">
        <v>0</v>
      </c>
      <c r="O686" t="n">
        <v>0</v>
      </c>
      <c r="P686" t="n">
        <v>0</v>
      </c>
      <c r="Q686" t="n">
        <v>0</v>
      </c>
      <c r="R686" s="2" t="inlineStr"/>
    </row>
    <row r="687" ht="15" customHeight="1">
      <c r="A687" t="inlineStr">
        <is>
          <t>A 63691-2023</t>
        </is>
      </c>
      <c r="B687" s="1" t="n">
        <v>45275</v>
      </c>
      <c r="C687" s="1" t="n">
        <v>45982</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36657-2023</t>
        </is>
      </c>
      <c r="B688" s="1" t="n">
        <v>45153.5702662037</v>
      </c>
      <c r="C688" s="1" t="n">
        <v>45982</v>
      </c>
      <c r="D688" t="inlineStr">
        <is>
          <t>ÖSTERGÖTLANDS LÄN</t>
        </is>
      </c>
      <c r="E688" t="inlineStr">
        <is>
          <t>LINKÖPING</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14667-2024</t>
        </is>
      </c>
      <c r="B689" s="1" t="n">
        <v>45397.42005787037</v>
      </c>
      <c r="C689" s="1" t="n">
        <v>45982</v>
      </c>
      <c r="D689" t="inlineStr">
        <is>
          <t>ÖSTERGÖTLANDS LÄN</t>
        </is>
      </c>
      <c r="E689" t="inlineStr">
        <is>
          <t>LINKÖPING</t>
        </is>
      </c>
      <c r="G689" t="n">
        <v>2.3</v>
      </c>
      <c r="H689" t="n">
        <v>0</v>
      </c>
      <c r="I689" t="n">
        <v>0</v>
      </c>
      <c r="J689" t="n">
        <v>0</v>
      </c>
      <c r="K689" t="n">
        <v>0</v>
      </c>
      <c r="L689" t="n">
        <v>0</v>
      </c>
      <c r="M689" t="n">
        <v>0</v>
      </c>
      <c r="N689" t="n">
        <v>0</v>
      </c>
      <c r="O689" t="n">
        <v>0</v>
      </c>
      <c r="P689" t="n">
        <v>0</v>
      </c>
      <c r="Q689" t="n">
        <v>0</v>
      </c>
      <c r="R689" s="2" t="inlineStr"/>
    </row>
    <row r="690" ht="15" customHeight="1">
      <c r="A690" t="inlineStr">
        <is>
          <t>A 15714-2024</t>
        </is>
      </c>
      <c r="B690" s="1" t="n">
        <v>45404.48288194444</v>
      </c>
      <c r="C690" s="1" t="n">
        <v>45982</v>
      </c>
      <c r="D690" t="inlineStr">
        <is>
          <t>ÖSTERGÖTLANDS LÄN</t>
        </is>
      </c>
      <c r="E690" t="inlineStr">
        <is>
          <t>LINKÖPING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37715-2022</t>
        </is>
      </c>
      <c r="B691" s="1" t="n">
        <v>44810</v>
      </c>
      <c r="C691" s="1" t="n">
        <v>45982</v>
      </c>
      <c r="D691" t="inlineStr">
        <is>
          <t>ÖSTERGÖTLANDS LÄN</t>
        </is>
      </c>
      <c r="E691" t="inlineStr">
        <is>
          <t>LINKÖPING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30429-2024</t>
        </is>
      </c>
      <c r="B692" s="1" t="n">
        <v>45491.68972222223</v>
      </c>
      <c r="C692" s="1" t="n">
        <v>45982</v>
      </c>
      <c r="D692" t="inlineStr">
        <is>
          <t>ÖSTERGÖTLANDS LÄN</t>
        </is>
      </c>
      <c r="E692" t="inlineStr">
        <is>
          <t>LINKÖPING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30435-2024</t>
        </is>
      </c>
      <c r="B693" s="1" t="n">
        <v>45491.69962962963</v>
      </c>
      <c r="C693" s="1" t="n">
        <v>45982</v>
      </c>
      <c r="D693" t="inlineStr">
        <is>
          <t>ÖSTERGÖTLANDS LÄN</t>
        </is>
      </c>
      <c r="E693" t="inlineStr">
        <is>
          <t>LINKÖPING</t>
        </is>
      </c>
      <c r="G693" t="n">
        <v>1.9</v>
      </c>
      <c r="H693" t="n">
        <v>0</v>
      </c>
      <c r="I693" t="n">
        <v>0</v>
      </c>
      <c r="J693" t="n">
        <v>0</v>
      </c>
      <c r="K693" t="n">
        <v>0</v>
      </c>
      <c r="L693" t="n">
        <v>0</v>
      </c>
      <c r="M693" t="n">
        <v>0</v>
      </c>
      <c r="N693" t="n">
        <v>0</v>
      </c>
      <c r="O693" t="n">
        <v>0</v>
      </c>
      <c r="P693" t="n">
        <v>0</v>
      </c>
      <c r="Q693" t="n">
        <v>0</v>
      </c>
      <c r="R693" s="2" t="inlineStr"/>
    </row>
    <row r="694" ht="15" customHeight="1">
      <c r="A694" t="inlineStr">
        <is>
          <t>A 4927-2021</t>
        </is>
      </c>
      <c r="B694" s="1" t="n">
        <v>44227.57215277778</v>
      </c>
      <c r="C694" s="1" t="n">
        <v>45982</v>
      </c>
      <c r="D694" t="inlineStr">
        <is>
          <t>ÖSTERGÖTLANDS LÄN</t>
        </is>
      </c>
      <c r="E694" t="inlineStr">
        <is>
          <t>LINKÖPING</t>
        </is>
      </c>
      <c r="G694" t="n">
        <v>0.3</v>
      </c>
      <c r="H694" t="n">
        <v>0</v>
      </c>
      <c r="I694" t="n">
        <v>0</v>
      </c>
      <c r="J694" t="n">
        <v>0</v>
      </c>
      <c r="K694" t="n">
        <v>0</v>
      </c>
      <c r="L694" t="n">
        <v>0</v>
      </c>
      <c r="M694" t="n">
        <v>0</v>
      </c>
      <c r="N694" t="n">
        <v>0</v>
      </c>
      <c r="O694" t="n">
        <v>0</v>
      </c>
      <c r="P694" t="n">
        <v>0</v>
      </c>
      <c r="Q694" t="n">
        <v>0</v>
      </c>
      <c r="R694" s="2" t="inlineStr"/>
    </row>
    <row r="695" ht="15" customHeight="1">
      <c r="A695" t="inlineStr">
        <is>
          <t>A 38231-2022</t>
        </is>
      </c>
      <c r="B695" s="1" t="n">
        <v>44812</v>
      </c>
      <c r="C695" s="1" t="n">
        <v>45982</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34557-2022</t>
        </is>
      </c>
      <c r="B696" s="1" t="n">
        <v>44794.57074074074</v>
      </c>
      <c r="C696" s="1" t="n">
        <v>45982</v>
      </c>
      <c r="D696" t="inlineStr">
        <is>
          <t>ÖSTERGÖTLANDS LÄN</t>
        </is>
      </c>
      <c r="E696" t="inlineStr">
        <is>
          <t>LINKÖPING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13011-2022</t>
        </is>
      </c>
      <c r="B697" s="1" t="n">
        <v>44643</v>
      </c>
      <c r="C697" s="1" t="n">
        <v>45982</v>
      </c>
      <c r="D697" t="inlineStr">
        <is>
          <t>ÖSTERGÖTLANDS LÄN</t>
        </is>
      </c>
      <c r="E697" t="inlineStr">
        <is>
          <t>LINKÖPING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617-2024</t>
        </is>
      </c>
      <c r="B698" s="1" t="n">
        <v>45299.66028935185</v>
      </c>
      <c r="C698" s="1" t="n">
        <v>45982</v>
      </c>
      <c r="D698" t="inlineStr">
        <is>
          <t>ÖSTERGÖTLANDS LÄN</t>
        </is>
      </c>
      <c r="E698" t="inlineStr">
        <is>
          <t>LINKÖPING</t>
        </is>
      </c>
      <c r="G698" t="n">
        <v>1.4</v>
      </c>
      <c r="H698" t="n">
        <v>0</v>
      </c>
      <c r="I698" t="n">
        <v>0</v>
      </c>
      <c r="J698" t="n">
        <v>0</v>
      </c>
      <c r="K698" t="n">
        <v>0</v>
      </c>
      <c r="L698" t="n">
        <v>0</v>
      </c>
      <c r="M698" t="n">
        <v>0</v>
      </c>
      <c r="N698" t="n">
        <v>0</v>
      </c>
      <c r="O698" t="n">
        <v>0</v>
      </c>
      <c r="P698" t="n">
        <v>0</v>
      </c>
      <c r="Q698" t="n">
        <v>0</v>
      </c>
      <c r="R698" s="2" t="inlineStr"/>
    </row>
    <row r="699" ht="15" customHeight="1">
      <c r="A699" t="inlineStr">
        <is>
          <t>A 19362-2023</t>
        </is>
      </c>
      <c r="B699" s="1" t="n">
        <v>45049</v>
      </c>
      <c r="C699" s="1" t="n">
        <v>45982</v>
      </c>
      <c r="D699" t="inlineStr">
        <is>
          <t>ÖSTERGÖTLANDS LÄN</t>
        </is>
      </c>
      <c r="E699" t="inlineStr">
        <is>
          <t>LINKÖPING</t>
        </is>
      </c>
      <c r="G699" t="n">
        <v>0.1</v>
      </c>
      <c r="H699" t="n">
        <v>0</v>
      </c>
      <c r="I699" t="n">
        <v>0</v>
      </c>
      <c r="J699" t="n">
        <v>0</v>
      </c>
      <c r="K699" t="n">
        <v>0</v>
      </c>
      <c r="L699" t="n">
        <v>0</v>
      </c>
      <c r="M699" t="n">
        <v>0</v>
      </c>
      <c r="N699" t="n">
        <v>0</v>
      </c>
      <c r="O699" t="n">
        <v>0</v>
      </c>
      <c r="P699" t="n">
        <v>0</v>
      </c>
      <c r="Q699" t="n">
        <v>0</v>
      </c>
      <c r="R699" s="2" t="inlineStr"/>
    </row>
    <row r="700" ht="15" customHeight="1">
      <c r="A700" t="inlineStr">
        <is>
          <t>A 19132-2023</t>
        </is>
      </c>
      <c r="B700" s="1" t="n">
        <v>45048.54754629629</v>
      </c>
      <c r="C700" s="1" t="n">
        <v>45982</v>
      </c>
      <c r="D700" t="inlineStr">
        <is>
          <t>ÖSTERGÖTLANDS LÄN</t>
        </is>
      </c>
      <c r="E700" t="inlineStr">
        <is>
          <t>LINKÖPING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31635-2023</t>
        </is>
      </c>
      <c r="B701" s="1" t="n">
        <v>45105</v>
      </c>
      <c r="C701" s="1" t="n">
        <v>45982</v>
      </c>
      <c r="D701" t="inlineStr">
        <is>
          <t>ÖSTERGÖTLANDS LÄN</t>
        </is>
      </c>
      <c r="E701" t="inlineStr">
        <is>
          <t>LINKÖPING</t>
        </is>
      </c>
      <c r="F701" t="inlineStr">
        <is>
          <t>Övriga statliga verk och myndigheter</t>
        </is>
      </c>
      <c r="G701" t="n">
        <v>4.6</v>
      </c>
      <c r="H701" t="n">
        <v>0</v>
      </c>
      <c r="I701" t="n">
        <v>0</v>
      </c>
      <c r="J701" t="n">
        <v>0</v>
      </c>
      <c r="K701" t="n">
        <v>0</v>
      </c>
      <c r="L701" t="n">
        <v>0</v>
      </c>
      <c r="M701" t="n">
        <v>0</v>
      </c>
      <c r="N701" t="n">
        <v>0</v>
      </c>
      <c r="O701" t="n">
        <v>0</v>
      </c>
      <c r="P701" t="n">
        <v>0</v>
      </c>
      <c r="Q701" t="n">
        <v>0</v>
      </c>
      <c r="R701" s="2" t="inlineStr"/>
    </row>
    <row r="702" ht="15" customHeight="1">
      <c r="A702" t="inlineStr">
        <is>
          <t>A 20296-2025</t>
        </is>
      </c>
      <c r="B702" s="1" t="n">
        <v>45774.74922453704</v>
      </c>
      <c r="C702" s="1" t="n">
        <v>45982</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67129-2020</t>
        </is>
      </c>
      <c r="B703" s="1" t="n">
        <v>44180</v>
      </c>
      <c r="C703" s="1" t="n">
        <v>45982</v>
      </c>
      <c r="D703" t="inlineStr">
        <is>
          <t>ÖSTERGÖTLANDS LÄN</t>
        </is>
      </c>
      <c r="E703" t="inlineStr">
        <is>
          <t>LINKÖPING</t>
        </is>
      </c>
      <c r="F703" t="inlineStr">
        <is>
          <t>Övriga statliga verk och myndigheter</t>
        </is>
      </c>
      <c r="G703" t="n">
        <v>2.7</v>
      </c>
      <c r="H703" t="n">
        <v>0</v>
      </c>
      <c r="I703" t="n">
        <v>0</v>
      </c>
      <c r="J703" t="n">
        <v>0</v>
      </c>
      <c r="K703" t="n">
        <v>0</v>
      </c>
      <c r="L703" t="n">
        <v>0</v>
      </c>
      <c r="M703" t="n">
        <v>0</v>
      </c>
      <c r="N703" t="n">
        <v>0</v>
      </c>
      <c r="O703" t="n">
        <v>0</v>
      </c>
      <c r="P703" t="n">
        <v>0</v>
      </c>
      <c r="Q703" t="n">
        <v>0</v>
      </c>
      <c r="R703" s="2" t="inlineStr"/>
    </row>
    <row r="704" ht="15" customHeight="1">
      <c r="A704" t="inlineStr">
        <is>
          <t>A 22770-2024</t>
        </is>
      </c>
      <c r="B704" s="1" t="n">
        <v>45448.4634375</v>
      </c>
      <c r="C704" s="1" t="n">
        <v>45982</v>
      </c>
      <c r="D704" t="inlineStr">
        <is>
          <t>ÖSTERGÖTLANDS LÄN</t>
        </is>
      </c>
      <c r="E704" t="inlineStr">
        <is>
          <t>LINKÖPING</t>
        </is>
      </c>
      <c r="F704" t="inlineStr">
        <is>
          <t>Sveaskog</t>
        </is>
      </c>
      <c r="G704" t="n">
        <v>3.4</v>
      </c>
      <c r="H704" t="n">
        <v>0</v>
      </c>
      <c r="I704" t="n">
        <v>0</v>
      </c>
      <c r="J704" t="n">
        <v>0</v>
      </c>
      <c r="K704" t="n">
        <v>0</v>
      </c>
      <c r="L704" t="n">
        <v>0</v>
      </c>
      <c r="M704" t="n">
        <v>0</v>
      </c>
      <c r="N704" t="n">
        <v>0</v>
      </c>
      <c r="O704" t="n">
        <v>0</v>
      </c>
      <c r="P704" t="n">
        <v>0</v>
      </c>
      <c r="Q704" t="n">
        <v>0</v>
      </c>
      <c r="R704" s="2" t="inlineStr"/>
    </row>
    <row r="705" ht="15" customHeight="1">
      <c r="A705" t="inlineStr">
        <is>
          <t>A 11595-2025</t>
        </is>
      </c>
      <c r="B705" s="1" t="n">
        <v>45727.41893518518</v>
      </c>
      <c r="C705" s="1" t="n">
        <v>45982</v>
      </c>
      <c r="D705" t="inlineStr">
        <is>
          <t>ÖSTERGÖTLANDS LÄN</t>
        </is>
      </c>
      <c r="E705" t="inlineStr">
        <is>
          <t>LINKÖPING</t>
        </is>
      </c>
      <c r="G705" t="n">
        <v>6.6</v>
      </c>
      <c r="H705" t="n">
        <v>0</v>
      </c>
      <c r="I705" t="n">
        <v>0</v>
      </c>
      <c r="J705" t="n">
        <v>0</v>
      </c>
      <c r="K705" t="n">
        <v>0</v>
      </c>
      <c r="L705" t="n">
        <v>0</v>
      </c>
      <c r="M705" t="n">
        <v>0</v>
      </c>
      <c r="N705" t="n">
        <v>0</v>
      </c>
      <c r="O705" t="n">
        <v>0</v>
      </c>
      <c r="P705" t="n">
        <v>0</v>
      </c>
      <c r="Q705" t="n">
        <v>0</v>
      </c>
      <c r="R705" s="2" t="inlineStr"/>
    </row>
    <row r="706" ht="15" customHeight="1">
      <c r="A706" t="inlineStr">
        <is>
          <t>A 48839-2022</t>
        </is>
      </c>
      <c r="B706" s="1" t="n">
        <v>44859</v>
      </c>
      <c r="C706" s="1" t="n">
        <v>45982</v>
      </c>
      <c r="D706" t="inlineStr">
        <is>
          <t>ÖSTERGÖTLANDS LÄN</t>
        </is>
      </c>
      <c r="E706" t="inlineStr">
        <is>
          <t>LINKÖPING</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8967-2025</t>
        </is>
      </c>
      <c r="B707" s="1" t="n">
        <v>45712</v>
      </c>
      <c r="C707" s="1" t="n">
        <v>45982</v>
      </c>
      <c r="D707" t="inlineStr">
        <is>
          <t>ÖSTERGÖTLANDS LÄN</t>
        </is>
      </c>
      <c r="E707" t="inlineStr">
        <is>
          <t>LINKÖPING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63678-2023</t>
        </is>
      </c>
      <c r="B708" s="1" t="n">
        <v>45275.64769675926</v>
      </c>
      <c r="C708" s="1" t="n">
        <v>45982</v>
      </c>
      <c r="D708" t="inlineStr">
        <is>
          <t>ÖSTERGÖTLANDS LÄN</t>
        </is>
      </c>
      <c r="E708" t="inlineStr">
        <is>
          <t>LINKÖPING</t>
        </is>
      </c>
      <c r="F708" t="inlineStr">
        <is>
          <t>Övriga Aktiebolag</t>
        </is>
      </c>
      <c r="G708" t="n">
        <v>0.4</v>
      </c>
      <c r="H708" t="n">
        <v>0</v>
      </c>
      <c r="I708" t="n">
        <v>0</v>
      </c>
      <c r="J708" t="n">
        <v>0</v>
      </c>
      <c r="K708" t="n">
        <v>0</v>
      </c>
      <c r="L708" t="n">
        <v>0</v>
      </c>
      <c r="M708" t="n">
        <v>0</v>
      </c>
      <c r="N708" t="n">
        <v>0</v>
      </c>
      <c r="O708" t="n">
        <v>0</v>
      </c>
      <c r="P708" t="n">
        <v>0</v>
      </c>
      <c r="Q708" t="n">
        <v>0</v>
      </c>
      <c r="R708" s="2" t="inlineStr"/>
    </row>
    <row r="709" ht="15" customHeight="1">
      <c r="A709" t="inlineStr">
        <is>
          <t>A 1844-2025</t>
        </is>
      </c>
      <c r="B709" s="1" t="n">
        <v>45671.57730324074</v>
      </c>
      <c r="C709" s="1" t="n">
        <v>45982</v>
      </c>
      <c r="D709" t="inlineStr">
        <is>
          <t>ÖSTERGÖTLANDS LÄN</t>
        </is>
      </c>
      <c r="E709" t="inlineStr">
        <is>
          <t>LINKÖPING</t>
        </is>
      </c>
      <c r="G709" t="n">
        <v>2</v>
      </c>
      <c r="H709" t="n">
        <v>0</v>
      </c>
      <c r="I709" t="n">
        <v>0</v>
      </c>
      <c r="J709" t="n">
        <v>0</v>
      </c>
      <c r="K709" t="n">
        <v>0</v>
      </c>
      <c r="L709" t="n">
        <v>0</v>
      </c>
      <c r="M709" t="n">
        <v>0</v>
      </c>
      <c r="N709" t="n">
        <v>0</v>
      </c>
      <c r="O709" t="n">
        <v>0</v>
      </c>
      <c r="P709" t="n">
        <v>0</v>
      </c>
      <c r="Q709" t="n">
        <v>0</v>
      </c>
      <c r="R709" s="2" t="inlineStr"/>
    </row>
    <row r="710" ht="15" customHeight="1">
      <c r="A710" t="inlineStr">
        <is>
          <t>A 21165-2025</t>
        </is>
      </c>
      <c r="B710" s="1" t="n">
        <v>45779.39417824074</v>
      </c>
      <c r="C710" s="1" t="n">
        <v>45982</v>
      </c>
      <c r="D710" t="inlineStr">
        <is>
          <t>ÖSTERGÖTLANDS LÄN</t>
        </is>
      </c>
      <c r="E710" t="inlineStr">
        <is>
          <t>LINKÖPING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21155-2025</t>
        </is>
      </c>
      <c r="B711" s="1" t="n">
        <v>45779.37586805555</v>
      </c>
      <c r="C711" s="1" t="n">
        <v>45982</v>
      </c>
      <c r="D711" t="inlineStr">
        <is>
          <t>ÖSTERGÖTLANDS LÄN</t>
        </is>
      </c>
      <c r="E711" t="inlineStr">
        <is>
          <t>LINKÖPING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22264-2025</t>
        </is>
      </c>
      <c r="B712" s="1" t="n">
        <v>45785</v>
      </c>
      <c r="C712" s="1" t="n">
        <v>45982</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9473-2024</t>
        </is>
      </c>
      <c r="B713" s="1" t="n">
        <v>45359.55474537037</v>
      </c>
      <c r="C713" s="1" t="n">
        <v>45982</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6859-2024</t>
        </is>
      </c>
      <c r="B714" s="1" t="n">
        <v>45342</v>
      </c>
      <c r="C714" s="1" t="n">
        <v>45982</v>
      </c>
      <c r="D714" t="inlineStr">
        <is>
          <t>ÖSTERGÖTLANDS LÄN</t>
        </is>
      </c>
      <c r="E714" t="inlineStr">
        <is>
          <t>LINKÖPING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44287-2024</t>
        </is>
      </c>
      <c r="B715" s="1" t="n">
        <v>45573.50582175926</v>
      </c>
      <c r="C715" s="1" t="n">
        <v>45982</v>
      </c>
      <c r="D715" t="inlineStr">
        <is>
          <t>ÖSTERGÖTLANDS LÄN</t>
        </is>
      </c>
      <c r="E715" t="inlineStr">
        <is>
          <t>LINKÖPING</t>
        </is>
      </c>
      <c r="G715" t="n">
        <v>12.7</v>
      </c>
      <c r="H715" t="n">
        <v>0</v>
      </c>
      <c r="I715" t="n">
        <v>0</v>
      </c>
      <c r="J715" t="n">
        <v>0</v>
      </c>
      <c r="K715" t="n">
        <v>0</v>
      </c>
      <c r="L715" t="n">
        <v>0</v>
      </c>
      <c r="M715" t="n">
        <v>0</v>
      </c>
      <c r="N715" t="n">
        <v>0</v>
      </c>
      <c r="O715" t="n">
        <v>0</v>
      </c>
      <c r="P715" t="n">
        <v>0</v>
      </c>
      <c r="Q715" t="n">
        <v>0</v>
      </c>
      <c r="R715" s="2" t="inlineStr"/>
    </row>
    <row r="716">
      <c r="A716" t="inlineStr">
        <is>
          <t>A 22364-2025</t>
        </is>
      </c>
      <c r="B716" s="1" t="n">
        <v>45786.46930555555</v>
      </c>
      <c r="C716" s="1" t="n">
        <v>45982</v>
      </c>
      <c r="D716" t="inlineStr">
        <is>
          <t>ÖSTERGÖTLANDS LÄN</t>
        </is>
      </c>
      <c r="E716" t="inlineStr">
        <is>
          <t>LINKÖPING</t>
        </is>
      </c>
      <c r="G716" t="n">
        <v>2.2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2025-11-21T19:53:48Z</dcterms:created>
  <dcterms:modified xmlns:dcterms="http://purl.org/dc/terms/" xmlns:xsi="http://www.w3.org/2001/XMLSchema-instance" xsi:type="dcterms:W3CDTF">2025-11-21T19:53:49Z</dcterms:modified>
</cp:coreProperties>
</file>