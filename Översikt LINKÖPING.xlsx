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46032</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48329-2025</t>
        </is>
      </c>
      <c r="B12" s="1" t="n">
        <v>45932</v>
      </c>
      <c r="C12" s="1" t="n">
        <v>46032</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15475-2021</t>
        </is>
      </c>
      <c r="B13" s="1" t="n">
        <v>44285</v>
      </c>
      <c r="C13" s="1" t="n">
        <v>46032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46032</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46032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46032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46032</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46032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46032</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46032</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21326-2025</t>
        </is>
      </c>
      <c r="B23" s="1" t="n">
        <v>45782.35407407407</v>
      </c>
      <c r="C23" s="1" t="n">
        <v>46032</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58068-2021</t>
        </is>
      </c>
      <c r="B24" s="1" t="n">
        <v>44487</v>
      </c>
      <c r="C24" s="1" t="n">
        <v>46032</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46032</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46032</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46032</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46032</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46032</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46032</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25985-2025</t>
        </is>
      </c>
      <c r="B31" s="1" t="n">
        <v>45804.64479166667</v>
      </c>
      <c r="C31" s="1" t="n">
        <v>46032</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46032</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46032</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46032</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46032</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46032</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46032</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38913-2023</t>
        </is>
      </c>
      <c r="B38" s="1" t="n">
        <v>45163</v>
      </c>
      <c r="C38" s="1" t="n">
        <v>46032</v>
      </c>
      <c r="D38" t="inlineStr">
        <is>
          <t>ÖSTERGÖTLANDS LÄN</t>
        </is>
      </c>
      <c r="E38" t="inlineStr">
        <is>
          <t>LINKÖPING</t>
        </is>
      </c>
      <c r="G38" t="n">
        <v>2.7</v>
      </c>
      <c r="H38" t="n">
        <v>1</v>
      </c>
      <c r="I38" t="n">
        <v>1</v>
      </c>
      <c r="J38" t="n">
        <v>0</v>
      </c>
      <c r="K38" t="n">
        <v>0</v>
      </c>
      <c r="L38" t="n">
        <v>0</v>
      </c>
      <c r="M38" t="n">
        <v>0</v>
      </c>
      <c r="N38" t="n">
        <v>0</v>
      </c>
      <c r="O38" t="n">
        <v>0</v>
      </c>
      <c r="P38" t="n">
        <v>0</v>
      </c>
      <c r="Q38" t="n">
        <v>2</v>
      </c>
      <c r="R38" s="2" t="inlineStr">
        <is>
          <t>Skogsbräsma
Revlummer</t>
        </is>
      </c>
      <c r="S38">
        <f>HYPERLINK("https://klasma.github.io/Logging_0580/artfynd/A 38913-2023 artfynd.xlsx", "A 38913-2023")</f>
        <v/>
      </c>
      <c r="T38">
        <f>HYPERLINK("https://klasma.github.io/Logging_0580/kartor/A 38913-2023 karta.png", "A 38913-2023")</f>
        <v/>
      </c>
      <c r="V38">
        <f>HYPERLINK("https://klasma.github.io/Logging_0580/klagomål/A 38913-2023 FSC-klagomål.docx", "A 38913-2023")</f>
        <v/>
      </c>
      <c r="W38">
        <f>HYPERLINK("https://klasma.github.io/Logging_0580/klagomålsmail/A 38913-2023 FSC-klagomål mail.docx", "A 38913-2023")</f>
        <v/>
      </c>
      <c r="X38">
        <f>HYPERLINK("https://klasma.github.io/Logging_0580/tillsyn/A 38913-2023 tillsynsbegäran.docx", "A 38913-2023")</f>
        <v/>
      </c>
      <c r="Y38">
        <f>HYPERLINK("https://klasma.github.io/Logging_0580/tillsynsmail/A 38913-2023 tillsynsbegäran mail.docx", "A 38913-2023")</f>
        <v/>
      </c>
    </row>
    <row r="39" ht="15" customHeight="1">
      <c r="A39" t="inlineStr">
        <is>
          <t>A 41751-2023</t>
        </is>
      </c>
      <c r="B39" s="1" t="n">
        <v>45176</v>
      </c>
      <c r="C39" s="1" t="n">
        <v>46032</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46032</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46032</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38129-2021</t>
        </is>
      </c>
      <c r="B42" s="1" t="n">
        <v>44405.37199074074</v>
      </c>
      <c r="C42" s="1" t="n">
        <v>46032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46032</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46032</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46032</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46032</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46032</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46032</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46032</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27403-2025</t>
        </is>
      </c>
      <c r="B56" s="1" t="n">
        <v>45812.72518518518</v>
      </c>
      <c r="C56" s="1" t="n">
        <v>46032</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43989-2025</t>
        </is>
      </c>
      <c r="B57" s="1" t="n">
        <v>45915.44128472222</v>
      </c>
      <c r="C57" s="1" t="n">
        <v>46032</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46032</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48347-2025</t>
        </is>
      </c>
      <c r="B59" s="1" t="n">
        <v>45932</v>
      </c>
      <c r="C59" s="1" t="n">
        <v>46032</v>
      </c>
      <c r="D59" t="inlineStr">
        <is>
          <t>ÖSTERGÖTLANDS LÄN</t>
        </is>
      </c>
      <c r="E59" t="inlineStr">
        <is>
          <t>LINKÖPING</t>
        </is>
      </c>
      <c r="F59" t="inlineStr">
        <is>
          <t>Övriga Aktiebolag</t>
        </is>
      </c>
      <c r="G59" t="n">
        <v>0.9</v>
      </c>
      <c r="H59" t="n">
        <v>0</v>
      </c>
      <c r="I59" t="n">
        <v>0</v>
      </c>
      <c r="J59" t="n">
        <v>1</v>
      </c>
      <c r="K59" t="n">
        <v>0</v>
      </c>
      <c r="L59" t="n">
        <v>0</v>
      </c>
      <c r="M59" t="n">
        <v>0</v>
      </c>
      <c r="N59" t="n">
        <v>0</v>
      </c>
      <c r="O59" t="n">
        <v>1</v>
      </c>
      <c r="P59" t="n">
        <v>0</v>
      </c>
      <c r="Q59" t="n">
        <v>1</v>
      </c>
      <c r="R59" s="2" t="inlineStr">
        <is>
          <t>Igelkott</t>
        </is>
      </c>
      <c r="S59">
        <f>HYPERLINK("https://klasma.github.io/Logging_0580/artfynd/A 48347-2025 artfynd.xlsx", "A 48347-2025")</f>
        <v/>
      </c>
      <c r="T59">
        <f>HYPERLINK("https://klasma.github.io/Logging_0580/kartor/A 48347-2025 karta.png", "A 48347-2025")</f>
        <v/>
      </c>
      <c r="V59">
        <f>HYPERLINK("https://klasma.github.io/Logging_0580/klagomål/A 48347-2025 FSC-klagomål.docx", "A 48347-2025")</f>
        <v/>
      </c>
      <c r="W59">
        <f>HYPERLINK("https://klasma.github.io/Logging_0580/klagomålsmail/A 48347-2025 FSC-klagomål mail.docx", "A 48347-2025")</f>
        <v/>
      </c>
      <c r="X59">
        <f>HYPERLINK("https://klasma.github.io/Logging_0580/tillsyn/A 48347-2025 tillsynsbegäran.docx", "A 48347-2025")</f>
        <v/>
      </c>
      <c r="Y59">
        <f>HYPERLINK("https://klasma.github.io/Logging_0580/tillsynsmail/A 48347-2025 tillsynsbegäran mail.docx", "A 48347-2025")</f>
        <v/>
      </c>
    </row>
    <row r="60" ht="15" customHeight="1">
      <c r="A60" t="inlineStr">
        <is>
          <t>A 48353-2025</t>
        </is>
      </c>
      <c r="B60" s="1" t="n">
        <v>45932</v>
      </c>
      <c r="C60" s="1" t="n">
        <v>46032</v>
      </c>
      <c r="D60" t="inlineStr">
        <is>
          <t>ÖSTERGÖTLANDS LÄN</t>
        </is>
      </c>
      <c r="E60" t="inlineStr">
        <is>
          <t>LINKÖPING</t>
        </is>
      </c>
      <c r="F60" t="inlineStr">
        <is>
          <t>Övriga Aktiebolag</t>
        </is>
      </c>
      <c r="G60" t="n">
        <v>4.5</v>
      </c>
      <c r="H60" t="n">
        <v>1</v>
      </c>
      <c r="I60" t="n">
        <v>0</v>
      </c>
      <c r="J60" t="n">
        <v>1</v>
      </c>
      <c r="K60" t="n">
        <v>0</v>
      </c>
      <c r="L60" t="n">
        <v>0</v>
      </c>
      <c r="M60" t="n">
        <v>0</v>
      </c>
      <c r="N60" t="n">
        <v>0</v>
      </c>
      <c r="O60" t="n">
        <v>1</v>
      </c>
      <c r="P60" t="n">
        <v>0</v>
      </c>
      <c r="Q60" t="n">
        <v>1</v>
      </c>
      <c r="R60" s="2" t="inlineStr">
        <is>
          <t>Entita</t>
        </is>
      </c>
      <c r="S60">
        <f>HYPERLINK("https://klasma.github.io/Logging_0580/artfynd/A 48353-2025 artfynd.xlsx", "A 48353-2025")</f>
        <v/>
      </c>
      <c r="T60">
        <f>HYPERLINK("https://klasma.github.io/Logging_0580/kartor/A 48353-2025 karta.png", "A 48353-2025")</f>
        <v/>
      </c>
      <c r="V60">
        <f>HYPERLINK("https://klasma.github.io/Logging_0580/klagomål/A 48353-2025 FSC-klagomål.docx", "A 48353-2025")</f>
        <v/>
      </c>
      <c r="W60">
        <f>HYPERLINK("https://klasma.github.io/Logging_0580/klagomålsmail/A 48353-2025 FSC-klagomål mail.docx", "A 48353-2025")</f>
        <v/>
      </c>
      <c r="X60">
        <f>HYPERLINK("https://klasma.github.io/Logging_0580/tillsyn/A 48353-2025 tillsynsbegäran.docx", "A 48353-2025")</f>
        <v/>
      </c>
      <c r="Y60">
        <f>HYPERLINK("https://klasma.github.io/Logging_0580/tillsynsmail/A 48353-2025 tillsynsbegäran mail.docx", "A 48353-2025")</f>
        <v/>
      </c>
      <c r="Z60">
        <f>HYPERLINK("https://klasma.github.io/Logging_0580/fåglar/A 48353-2025 prioriterade fågelarter.docx", "A 48353-2025")</f>
        <v/>
      </c>
    </row>
    <row r="61" ht="15" customHeight="1">
      <c r="A61" t="inlineStr">
        <is>
          <t>A 48273-2025</t>
        </is>
      </c>
      <c r="B61" s="1" t="n">
        <v>45932</v>
      </c>
      <c r="C61" s="1" t="n">
        <v>46032</v>
      </c>
      <c r="D61" t="inlineStr">
        <is>
          <t>ÖSTERGÖTLANDS LÄN</t>
        </is>
      </c>
      <c r="E61" t="inlineStr">
        <is>
          <t>LINKÖPING</t>
        </is>
      </c>
      <c r="F61" t="inlineStr">
        <is>
          <t>Övriga Aktiebolag</t>
        </is>
      </c>
      <c r="G61" t="n">
        <v>4.6</v>
      </c>
      <c r="H61" t="n">
        <v>0</v>
      </c>
      <c r="I61" t="n">
        <v>0</v>
      </c>
      <c r="J61" t="n">
        <v>1</v>
      </c>
      <c r="K61" t="n">
        <v>0</v>
      </c>
      <c r="L61" t="n">
        <v>0</v>
      </c>
      <c r="M61" t="n">
        <v>0</v>
      </c>
      <c r="N61" t="n">
        <v>0</v>
      </c>
      <c r="O61" t="n">
        <v>1</v>
      </c>
      <c r="P61" t="n">
        <v>0</v>
      </c>
      <c r="Q61" t="n">
        <v>1</v>
      </c>
      <c r="R61" s="2" t="inlineStr">
        <is>
          <t>Barrviolspindling</t>
        </is>
      </c>
      <c r="S61">
        <f>HYPERLINK("https://klasma.github.io/Logging_0580/artfynd/A 48273-2025 artfynd.xlsx", "A 48273-2025")</f>
        <v/>
      </c>
      <c r="T61">
        <f>HYPERLINK("https://klasma.github.io/Logging_0580/kartor/A 48273-2025 karta.png", "A 48273-2025")</f>
        <v/>
      </c>
      <c r="V61">
        <f>HYPERLINK("https://klasma.github.io/Logging_0580/klagomål/A 48273-2025 FSC-klagomål.docx", "A 48273-2025")</f>
        <v/>
      </c>
      <c r="W61">
        <f>HYPERLINK("https://klasma.github.io/Logging_0580/klagomålsmail/A 48273-2025 FSC-klagomål mail.docx", "A 48273-2025")</f>
        <v/>
      </c>
      <c r="X61">
        <f>HYPERLINK("https://klasma.github.io/Logging_0580/tillsyn/A 48273-2025 tillsynsbegäran.docx", "A 48273-2025")</f>
        <v/>
      </c>
      <c r="Y61">
        <f>HYPERLINK("https://klasma.github.io/Logging_0580/tillsynsmail/A 48273-2025 tillsynsbegäran mail.docx", "A 48273-2025")</f>
        <v/>
      </c>
    </row>
    <row r="62" ht="15" customHeight="1">
      <c r="A62" t="inlineStr">
        <is>
          <t>A 48298-2025</t>
        </is>
      </c>
      <c r="B62" s="1" t="n">
        <v>45932</v>
      </c>
      <c r="C62" s="1" t="n">
        <v>46032</v>
      </c>
      <c r="D62" t="inlineStr">
        <is>
          <t>ÖSTERGÖTLANDS LÄN</t>
        </is>
      </c>
      <c r="E62" t="inlineStr">
        <is>
          <t>LINKÖPING</t>
        </is>
      </c>
      <c r="F62" t="inlineStr">
        <is>
          <t>Övriga Aktiebolag</t>
        </is>
      </c>
      <c r="G62" t="n">
        <v>1.7</v>
      </c>
      <c r="H62" t="n">
        <v>0</v>
      </c>
      <c r="I62" t="n">
        <v>1</v>
      </c>
      <c r="J62" t="n">
        <v>0</v>
      </c>
      <c r="K62" t="n">
        <v>0</v>
      </c>
      <c r="L62" t="n">
        <v>0</v>
      </c>
      <c r="M62" t="n">
        <v>0</v>
      </c>
      <c r="N62" t="n">
        <v>0</v>
      </c>
      <c r="O62" t="n">
        <v>0</v>
      </c>
      <c r="P62" t="n">
        <v>0</v>
      </c>
      <c r="Q62" t="n">
        <v>1</v>
      </c>
      <c r="R62" s="2" t="inlineStr">
        <is>
          <t>Västlig hakmossa</t>
        </is>
      </c>
      <c r="S62">
        <f>HYPERLINK("https://klasma.github.io/Logging_0580/artfynd/A 48298-2025 artfynd.xlsx", "A 48298-2025")</f>
        <v/>
      </c>
      <c r="T62">
        <f>HYPERLINK("https://klasma.github.io/Logging_0580/kartor/A 48298-2025 karta.png", "A 48298-2025")</f>
        <v/>
      </c>
      <c r="V62">
        <f>HYPERLINK("https://klasma.github.io/Logging_0580/klagomål/A 48298-2025 FSC-klagomål.docx", "A 48298-2025")</f>
        <v/>
      </c>
      <c r="W62">
        <f>HYPERLINK("https://klasma.github.io/Logging_0580/klagomålsmail/A 48298-2025 FSC-klagomål mail.docx", "A 48298-2025")</f>
        <v/>
      </c>
      <c r="X62">
        <f>HYPERLINK("https://klasma.github.io/Logging_0580/tillsyn/A 48298-2025 tillsynsbegäran.docx", "A 48298-2025")</f>
        <v/>
      </c>
      <c r="Y62">
        <f>HYPERLINK("https://klasma.github.io/Logging_0580/tillsynsmail/A 48298-2025 tillsynsbegäran mail.docx", "A 48298-2025")</f>
        <v/>
      </c>
    </row>
    <row r="63" ht="15" customHeight="1">
      <c r="A63" t="inlineStr">
        <is>
          <t>A 37683-2024</t>
        </is>
      </c>
      <c r="B63" s="1" t="n">
        <v>45541.59120370371</v>
      </c>
      <c r="C63" s="1" t="n">
        <v>46032</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50034-2025</t>
        </is>
      </c>
      <c r="B64" s="1" t="n">
        <v>45941</v>
      </c>
      <c r="C64" s="1" t="n">
        <v>46032</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36723-2023</t>
        </is>
      </c>
      <c r="B65" s="1" t="n">
        <v>45153</v>
      </c>
      <c r="C65" s="1" t="n">
        <v>46032</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56651-2023</t>
        </is>
      </c>
      <c r="B66" s="1" t="n">
        <v>45243</v>
      </c>
      <c r="C66" s="1" t="n">
        <v>46032</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46032</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5911-2022</t>
        </is>
      </c>
      <c r="B68" s="1" t="n">
        <v>44597</v>
      </c>
      <c r="C68" s="1" t="n">
        <v>46032</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90-2024</t>
        </is>
      </c>
      <c r="B69" s="1" t="n">
        <v>45293</v>
      </c>
      <c r="C69" s="1" t="n">
        <v>46032</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46032</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60311-2025</t>
        </is>
      </c>
      <c r="B71" s="1" t="n">
        <v>45994</v>
      </c>
      <c r="C71" s="1" t="n">
        <v>46032</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Gammelekslav</t>
        </is>
      </c>
      <c r="S71">
        <f>HYPERLINK("https://klasma.github.io/Logging_0580/artfynd/A 60311-2025 artfynd.xlsx", "A 60311-2025")</f>
        <v/>
      </c>
      <c r="T71">
        <f>HYPERLINK("https://klasma.github.io/Logging_0580/kartor/A 60311-2025 karta.png", "A 60311-2025")</f>
        <v/>
      </c>
      <c r="V71">
        <f>HYPERLINK("https://klasma.github.io/Logging_0580/klagomål/A 60311-2025 FSC-klagomål.docx", "A 60311-2025")</f>
        <v/>
      </c>
      <c r="W71">
        <f>HYPERLINK("https://klasma.github.io/Logging_0580/klagomålsmail/A 60311-2025 FSC-klagomål mail.docx", "A 60311-2025")</f>
        <v/>
      </c>
      <c r="X71">
        <f>HYPERLINK("https://klasma.github.io/Logging_0580/tillsyn/A 60311-2025 tillsynsbegäran.docx", "A 60311-2025")</f>
        <v/>
      </c>
      <c r="Y71">
        <f>HYPERLINK("https://klasma.github.io/Logging_0580/tillsynsmail/A 60311-2025 tillsynsbegäran mail.docx", "A 60311-2025")</f>
        <v/>
      </c>
    </row>
    <row r="72" ht="15" customHeight="1">
      <c r="A72" t="inlineStr">
        <is>
          <t>A 56112-2025</t>
        </is>
      </c>
      <c r="B72" s="1" t="n">
        <v>45973.73625</v>
      </c>
      <c r="C72" s="1" t="n">
        <v>46032</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15290-2025</t>
        </is>
      </c>
      <c r="B73" s="1" t="n">
        <v>45745.45288194445</v>
      </c>
      <c r="C73" s="1" t="n">
        <v>46032</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34881-2023</t>
        </is>
      </c>
      <c r="B74" s="1" t="n">
        <v>45140</v>
      </c>
      <c r="C74" s="1" t="n">
        <v>46032</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50471-2024</t>
        </is>
      </c>
      <c r="B75" s="1" t="n">
        <v>45601.47166666666</v>
      </c>
      <c r="C75" s="1" t="n">
        <v>46032</v>
      </c>
      <c r="D75" t="inlineStr">
        <is>
          <t>ÖSTERGÖTLANDS LÄN</t>
        </is>
      </c>
      <c r="E75" t="inlineStr">
        <is>
          <t>LINKÖPING</t>
        </is>
      </c>
      <c r="F75" t="inlineStr">
        <is>
          <t>Övriga Aktiebolag</t>
        </is>
      </c>
      <c r="G75" t="n">
        <v>2</v>
      </c>
      <c r="H75" t="n">
        <v>0</v>
      </c>
      <c r="I75" t="n">
        <v>1</v>
      </c>
      <c r="J75" t="n">
        <v>0</v>
      </c>
      <c r="K75" t="n">
        <v>0</v>
      </c>
      <c r="L75" t="n">
        <v>0</v>
      </c>
      <c r="M75" t="n">
        <v>0</v>
      </c>
      <c r="N75" t="n">
        <v>0</v>
      </c>
      <c r="O75" t="n">
        <v>0</v>
      </c>
      <c r="P75" t="n">
        <v>0</v>
      </c>
      <c r="Q75" t="n">
        <v>1</v>
      </c>
      <c r="R75" s="2" t="inlineStr">
        <is>
          <t>Västlig hakmossa</t>
        </is>
      </c>
      <c r="S75">
        <f>HYPERLINK("https://klasma.github.io/Logging_0580/artfynd/A 50471-2024 artfynd.xlsx", "A 50471-2024")</f>
        <v/>
      </c>
      <c r="T75">
        <f>HYPERLINK("https://klasma.github.io/Logging_0580/kartor/A 50471-2024 karta.png", "A 50471-2024")</f>
        <v/>
      </c>
      <c r="V75">
        <f>HYPERLINK("https://klasma.github.io/Logging_0580/klagomål/A 50471-2024 FSC-klagomål.docx", "A 50471-2024")</f>
        <v/>
      </c>
      <c r="W75">
        <f>HYPERLINK("https://klasma.github.io/Logging_0580/klagomålsmail/A 50471-2024 FSC-klagomål mail.docx", "A 50471-2024")</f>
        <v/>
      </c>
      <c r="X75">
        <f>HYPERLINK("https://klasma.github.io/Logging_0580/tillsyn/A 50471-2024 tillsynsbegäran.docx", "A 50471-2024")</f>
        <v/>
      </c>
      <c r="Y75">
        <f>HYPERLINK("https://klasma.github.io/Logging_0580/tillsynsmail/A 50471-2024 tillsynsbegäran mail.docx", "A 50471-2024")</f>
        <v/>
      </c>
    </row>
    <row r="76" ht="15" customHeight="1">
      <c r="A76" t="inlineStr">
        <is>
          <t>A 17389-2021</t>
        </is>
      </c>
      <c r="B76" s="1" t="n">
        <v>44298.96792824074</v>
      </c>
      <c r="C76" s="1" t="n">
        <v>46032</v>
      </c>
      <c r="D76" t="inlineStr">
        <is>
          <t>ÖSTERGÖTLANDS LÄN</t>
        </is>
      </c>
      <c r="E76" t="inlineStr">
        <is>
          <t>LINKÖPING</t>
        </is>
      </c>
      <c r="G76" t="n">
        <v>5.1</v>
      </c>
      <c r="H76" t="n">
        <v>0</v>
      </c>
      <c r="I76" t="n">
        <v>1</v>
      </c>
      <c r="J76" t="n">
        <v>0</v>
      </c>
      <c r="K76" t="n">
        <v>0</v>
      </c>
      <c r="L76" t="n">
        <v>0</v>
      </c>
      <c r="M76" t="n">
        <v>0</v>
      </c>
      <c r="N76" t="n">
        <v>0</v>
      </c>
      <c r="O76" t="n">
        <v>0</v>
      </c>
      <c r="P76" t="n">
        <v>0</v>
      </c>
      <c r="Q76" t="n">
        <v>1</v>
      </c>
      <c r="R76" s="2" t="inlineStr">
        <is>
          <t>Blomkålssvamp</t>
        </is>
      </c>
      <c r="S76">
        <f>HYPERLINK("https://klasma.github.io/Logging_0580/artfynd/A 17389-2021 artfynd.xlsx", "A 17389-2021")</f>
        <v/>
      </c>
      <c r="T76">
        <f>HYPERLINK("https://klasma.github.io/Logging_0580/kartor/A 17389-2021 karta.png", "A 17389-2021")</f>
        <v/>
      </c>
      <c r="V76">
        <f>HYPERLINK("https://klasma.github.io/Logging_0580/klagomål/A 17389-2021 FSC-klagomål.docx", "A 17389-2021")</f>
        <v/>
      </c>
      <c r="W76">
        <f>HYPERLINK("https://klasma.github.io/Logging_0580/klagomålsmail/A 17389-2021 FSC-klagomål mail.docx", "A 17389-2021")</f>
        <v/>
      </c>
      <c r="X76">
        <f>HYPERLINK("https://klasma.github.io/Logging_0580/tillsyn/A 17389-2021 tillsynsbegäran.docx", "A 17389-2021")</f>
        <v/>
      </c>
      <c r="Y76">
        <f>HYPERLINK("https://klasma.github.io/Logging_0580/tillsynsmail/A 17389-2021 tillsynsbegäran mail.docx", "A 17389-2021")</f>
        <v/>
      </c>
    </row>
    <row r="77" ht="15" customHeight="1">
      <c r="A77" t="inlineStr">
        <is>
          <t>A 56128-2022</t>
        </is>
      </c>
      <c r="B77" s="1" t="n">
        <v>44889</v>
      </c>
      <c r="C77" s="1" t="n">
        <v>46032</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46032</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59474-2025</t>
        </is>
      </c>
      <c r="B79" s="1" t="n">
        <v>45989.58512731481</v>
      </c>
      <c r="C79" s="1" t="n">
        <v>46032</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54835-2023</t>
        </is>
      </c>
      <c r="B80" s="1" t="n">
        <v>45236</v>
      </c>
      <c r="C80" s="1" t="n">
        <v>46032</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126-2024</t>
        </is>
      </c>
      <c r="B81" s="1" t="n">
        <v>45294</v>
      </c>
      <c r="C81" s="1" t="n">
        <v>46032</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3395-2023</t>
        </is>
      </c>
      <c r="B82" s="1" t="n">
        <v>44949</v>
      </c>
      <c r="C82" s="1" t="n">
        <v>46032</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46032</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46032</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46032</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46032</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46032</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46032</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46032</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46032</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46032</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46032</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46032</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46032</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46032</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46032</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46032</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46032</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46032</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46032</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46032</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46032</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46032</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46032</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46032</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46032</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46032</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46032</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46032</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46032</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46032</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46032</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46032</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46032</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46032</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46032</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46032</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46032</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46032</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46032</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46032</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46032</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46032</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46032</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46032</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46032</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46032</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46032</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46032</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46032</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46032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46032</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46032</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46032</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46032</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46032</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46032</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46032</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46032</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46032</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46032</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46032</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46032</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46032</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46032</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46032</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46032</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46032</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46032</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46032</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46032</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46032</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46032</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46032</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46032</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46032</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46032</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46032</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46032</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46032</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46032</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46032</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46032</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46032</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46032</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46032</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46032</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46032</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46032</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46032</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46032</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46032</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12413-2022</t>
        </is>
      </c>
      <c r="B188" s="1" t="n">
        <v>44638</v>
      </c>
      <c r="C188" s="1" t="n">
        <v>46032</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46032</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46032</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46032</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46032</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46032</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46032</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46032</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46032</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46032</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61298-2021</t>
        </is>
      </c>
      <c r="B198" s="1" t="n">
        <v>44498.62533564815</v>
      </c>
      <c r="C198" s="1" t="n">
        <v>46032</v>
      </c>
      <c r="D198" t="inlineStr">
        <is>
          <t>ÖSTERGÖTLANDS LÄN</t>
        </is>
      </c>
      <c r="E198" t="inlineStr">
        <is>
          <t>LINKÖPING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46032</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46032</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46032</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46032</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46032</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46032</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46032</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46032</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46032</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28266-2024</t>
        </is>
      </c>
      <c r="B208" s="1" t="n">
        <v>45477.43600694444</v>
      </c>
      <c r="C208" s="1" t="n">
        <v>46032</v>
      </c>
      <c r="D208" t="inlineStr">
        <is>
          <t>ÖSTERGÖTLANDS LÄN</t>
        </is>
      </c>
      <c r="E208" t="inlineStr">
        <is>
          <t>LINKÖPING</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46032</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20455-2024</t>
        </is>
      </c>
      <c r="B210" s="1" t="n">
        <v>45435.65314814815</v>
      </c>
      <c r="C210" s="1" t="n">
        <v>46032</v>
      </c>
      <c r="D210" t="inlineStr">
        <is>
          <t>ÖSTERGÖTLANDS LÄN</t>
        </is>
      </c>
      <c r="E210" t="inlineStr">
        <is>
          <t>LINKÖPING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54845-2023</t>
        </is>
      </c>
      <c r="B211" s="1" t="n">
        <v>45236</v>
      </c>
      <c r="C211" s="1" t="n">
        <v>46032</v>
      </c>
      <c r="D211" t="inlineStr">
        <is>
          <t>ÖSTERGÖTLANDS LÄN</t>
        </is>
      </c>
      <c r="E211" t="inlineStr">
        <is>
          <t>LINKÖPING</t>
        </is>
      </c>
      <c r="F211" t="inlineStr">
        <is>
          <t>Övriga Aktiebolag</t>
        </is>
      </c>
      <c r="G211" t="n">
        <v>5.7</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46032</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46032</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34877-2023</t>
        </is>
      </c>
      <c r="B214" s="1" t="n">
        <v>45140</v>
      </c>
      <c r="C214" s="1" t="n">
        <v>46032</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52796-2023</t>
        </is>
      </c>
      <c r="B215" s="1" t="n">
        <v>45219</v>
      </c>
      <c r="C215" s="1" t="n">
        <v>46032</v>
      </c>
      <c r="D215" t="inlineStr">
        <is>
          <t>ÖSTERGÖTLANDS LÄN</t>
        </is>
      </c>
      <c r="E215" t="inlineStr">
        <is>
          <t>LINKÖPING</t>
        </is>
      </c>
      <c r="F215" t="inlineStr">
        <is>
          <t>Övriga statliga verk och myndigheter</t>
        </is>
      </c>
      <c r="G215" t="n">
        <v>3.9</v>
      </c>
      <c r="H215" t="n">
        <v>0</v>
      </c>
      <c r="I215" t="n">
        <v>0</v>
      </c>
      <c r="J215" t="n">
        <v>0</v>
      </c>
      <c r="K215" t="n">
        <v>0</v>
      </c>
      <c r="L215" t="n">
        <v>0</v>
      </c>
      <c r="M215" t="n">
        <v>0</v>
      </c>
      <c r="N215" t="n">
        <v>0</v>
      </c>
      <c r="O215" t="n">
        <v>0</v>
      </c>
      <c r="P215" t="n">
        <v>0</v>
      </c>
      <c r="Q215" t="n">
        <v>0</v>
      </c>
      <c r="R215" s="2" t="inlineStr"/>
    </row>
    <row r="216" ht="15" customHeight="1">
      <c r="A216" t="inlineStr">
        <is>
          <t>A 30856-2022</t>
        </is>
      </c>
      <c r="B216" s="1" t="n">
        <v>44767</v>
      </c>
      <c r="C216" s="1" t="n">
        <v>46032</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46032</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62488-2023</t>
        </is>
      </c>
      <c r="B218" s="1" t="n">
        <v>45268.5847337963</v>
      </c>
      <c r="C218" s="1" t="n">
        <v>46032</v>
      </c>
      <c r="D218" t="inlineStr">
        <is>
          <t>ÖSTERGÖTLANDS LÄN</t>
        </is>
      </c>
      <c r="E218" t="inlineStr">
        <is>
          <t>LINKÖPING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57745-2022</t>
        </is>
      </c>
      <c r="B219" s="1" t="n">
        <v>44897.58119212963</v>
      </c>
      <c r="C219" s="1" t="n">
        <v>46032</v>
      </c>
      <c r="D219" t="inlineStr">
        <is>
          <t>ÖSTERGÖTLANDS LÄN</t>
        </is>
      </c>
      <c r="E219" t="inlineStr">
        <is>
          <t>LINKÖPING</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1993-2023</t>
        </is>
      </c>
      <c r="B220" s="1" t="n">
        <v>44939</v>
      </c>
      <c r="C220" s="1" t="n">
        <v>46032</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34889-2023</t>
        </is>
      </c>
      <c r="B221" s="1" t="n">
        <v>45140</v>
      </c>
      <c r="C221" s="1" t="n">
        <v>46032</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24351-2024</t>
        </is>
      </c>
      <c r="B222" s="1" t="n">
        <v>45457.59011574074</v>
      </c>
      <c r="C222" s="1" t="n">
        <v>46032</v>
      </c>
      <c r="D222" t="inlineStr">
        <is>
          <t>ÖSTERGÖTLANDS LÄN</t>
        </is>
      </c>
      <c r="E222" t="inlineStr">
        <is>
          <t>LINKÖPING</t>
        </is>
      </c>
      <c r="G222" t="n">
        <v>11.9</v>
      </c>
      <c r="H222" t="n">
        <v>0</v>
      </c>
      <c r="I222" t="n">
        <v>0</v>
      </c>
      <c r="J222" t="n">
        <v>0</v>
      </c>
      <c r="K222" t="n">
        <v>0</v>
      </c>
      <c r="L222" t="n">
        <v>0</v>
      </c>
      <c r="M222" t="n">
        <v>0</v>
      </c>
      <c r="N222" t="n">
        <v>0</v>
      </c>
      <c r="O222" t="n">
        <v>0</v>
      </c>
      <c r="P222" t="n">
        <v>0</v>
      </c>
      <c r="Q222" t="n">
        <v>0</v>
      </c>
      <c r="R222" s="2" t="inlineStr"/>
    </row>
    <row r="223" ht="15" customHeight="1">
      <c r="A223" t="inlineStr">
        <is>
          <t>A 22771-2024</t>
        </is>
      </c>
      <c r="B223" s="1" t="n">
        <v>45448.46574074074</v>
      </c>
      <c r="C223" s="1" t="n">
        <v>46032</v>
      </c>
      <c r="D223" t="inlineStr">
        <is>
          <t>ÖSTERGÖTLANDS LÄN</t>
        </is>
      </c>
      <c r="E223" t="inlineStr">
        <is>
          <t>LINKÖPING</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46032</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46032</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46032</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22264-2025</t>
        </is>
      </c>
      <c r="B227" s="1" t="n">
        <v>45785</v>
      </c>
      <c r="C227" s="1" t="n">
        <v>46032</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56560-2023</t>
        </is>
      </c>
      <c r="B228" s="1" t="n">
        <v>45238</v>
      </c>
      <c r="C228" s="1" t="n">
        <v>46032</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46032</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46032</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7354-2025</t>
        </is>
      </c>
      <c r="B231" s="1" t="n">
        <v>45704.41174768518</v>
      </c>
      <c r="C231" s="1" t="n">
        <v>46032</v>
      </c>
      <c r="D231" t="inlineStr">
        <is>
          <t>ÖSTERGÖTLANDS LÄN</t>
        </is>
      </c>
      <c r="E231" t="inlineStr">
        <is>
          <t>LINKÖPING</t>
        </is>
      </c>
      <c r="G231" t="n">
        <v>4.8</v>
      </c>
      <c r="H231" t="n">
        <v>0</v>
      </c>
      <c r="I231" t="n">
        <v>0</v>
      </c>
      <c r="J231" t="n">
        <v>0</v>
      </c>
      <c r="K231" t="n">
        <v>0</v>
      </c>
      <c r="L231" t="n">
        <v>0</v>
      </c>
      <c r="M231" t="n">
        <v>0</v>
      </c>
      <c r="N231" t="n">
        <v>0</v>
      </c>
      <c r="O231" t="n">
        <v>0</v>
      </c>
      <c r="P231" t="n">
        <v>0</v>
      </c>
      <c r="Q231" t="n">
        <v>0</v>
      </c>
      <c r="R231" s="2" t="inlineStr"/>
    </row>
    <row r="232" ht="15" customHeight="1">
      <c r="A232" t="inlineStr">
        <is>
          <t>A 9473-2024</t>
        </is>
      </c>
      <c r="B232" s="1" t="n">
        <v>45359.55474537037</v>
      </c>
      <c r="C232" s="1" t="n">
        <v>46032</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6859-2024</t>
        </is>
      </c>
      <c r="B233" s="1" t="n">
        <v>45342</v>
      </c>
      <c r="C233" s="1" t="n">
        <v>46032</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44287-2024</t>
        </is>
      </c>
      <c r="B234" s="1" t="n">
        <v>45573.50582175926</v>
      </c>
      <c r="C234" s="1" t="n">
        <v>46032</v>
      </c>
      <c r="D234" t="inlineStr">
        <is>
          <t>ÖSTERGÖTLANDS LÄN</t>
        </is>
      </c>
      <c r="E234" t="inlineStr">
        <is>
          <t>LINKÖPING</t>
        </is>
      </c>
      <c r="G234" t="n">
        <v>12.7</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46032</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46032</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46032</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46032</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46032</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3008-2023</t>
        </is>
      </c>
      <c r="B240" s="1" t="n">
        <v>44945.79784722222</v>
      </c>
      <c r="C240" s="1" t="n">
        <v>46032</v>
      </c>
      <c r="D240" t="inlineStr">
        <is>
          <t>ÖSTERGÖTLANDS LÄN</t>
        </is>
      </c>
      <c r="E240" t="inlineStr">
        <is>
          <t>LINKÖPING</t>
        </is>
      </c>
      <c r="G240" t="n">
        <v>19.3</v>
      </c>
      <c r="H240" t="n">
        <v>0</v>
      </c>
      <c r="I240" t="n">
        <v>0</v>
      </c>
      <c r="J240" t="n">
        <v>0</v>
      </c>
      <c r="K240" t="n">
        <v>0</v>
      </c>
      <c r="L240" t="n">
        <v>0</v>
      </c>
      <c r="M240" t="n">
        <v>0</v>
      </c>
      <c r="N240" t="n">
        <v>0</v>
      </c>
      <c r="O240" t="n">
        <v>0</v>
      </c>
      <c r="P240" t="n">
        <v>0</v>
      </c>
      <c r="Q240" t="n">
        <v>0</v>
      </c>
      <c r="R240" s="2" t="inlineStr"/>
    </row>
    <row r="241" ht="15" customHeight="1">
      <c r="A241" t="inlineStr">
        <is>
          <t>A 29312-2024</t>
        </is>
      </c>
      <c r="B241" s="1" t="n">
        <v>45483</v>
      </c>
      <c r="C241" s="1" t="n">
        <v>46032</v>
      </c>
      <c r="D241" t="inlineStr">
        <is>
          <t>ÖSTERGÖTLANDS LÄN</t>
        </is>
      </c>
      <c r="E241" t="inlineStr">
        <is>
          <t>LINKÖPING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46032</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23120-2025</t>
        </is>
      </c>
      <c r="B243" s="1" t="n">
        <v>45791.37481481482</v>
      </c>
      <c r="C243" s="1" t="n">
        <v>46032</v>
      </c>
      <c r="D243" t="inlineStr">
        <is>
          <t>ÖSTERGÖTLANDS LÄN</t>
        </is>
      </c>
      <c r="E243" t="inlineStr">
        <is>
          <t>LINKÖPING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34928-2023</t>
        </is>
      </c>
      <c r="B244" s="1" t="n">
        <v>45142</v>
      </c>
      <c r="C244" s="1" t="n">
        <v>46032</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1263-2024</t>
        </is>
      </c>
      <c r="B245" s="1" t="n">
        <v>45302</v>
      </c>
      <c r="C245" s="1" t="n">
        <v>46032</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52531-2023</t>
        </is>
      </c>
      <c r="B246" s="1" t="n">
        <v>45225</v>
      </c>
      <c r="C246" s="1" t="n">
        <v>46032</v>
      </c>
      <c r="D246" t="inlineStr">
        <is>
          <t>ÖSTERGÖTLANDS LÄN</t>
        </is>
      </c>
      <c r="E246" t="inlineStr">
        <is>
          <t>LINKÖPING</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39438-2025</t>
        </is>
      </c>
      <c r="B247" s="1" t="n">
        <v>45889.68641203704</v>
      </c>
      <c r="C247" s="1" t="n">
        <v>46032</v>
      </c>
      <c r="D247" t="inlineStr">
        <is>
          <t>ÖSTERGÖTLANDS LÄN</t>
        </is>
      </c>
      <c r="E247" t="inlineStr">
        <is>
          <t>LINKÖPING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46032</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23768-2025</t>
        </is>
      </c>
      <c r="B249" s="1" t="n">
        <v>45793.47493055555</v>
      </c>
      <c r="C249" s="1" t="n">
        <v>46032</v>
      </c>
      <c r="D249" t="inlineStr">
        <is>
          <t>ÖSTERGÖTLANDS LÄN</t>
        </is>
      </c>
      <c r="E249" t="inlineStr">
        <is>
          <t>LINKÖPING</t>
        </is>
      </c>
      <c r="G249" t="n">
        <v>3.4</v>
      </c>
      <c r="H249" t="n">
        <v>0</v>
      </c>
      <c r="I249" t="n">
        <v>0</v>
      </c>
      <c r="J249" t="n">
        <v>0</v>
      </c>
      <c r="K249" t="n">
        <v>0</v>
      </c>
      <c r="L249" t="n">
        <v>0</v>
      </c>
      <c r="M249" t="n">
        <v>0</v>
      </c>
      <c r="N249" t="n">
        <v>0</v>
      </c>
      <c r="O249" t="n">
        <v>0</v>
      </c>
      <c r="P249" t="n">
        <v>0</v>
      </c>
      <c r="Q249" t="n">
        <v>0</v>
      </c>
      <c r="R249" s="2" t="inlineStr"/>
    </row>
    <row r="250" ht="15" customHeight="1">
      <c r="A250" t="inlineStr">
        <is>
          <t>A 20291-2025</t>
        </is>
      </c>
      <c r="B250" s="1" t="n">
        <v>45774.74288194445</v>
      </c>
      <c r="C250" s="1" t="n">
        <v>46032</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20293-2025</t>
        </is>
      </c>
      <c r="B251" s="1" t="n">
        <v>45774.74611111111</v>
      </c>
      <c r="C251" s="1" t="n">
        <v>46032</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39074-2025</t>
        </is>
      </c>
      <c r="B252" s="1" t="n">
        <v>45888</v>
      </c>
      <c r="C252" s="1" t="n">
        <v>46032</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46032</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48699-2024</t>
        </is>
      </c>
      <c r="B254" s="1" t="n">
        <v>45593.52091435185</v>
      </c>
      <c r="C254" s="1" t="n">
        <v>46032</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40169-2025</t>
        </is>
      </c>
      <c r="B255" s="1" t="n">
        <v>45894.62824074074</v>
      </c>
      <c r="C255" s="1" t="n">
        <v>46032</v>
      </c>
      <c r="D255" t="inlineStr">
        <is>
          <t>ÖSTERGÖTLANDS LÄN</t>
        </is>
      </c>
      <c r="E255" t="inlineStr">
        <is>
          <t>LINKÖPING</t>
        </is>
      </c>
      <c r="G255" t="n">
        <v>2.8</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46032</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50963-2021</t>
        </is>
      </c>
      <c r="B257" s="1" t="n">
        <v>44460</v>
      </c>
      <c r="C257" s="1" t="n">
        <v>46032</v>
      </c>
      <c r="D257" t="inlineStr">
        <is>
          <t>ÖSTERGÖTLANDS LÄN</t>
        </is>
      </c>
      <c r="E257" t="inlineStr">
        <is>
          <t>LINKÖPING</t>
        </is>
      </c>
      <c r="G257" t="n">
        <v>4.4</v>
      </c>
      <c r="H257" t="n">
        <v>0</v>
      </c>
      <c r="I257" t="n">
        <v>0</v>
      </c>
      <c r="J257" t="n">
        <v>0</v>
      </c>
      <c r="K257" t="n">
        <v>0</v>
      </c>
      <c r="L257" t="n">
        <v>0</v>
      </c>
      <c r="M257" t="n">
        <v>0</v>
      </c>
      <c r="N257" t="n">
        <v>0</v>
      </c>
      <c r="O257" t="n">
        <v>0</v>
      </c>
      <c r="P257" t="n">
        <v>0</v>
      </c>
      <c r="Q257" t="n">
        <v>0</v>
      </c>
      <c r="R257" s="2" t="inlineStr"/>
    </row>
    <row r="258" ht="15" customHeight="1">
      <c r="A258" t="inlineStr">
        <is>
          <t>A 61307-2021</t>
        </is>
      </c>
      <c r="B258" s="1" t="n">
        <v>44498.63928240741</v>
      </c>
      <c r="C258" s="1" t="n">
        <v>46032</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61325-2021</t>
        </is>
      </c>
      <c r="B259" s="1" t="n">
        <v>44498.66814814815</v>
      </c>
      <c r="C259" s="1" t="n">
        <v>46032</v>
      </c>
      <c r="D259" t="inlineStr">
        <is>
          <t>ÖSTERGÖTLANDS LÄN</t>
        </is>
      </c>
      <c r="E259" t="inlineStr">
        <is>
          <t>LINKÖPING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63665-2023</t>
        </is>
      </c>
      <c r="B260" s="1" t="n">
        <v>45275</v>
      </c>
      <c r="C260" s="1" t="n">
        <v>46032</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13911-2025</t>
        </is>
      </c>
      <c r="B261" s="1" t="n">
        <v>45737.64784722222</v>
      </c>
      <c r="C261" s="1" t="n">
        <v>46032</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33867-2023</t>
        </is>
      </c>
      <c r="B262" s="1" t="n">
        <v>45133.94640046296</v>
      </c>
      <c r="C262" s="1" t="n">
        <v>46032</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44280-2024</t>
        </is>
      </c>
      <c r="B263" s="1" t="n">
        <v>45573.49461805556</v>
      </c>
      <c r="C263" s="1" t="n">
        <v>46032</v>
      </c>
      <c r="D263" t="inlineStr">
        <is>
          <t>ÖSTERGÖTLANDS LÄN</t>
        </is>
      </c>
      <c r="E263" t="inlineStr">
        <is>
          <t>LINKÖPING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51802-2025</t>
        </is>
      </c>
      <c r="B264" s="1" t="n">
        <v>45950</v>
      </c>
      <c r="C264" s="1" t="n">
        <v>46032</v>
      </c>
      <c r="D264" t="inlineStr">
        <is>
          <t>ÖSTERGÖTLANDS LÄN</t>
        </is>
      </c>
      <c r="E264" t="inlineStr">
        <is>
          <t>LINKÖPING</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30985-2022</t>
        </is>
      </c>
      <c r="B265" s="1" t="n">
        <v>44768</v>
      </c>
      <c r="C265" s="1" t="n">
        <v>46032</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38317-2024</t>
        </is>
      </c>
      <c r="B266" s="1" t="n">
        <v>45545.65766203704</v>
      </c>
      <c r="C266" s="1" t="n">
        <v>46032</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41511-2025</t>
        </is>
      </c>
      <c r="B267" s="1" t="n">
        <v>45901.53839120371</v>
      </c>
      <c r="C267" s="1" t="n">
        <v>46032</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58947-2022</t>
        </is>
      </c>
      <c r="B268" s="1" t="n">
        <v>44903.64769675926</v>
      </c>
      <c r="C268" s="1" t="n">
        <v>46032</v>
      </c>
      <c r="D268" t="inlineStr">
        <is>
          <t>ÖSTERGÖTLANDS LÄN</t>
        </is>
      </c>
      <c r="E268" t="inlineStr">
        <is>
          <t>LINKÖPING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10253-2022</t>
        </is>
      </c>
      <c r="B269" s="1" t="n">
        <v>44622</v>
      </c>
      <c r="C269" s="1" t="n">
        <v>46032</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26002-2025</t>
        </is>
      </c>
      <c r="B270" s="1" t="n">
        <v>45804.66534722222</v>
      </c>
      <c r="C270" s="1" t="n">
        <v>46032</v>
      </c>
      <c r="D270" t="inlineStr">
        <is>
          <t>ÖSTERGÖTLANDS LÄN</t>
        </is>
      </c>
      <c r="E270" t="inlineStr">
        <is>
          <t>LINKÖPING</t>
        </is>
      </c>
      <c r="G270" t="n">
        <v>2.5</v>
      </c>
      <c r="H270" t="n">
        <v>0</v>
      </c>
      <c r="I270" t="n">
        <v>0</v>
      </c>
      <c r="J270" t="n">
        <v>0</v>
      </c>
      <c r="K270" t="n">
        <v>0</v>
      </c>
      <c r="L270" t="n">
        <v>0</v>
      </c>
      <c r="M270" t="n">
        <v>0</v>
      </c>
      <c r="N270" t="n">
        <v>0</v>
      </c>
      <c r="O270" t="n">
        <v>0</v>
      </c>
      <c r="P270" t="n">
        <v>0</v>
      </c>
      <c r="Q270" t="n">
        <v>0</v>
      </c>
      <c r="R270" s="2" t="inlineStr"/>
    </row>
    <row r="271" ht="15" customHeight="1">
      <c r="A271" t="inlineStr">
        <is>
          <t>A 41706-2025</t>
        </is>
      </c>
      <c r="B271" s="1" t="n">
        <v>45902.42209490741</v>
      </c>
      <c r="C271" s="1" t="n">
        <v>46032</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16665-2023</t>
        </is>
      </c>
      <c r="B272" s="1" t="n">
        <v>45030.5583912037</v>
      </c>
      <c r="C272" s="1" t="n">
        <v>46032</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3042-2024</t>
        </is>
      </c>
      <c r="B273" s="1" t="n">
        <v>45316.35028935185</v>
      </c>
      <c r="C273" s="1" t="n">
        <v>46032</v>
      </c>
      <c r="D273" t="inlineStr">
        <is>
          <t>ÖSTERGÖTLANDS LÄN</t>
        </is>
      </c>
      <c r="E273" t="inlineStr">
        <is>
          <t>LINKÖPING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25996-2025</t>
        </is>
      </c>
      <c r="B274" s="1" t="n">
        <v>45804.65851851852</v>
      </c>
      <c r="C274" s="1" t="n">
        <v>46032</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29293-2025</t>
        </is>
      </c>
      <c r="B275" s="1" t="n">
        <v>45824</v>
      </c>
      <c r="C275" s="1" t="n">
        <v>46032</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60001-2022</t>
        </is>
      </c>
      <c r="B276" s="1" t="n">
        <v>44909.47087962963</v>
      </c>
      <c r="C276" s="1" t="n">
        <v>46032</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60013-2022</t>
        </is>
      </c>
      <c r="B277" s="1" t="n">
        <v>44909.47482638889</v>
      </c>
      <c r="C277" s="1" t="n">
        <v>46032</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42624-2025</t>
        </is>
      </c>
      <c r="B278" s="1" t="n">
        <v>45905</v>
      </c>
      <c r="C278" s="1" t="n">
        <v>46032</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42626-2025</t>
        </is>
      </c>
      <c r="B279" s="1" t="n">
        <v>45905</v>
      </c>
      <c r="C279" s="1" t="n">
        <v>46032</v>
      </c>
      <c r="D279" t="inlineStr">
        <is>
          <t>ÖSTERGÖTLANDS LÄN</t>
        </is>
      </c>
      <c r="E279" t="inlineStr">
        <is>
          <t>LINKÖPING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1211-2023</t>
        </is>
      </c>
      <c r="B280" s="1" t="n">
        <v>44930</v>
      </c>
      <c r="C280" s="1" t="n">
        <v>46032</v>
      </c>
      <c r="D280" t="inlineStr">
        <is>
          <t>ÖSTERGÖTLANDS LÄN</t>
        </is>
      </c>
      <c r="E280" t="inlineStr">
        <is>
          <t>LINKÖPING</t>
        </is>
      </c>
      <c r="F280" t="inlineStr">
        <is>
          <t>Övriga statliga verk och myndigheter</t>
        </is>
      </c>
      <c r="G280" t="n">
        <v>7.9</v>
      </c>
      <c r="H280" t="n">
        <v>0</v>
      </c>
      <c r="I280" t="n">
        <v>0</v>
      </c>
      <c r="J280" t="n">
        <v>0</v>
      </c>
      <c r="K280" t="n">
        <v>0</v>
      </c>
      <c r="L280" t="n">
        <v>0</v>
      </c>
      <c r="M280" t="n">
        <v>0</v>
      </c>
      <c r="N280" t="n">
        <v>0</v>
      </c>
      <c r="O280" t="n">
        <v>0</v>
      </c>
      <c r="P280" t="n">
        <v>0</v>
      </c>
      <c r="Q280" t="n">
        <v>0</v>
      </c>
      <c r="R280" s="2" t="inlineStr"/>
    </row>
    <row r="281" ht="15" customHeight="1">
      <c r="A281" t="inlineStr">
        <is>
          <t>A 42623-2025</t>
        </is>
      </c>
      <c r="B281" s="1" t="n">
        <v>45905</v>
      </c>
      <c r="C281" s="1" t="n">
        <v>46032</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38136-2023</t>
        </is>
      </c>
      <c r="B282" s="1" t="n">
        <v>45161.37310185185</v>
      </c>
      <c r="C282" s="1" t="n">
        <v>46032</v>
      </c>
      <c r="D282" t="inlineStr">
        <is>
          <t>ÖSTERGÖTLANDS LÄN</t>
        </is>
      </c>
      <c r="E282" t="inlineStr">
        <is>
          <t>LINKÖPING</t>
        </is>
      </c>
      <c r="G282" t="n">
        <v>5.6</v>
      </c>
      <c r="H282" t="n">
        <v>0</v>
      </c>
      <c r="I282" t="n">
        <v>0</v>
      </c>
      <c r="J282" t="n">
        <v>0</v>
      </c>
      <c r="K282" t="n">
        <v>0</v>
      </c>
      <c r="L282" t="n">
        <v>0</v>
      </c>
      <c r="M282" t="n">
        <v>0</v>
      </c>
      <c r="N282" t="n">
        <v>0</v>
      </c>
      <c r="O282" t="n">
        <v>0</v>
      </c>
      <c r="P282" t="n">
        <v>0</v>
      </c>
      <c r="Q282" t="n">
        <v>0</v>
      </c>
      <c r="R282" s="2" t="inlineStr"/>
    </row>
    <row r="283" ht="15" customHeight="1">
      <c r="A283" t="inlineStr">
        <is>
          <t>A 12317-2025</t>
        </is>
      </c>
      <c r="B283" s="1" t="n">
        <v>45729.8487037037</v>
      </c>
      <c r="C283" s="1" t="n">
        <v>46032</v>
      </c>
      <c r="D283" t="inlineStr">
        <is>
          <t>ÖSTERGÖTLANDS LÄN</t>
        </is>
      </c>
      <c r="E283" t="inlineStr">
        <is>
          <t>LINKÖPING</t>
        </is>
      </c>
      <c r="G283" t="n">
        <v>8</v>
      </c>
      <c r="H283" t="n">
        <v>0</v>
      </c>
      <c r="I283" t="n">
        <v>0</v>
      </c>
      <c r="J283" t="n">
        <v>0</v>
      </c>
      <c r="K283" t="n">
        <v>0</v>
      </c>
      <c r="L283" t="n">
        <v>0</v>
      </c>
      <c r="M283" t="n">
        <v>0</v>
      </c>
      <c r="N283" t="n">
        <v>0</v>
      </c>
      <c r="O283" t="n">
        <v>0</v>
      </c>
      <c r="P283" t="n">
        <v>0</v>
      </c>
      <c r="Q283" t="n">
        <v>0</v>
      </c>
      <c r="R283" s="2" t="inlineStr"/>
    </row>
    <row r="284" ht="15" customHeight="1">
      <c r="A284" t="inlineStr">
        <is>
          <t>A 36557-2023</t>
        </is>
      </c>
      <c r="B284" s="1" t="n">
        <v>45153</v>
      </c>
      <c r="C284" s="1" t="n">
        <v>46032</v>
      </c>
      <c r="D284" t="inlineStr">
        <is>
          <t>ÖSTERGÖTLANDS LÄN</t>
        </is>
      </c>
      <c r="E284" t="inlineStr">
        <is>
          <t>LINKÖPING</t>
        </is>
      </c>
      <c r="F284" t="inlineStr">
        <is>
          <t>Övriga Aktiebolag</t>
        </is>
      </c>
      <c r="G284" t="n">
        <v>3.1</v>
      </c>
      <c r="H284" t="n">
        <v>0</v>
      </c>
      <c r="I284" t="n">
        <v>0</v>
      </c>
      <c r="J284" t="n">
        <v>0</v>
      </c>
      <c r="K284" t="n">
        <v>0</v>
      </c>
      <c r="L284" t="n">
        <v>0</v>
      </c>
      <c r="M284" t="n">
        <v>0</v>
      </c>
      <c r="N284" t="n">
        <v>0</v>
      </c>
      <c r="O284" t="n">
        <v>0</v>
      </c>
      <c r="P284" t="n">
        <v>0</v>
      </c>
      <c r="Q284" t="n">
        <v>0</v>
      </c>
      <c r="R284" s="2" t="inlineStr"/>
    </row>
    <row r="285" ht="15" customHeight="1">
      <c r="A285" t="inlineStr">
        <is>
          <t>A 2085-2024</t>
        </is>
      </c>
      <c r="B285" s="1" t="n">
        <v>45309</v>
      </c>
      <c r="C285" s="1" t="n">
        <v>46032</v>
      </c>
      <c r="D285" t="inlineStr">
        <is>
          <t>ÖSTERGÖTLANDS LÄN</t>
        </is>
      </c>
      <c r="E285" t="inlineStr">
        <is>
          <t>LINKÖPING</t>
        </is>
      </c>
      <c r="G285" t="n">
        <v>4.5</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46032</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30468-2023</t>
        </is>
      </c>
      <c r="B287" s="1" t="n">
        <v>45111.58732638889</v>
      </c>
      <c r="C287" s="1" t="n">
        <v>46032</v>
      </c>
      <c r="D287" t="inlineStr">
        <is>
          <t>ÖSTERGÖTLANDS LÄN</t>
        </is>
      </c>
      <c r="E287" t="inlineStr">
        <is>
          <t>LINKÖPING</t>
        </is>
      </c>
      <c r="G287" t="n">
        <v>10.1</v>
      </c>
      <c r="H287" t="n">
        <v>0</v>
      </c>
      <c r="I287" t="n">
        <v>0</v>
      </c>
      <c r="J287" t="n">
        <v>0</v>
      </c>
      <c r="K287" t="n">
        <v>0</v>
      </c>
      <c r="L287" t="n">
        <v>0</v>
      </c>
      <c r="M287" t="n">
        <v>0</v>
      </c>
      <c r="N287" t="n">
        <v>0</v>
      </c>
      <c r="O287" t="n">
        <v>0</v>
      </c>
      <c r="P287" t="n">
        <v>0</v>
      </c>
      <c r="Q287" t="n">
        <v>0</v>
      </c>
      <c r="R287" s="2" t="inlineStr"/>
    </row>
    <row r="288" ht="15" customHeight="1">
      <c r="A288" t="inlineStr">
        <is>
          <t>A 27950-2025</t>
        </is>
      </c>
      <c r="B288" s="1" t="n">
        <v>45817.52960648148</v>
      </c>
      <c r="C288" s="1" t="n">
        <v>46032</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27797-2025</t>
        </is>
      </c>
      <c r="B289" s="1" t="n">
        <v>45816.80521990741</v>
      </c>
      <c r="C289" s="1" t="n">
        <v>46032</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27798-2025</t>
        </is>
      </c>
      <c r="B290" s="1" t="n">
        <v>45816.81532407407</v>
      </c>
      <c r="C290" s="1" t="n">
        <v>46032</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38715-2023</t>
        </is>
      </c>
      <c r="B291" s="1" t="n">
        <v>45160</v>
      </c>
      <c r="C291" s="1" t="n">
        <v>46032</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43755-2025</t>
        </is>
      </c>
      <c r="B292" s="1" t="n">
        <v>45912.47329861111</v>
      </c>
      <c r="C292" s="1" t="n">
        <v>46032</v>
      </c>
      <c r="D292" t="inlineStr">
        <is>
          <t>ÖSTERGÖTLANDS LÄN</t>
        </is>
      </c>
      <c r="E292" t="inlineStr">
        <is>
          <t>LINKÖPING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43758-2025</t>
        </is>
      </c>
      <c r="B293" s="1" t="n">
        <v>45912.47711805555</v>
      </c>
      <c r="C293" s="1" t="n">
        <v>46032</v>
      </c>
      <c r="D293" t="inlineStr">
        <is>
          <t>ÖSTERGÖTLANDS LÄN</t>
        </is>
      </c>
      <c r="E293" t="inlineStr">
        <is>
          <t>LINKÖPING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43753-2025</t>
        </is>
      </c>
      <c r="B294" s="1" t="n">
        <v>45912.4715625</v>
      </c>
      <c r="C294" s="1" t="n">
        <v>46032</v>
      </c>
      <c r="D294" t="inlineStr">
        <is>
          <t>ÖSTERGÖTLANDS LÄN</t>
        </is>
      </c>
      <c r="E294" t="inlineStr">
        <is>
          <t>LINKÖPING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28200-2025</t>
        </is>
      </c>
      <c r="B295" s="1" t="n">
        <v>45818.4428125</v>
      </c>
      <c r="C295" s="1" t="n">
        <v>46032</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28204-2025</t>
        </is>
      </c>
      <c r="B296" s="1" t="n">
        <v>45818.4477662037</v>
      </c>
      <c r="C296" s="1" t="n">
        <v>46032</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28416-2025</t>
        </is>
      </c>
      <c r="B297" s="1" t="n">
        <v>45819.35346064815</v>
      </c>
      <c r="C297" s="1" t="n">
        <v>46032</v>
      </c>
      <c r="D297" t="inlineStr">
        <is>
          <t>ÖSTERGÖTLANDS LÄN</t>
        </is>
      </c>
      <c r="E297" t="inlineStr">
        <is>
          <t>LINKÖPING</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34864-2023</t>
        </is>
      </c>
      <c r="B298" s="1" t="n">
        <v>45141</v>
      </c>
      <c r="C298" s="1" t="n">
        <v>46032</v>
      </c>
      <c r="D298" t="inlineStr">
        <is>
          <t>ÖSTERGÖTLANDS LÄN</t>
        </is>
      </c>
      <c r="E298" t="inlineStr">
        <is>
          <t>LINKÖPING</t>
        </is>
      </c>
      <c r="G298" t="n">
        <v>3.3</v>
      </c>
      <c r="H298" t="n">
        <v>0</v>
      </c>
      <c r="I298" t="n">
        <v>0</v>
      </c>
      <c r="J298" t="n">
        <v>0</v>
      </c>
      <c r="K298" t="n">
        <v>0</v>
      </c>
      <c r="L298" t="n">
        <v>0</v>
      </c>
      <c r="M298" t="n">
        <v>0</v>
      </c>
      <c r="N298" t="n">
        <v>0</v>
      </c>
      <c r="O298" t="n">
        <v>0</v>
      </c>
      <c r="P298" t="n">
        <v>0</v>
      </c>
      <c r="Q298" t="n">
        <v>0</v>
      </c>
      <c r="R298" s="2" t="inlineStr"/>
    </row>
    <row r="299" ht="15" customHeight="1">
      <c r="A299" t="inlineStr">
        <is>
          <t>A 44759-2025</t>
        </is>
      </c>
      <c r="B299" s="1" t="n">
        <v>45917.7152662037</v>
      </c>
      <c r="C299" s="1" t="n">
        <v>46032</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46687-2021</t>
        </is>
      </c>
      <c r="B300" s="1" t="n">
        <v>44445</v>
      </c>
      <c r="C300" s="1" t="n">
        <v>46032</v>
      </c>
      <c r="D300" t="inlineStr">
        <is>
          <t>ÖSTERGÖTLANDS LÄN</t>
        </is>
      </c>
      <c r="E300" t="inlineStr">
        <is>
          <t>LINKÖPING</t>
        </is>
      </c>
      <c r="F300" t="inlineStr">
        <is>
          <t>Övriga statliga verk och myndigheter</t>
        </is>
      </c>
      <c r="G300" t="n">
        <v>2.3</v>
      </c>
      <c r="H300" t="n">
        <v>0</v>
      </c>
      <c r="I300" t="n">
        <v>0</v>
      </c>
      <c r="J300" t="n">
        <v>0</v>
      </c>
      <c r="K300" t="n">
        <v>0</v>
      </c>
      <c r="L300" t="n">
        <v>0</v>
      </c>
      <c r="M300" t="n">
        <v>0</v>
      </c>
      <c r="N300" t="n">
        <v>0</v>
      </c>
      <c r="O300" t="n">
        <v>0</v>
      </c>
      <c r="P300" t="n">
        <v>0</v>
      </c>
      <c r="Q300" t="n">
        <v>0</v>
      </c>
      <c r="R300" s="2" t="inlineStr"/>
    </row>
    <row r="301" ht="15" customHeight="1">
      <c r="A301" t="inlineStr">
        <is>
          <t>A 44764-2025</t>
        </is>
      </c>
      <c r="B301" s="1" t="n">
        <v>45917.72821759259</v>
      </c>
      <c r="C301" s="1" t="n">
        <v>46032</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46032</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17103-2025</t>
        </is>
      </c>
      <c r="B303" s="1" t="n">
        <v>45755.66143518518</v>
      </c>
      <c r="C303" s="1" t="n">
        <v>46032</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28209-2025</t>
        </is>
      </c>
      <c r="B304" s="1" t="n">
        <v>45818.45112268518</v>
      </c>
      <c r="C304" s="1" t="n">
        <v>46032</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60284-2025</t>
        </is>
      </c>
      <c r="B305" s="1" t="n">
        <v>45994.64373842593</v>
      </c>
      <c r="C305" s="1" t="n">
        <v>46032</v>
      </c>
      <c r="D305" t="inlineStr">
        <is>
          <t>ÖSTERGÖTLANDS LÄN</t>
        </is>
      </c>
      <c r="E305" t="inlineStr">
        <is>
          <t>LINKÖPING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45112-2025</t>
        </is>
      </c>
      <c r="B306" s="1" t="n">
        <v>45919</v>
      </c>
      <c r="C306" s="1" t="n">
        <v>46032</v>
      </c>
      <c r="D306" t="inlineStr">
        <is>
          <t>ÖSTERGÖTLANDS LÄN</t>
        </is>
      </c>
      <c r="E306" t="inlineStr">
        <is>
          <t>LINKÖPING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60306-2025</t>
        </is>
      </c>
      <c r="B307" s="1" t="n">
        <v>45994.68326388889</v>
      </c>
      <c r="C307" s="1" t="n">
        <v>46032</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60087-2025</t>
        </is>
      </c>
      <c r="B308" s="1" t="n">
        <v>45993.71726851852</v>
      </c>
      <c r="C308" s="1" t="n">
        <v>46032</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29027-2025</t>
        </is>
      </c>
      <c r="B309" s="1" t="n">
        <v>45821.4375462963</v>
      </c>
      <c r="C309" s="1" t="n">
        <v>46032</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29411-2025</t>
        </is>
      </c>
      <c r="B310" s="1" t="n">
        <v>45824.6219212963</v>
      </c>
      <c r="C310" s="1" t="n">
        <v>46032</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29393-2025</t>
        </is>
      </c>
      <c r="B311" s="1" t="n">
        <v>45824.6057175926</v>
      </c>
      <c r="C311" s="1" t="n">
        <v>46032</v>
      </c>
      <c r="D311" t="inlineStr">
        <is>
          <t>ÖSTERGÖTLANDS LÄN</t>
        </is>
      </c>
      <c r="E311" t="inlineStr">
        <is>
          <t>LINKÖPING</t>
        </is>
      </c>
      <c r="F311" t="inlineStr">
        <is>
          <t>Sveaskog</t>
        </is>
      </c>
      <c r="G311" t="n">
        <v>24.6</v>
      </c>
      <c r="H311" t="n">
        <v>0</v>
      </c>
      <c r="I311" t="n">
        <v>0</v>
      </c>
      <c r="J311" t="n">
        <v>0</v>
      </c>
      <c r="K311" t="n">
        <v>0</v>
      </c>
      <c r="L311" t="n">
        <v>0</v>
      </c>
      <c r="M311" t="n">
        <v>0</v>
      </c>
      <c r="N311" t="n">
        <v>0</v>
      </c>
      <c r="O311" t="n">
        <v>0</v>
      </c>
      <c r="P311" t="n">
        <v>0</v>
      </c>
      <c r="Q311" t="n">
        <v>0</v>
      </c>
      <c r="R311" s="2" t="inlineStr"/>
    </row>
    <row r="312" ht="15" customHeight="1">
      <c r="A312" t="inlineStr">
        <is>
          <t>A 40618-2021</t>
        </is>
      </c>
      <c r="B312" s="1" t="n">
        <v>44420.49575231481</v>
      </c>
      <c r="C312" s="1" t="n">
        <v>46032</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56180-2024</t>
        </is>
      </c>
      <c r="B313" s="1" t="n">
        <v>45624.56611111111</v>
      </c>
      <c r="C313" s="1" t="n">
        <v>46032</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45634-2025</t>
        </is>
      </c>
      <c r="B314" s="1" t="n">
        <v>45922.85089120371</v>
      </c>
      <c r="C314" s="1" t="n">
        <v>46032</v>
      </c>
      <c r="D314" t="inlineStr">
        <is>
          <t>ÖSTERGÖTLANDS LÄN</t>
        </is>
      </c>
      <c r="E314" t="inlineStr">
        <is>
          <t>LINKÖPING</t>
        </is>
      </c>
      <c r="F314" t="inlineStr">
        <is>
          <t>Övriga Aktiebolag</t>
        </is>
      </c>
      <c r="G314" t="n">
        <v>0.3</v>
      </c>
      <c r="H314" t="n">
        <v>0</v>
      </c>
      <c r="I314" t="n">
        <v>0</v>
      </c>
      <c r="J314" t="n">
        <v>0</v>
      </c>
      <c r="K314" t="n">
        <v>0</v>
      </c>
      <c r="L314" t="n">
        <v>0</v>
      </c>
      <c r="M314" t="n">
        <v>0</v>
      </c>
      <c r="N314" t="n">
        <v>0</v>
      </c>
      <c r="O314" t="n">
        <v>0</v>
      </c>
      <c r="P314" t="n">
        <v>0</v>
      </c>
      <c r="Q314" t="n">
        <v>0</v>
      </c>
      <c r="R314" s="2" t="inlineStr"/>
    </row>
    <row r="315" ht="15" customHeight="1">
      <c r="A315" t="inlineStr">
        <is>
          <t>A 29599-2025</t>
        </is>
      </c>
      <c r="B315" s="1" t="n">
        <v>45825.41101851852</v>
      </c>
      <c r="C315" s="1" t="n">
        <v>46032</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30471-2023</t>
        </is>
      </c>
      <c r="B316" s="1" t="n">
        <v>45111.58931712963</v>
      </c>
      <c r="C316" s="1" t="n">
        <v>46032</v>
      </c>
      <c r="D316" t="inlineStr">
        <is>
          <t>ÖSTERGÖTLANDS LÄN</t>
        </is>
      </c>
      <c r="E316" t="inlineStr">
        <is>
          <t>LINKÖPING</t>
        </is>
      </c>
      <c r="G316" t="n">
        <v>2.9</v>
      </c>
      <c r="H316" t="n">
        <v>0</v>
      </c>
      <c r="I316" t="n">
        <v>0</v>
      </c>
      <c r="J316" t="n">
        <v>0</v>
      </c>
      <c r="K316" t="n">
        <v>0</v>
      </c>
      <c r="L316" t="n">
        <v>0</v>
      </c>
      <c r="M316" t="n">
        <v>0</v>
      </c>
      <c r="N316" t="n">
        <v>0</v>
      </c>
      <c r="O316" t="n">
        <v>0</v>
      </c>
      <c r="P316" t="n">
        <v>0</v>
      </c>
      <c r="Q316" t="n">
        <v>0</v>
      </c>
      <c r="R316" s="2" t="inlineStr"/>
    </row>
    <row r="317" ht="15" customHeight="1">
      <c r="A317" t="inlineStr">
        <is>
          <t>A 52111-2025</t>
        </is>
      </c>
      <c r="B317" s="1" t="n">
        <v>45952.69527777778</v>
      </c>
      <c r="C317" s="1" t="n">
        <v>46032</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227-2024</t>
        </is>
      </c>
      <c r="B318" s="1" t="n">
        <v>45294.73603009259</v>
      </c>
      <c r="C318" s="1" t="n">
        <v>46032</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45792-2025</t>
        </is>
      </c>
      <c r="B319" s="1" t="n">
        <v>45923.56998842592</v>
      </c>
      <c r="C319" s="1" t="n">
        <v>46032</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45804-2025</t>
        </is>
      </c>
      <c r="B320" s="1" t="n">
        <v>45923.5819675926</v>
      </c>
      <c r="C320" s="1" t="n">
        <v>46032</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46032</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46426-2025</t>
        </is>
      </c>
      <c r="B322" s="1" t="n">
        <v>45925.6012962963</v>
      </c>
      <c r="C322" s="1" t="n">
        <v>46032</v>
      </c>
      <c r="D322" t="inlineStr">
        <is>
          <t>ÖSTERGÖTLANDS LÄN</t>
        </is>
      </c>
      <c r="E322" t="inlineStr">
        <is>
          <t>LINKÖPING</t>
        </is>
      </c>
      <c r="G322" t="n">
        <v>4.4</v>
      </c>
      <c r="H322" t="n">
        <v>0</v>
      </c>
      <c r="I322" t="n">
        <v>0</v>
      </c>
      <c r="J322" t="n">
        <v>0</v>
      </c>
      <c r="K322" t="n">
        <v>0</v>
      </c>
      <c r="L322" t="n">
        <v>0</v>
      </c>
      <c r="M322" t="n">
        <v>0</v>
      </c>
      <c r="N322" t="n">
        <v>0</v>
      </c>
      <c r="O322" t="n">
        <v>0</v>
      </c>
      <c r="P322" t="n">
        <v>0</v>
      </c>
      <c r="Q322" t="n">
        <v>0</v>
      </c>
      <c r="R322" s="2" t="inlineStr"/>
    </row>
    <row r="323" ht="15" customHeight="1">
      <c r="A323" t="inlineStr">
        <is>
          <t>A 30353-2025</t>
        </is>
      </c>
      <c r="B323" s="1" t="n">
        <v>45827</v>
      </c>
      <c r="C323" s="1" t="n">
        <v>46032</v>
      </c>
      <c r="D323" t="inlineStr">
        <is>
          <t>ÖSTERGÖTLANDS LÄN</t>
        </is>
      </c>
      <c r="E323" t="inlineStr">
        <is>
          <t>LINKÖPING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44155-2024</t>
        </is>
      </c>
      <c r="B324" s="1" t="n">
        <v>45572.68226851852</v>
      </c>
      <c r="C324" s="1" t="n">
        <v>46032</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46428-2025</t>
        </is>
      </c>
      <c r="B325" s="1" t="n">
        <v>45925.60758101852</v>
      </c>
      <c r="C325" s="1" t="n">
        <v>46032</v>
      </c>
      <c r="D325" t="inlineStr">
        <is>
          <t>ÖSTERGÖTLANDS LÄN</t>
        </is>
      </c>
      <c r="E325" t="inlineStr">
        <is>
          <t>LINKÖPING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30434-2024</t>
        </is>
      </c>
      <c r="B326" s="1" t="n">
        <v>45491.69811342593</v>
      </c>
      <c r="C326" s="1" t="n">
        <v>46032</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56917-2022</t>
        </is>
      </c>
      <c r="B327" s="1" t="n">
        <v>44894</v>
      </c>
      <c r="C327" s="1" t="n">
        <v>46032</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57766-2023</t>
        </is>
      </c>
      <c r="B328" s="1" t="n">
        <v>45246</v>
      </c>
      <c r="C328" s="1" t="n">
        <v>46032</v>
      </c>
      <c r="D328" t="inlineStr">
        <is>
          <t>ÖSTERGÖTLANDS LÄN</t>
        </is>
      </c>
      <c r="E328" t="inlineStr">
        <is>
          <t>LINKÖPING</t>
        </is>
      </c>
      <c r="F328" t="inlineStr">
        <is>
          <t>Allmännings- och besparingsskogar</t>
        </is>
      </c>
      <c r="G328" t="n">
        <v>12.8</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46032</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25568-2024</t>
        </is>
      </c>
      <c r="B330" s="1" t="n">
        <v>45463.58699074074</v>
      </c>
      <c r="C330" s="1" t="n">
        <v>46032</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46847-2025</t>
        </is>
      </c>
      <c r="B331" s="1" t="n">
        <v>45928.69971064815</v>
      </c>
      <c r="C331" s="1" t="n">
        <v>46032</v>
      </c>
      <c r="D331" t="inlineStr">
        <is>
          <t>ÖSTERGÖTLANDS LÄN</t>
        </is>
      </c>
      <c r="E331" t="inlineStr">
        <is>
          <t>LINKÖPING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46032</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46032</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22833-2023</t>
        </is>
      </c>
      <c r="B334" s="1" t="n">
        <v>45071</v>
      </c>
      <c r="C334" s="1" t="n">
        <v>46032</v>
      </c>
      <c r="D334" t="inlineStr">
        <is>
          <t>ÖSTERGÖTLANDS LÄN</t>
        </is>
      </c>
      <c r="E334" t="inlineStr">
        <is>
          <t>LINKÖPING</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47233-2025</t>
        </is>
      </c>
      <c r="B335" s="1" t="n">
        <v>45930.40612268518</v>
      </c>
      <c r="C335" s="1" t="n">
        <v>46032</v>
      </c>
      <c r="D335" t="inlineStr">
        <is>
          <t>ÖSTERGÖTLANDS LÄN</t>
        </is>
      </c>
      <c r="E335" t="inlineStr">
        <is>
          <t>LINKÖPING</t>
        </is>
      </c>
      <c r="G335" t="n">
        <v>4.3</v>
      </c>
      <c r="H335" t="n">
        <v>0</v>
      </c>
      <c r="I335" t="n">
        <v>0</v>
      </c>
      <c r="J335" t="n">
        <v>0</v>
      </c>
      <c r="K335" t="n">
        <v>0</v>
      </c>
      <c r="L335" t="n">
        <v>0</v>
      </c>
      <c r="M335" t="n">
        <v>0</v>
      </c>
      <c r="N335" t="n">
        <v>0</v>
      </c>
      <c r="O335" t="n">
        <v>0</v>
      </c>
      <c r="P335" t="n">
        <v>0</v>
      </c>
      <c r="Q335" t="n">
        <v>0</v>
      </c>
      <c r="R335" s="2" t="inlineStr"/>
    </row>
    <row r="336" ht="15" customHeight="1">
      <c r="A336" t="inlineStr">
        <is>
          <t>A 47606-2025</t>
        </is>
      </c>
      <c r="B336" s="1" t="n">
        <v>45931.46402777778</v>
      </c>
      <c r="C336" s="1" t="n">
        <v>46032</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47304-2025</t>
        </is>
      </c>
      <c r="B337" s="1" t="n">
        <v>45930.52037037037</v>
      </c>
      <c r="C337" s="1" t="n">
        <v>46032</v>
      </c>
      <c r="D337" t="inlineStr">
        <is>
          <t>ÖSTERGÖTLANDS LÄN</t>
        </is>
      </c>
      <c r="E337" t="inlineStr">
        <is>
          <t>LINKÖPING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2997-2025</t>
        </is>
      </c>
      <c r="B338" s="1" t="n">
        <v>45678.54631944445</v>
      </c>
      <c r="C338" s="1" t="n">
        <v>46032</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41345-2021</t>
        </is>
      </c>
      <c r="B339" s="1" t="n">
        <v>44424.61851851852</v>
      </c>
      <c r="C339" s="1" t="n">
        <v>46032</v>
      </c>
      <c r="D339" t="inlineStr">
        <is>
          <t>ÖSTERGÖTLANDS LÄN</t>
        </is>
      </c>
      <c r="E339" t="inlineStr">
        <is>
          <t>LINKÖPING</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13266-2025</t>
        </is>
      </c>
      <c r="B340" s="1" t="n">
        <v>45735.53318287037</v>
      </c>
      <c r="C340" s="1" t="n">
        <v>46032</v>
      </c>
      <c r="D340" t="inlineStr">
        <is>
          <t>ÖSTERGÖTLANDS LÄN</t>
        </is>
      </c>
      <c r="E340" t="inlineStr">
        <is>
          <t>LINKÖPING</t>
        </is>
      </c>
      <c r="G340" t="n">
        <v>3.1</v>
      </c>
      <c r="H340" t="n">
        <v>0</v>
      </c>
      <c r="I340" t="n">
        <v>0</v>
      </c>
      <c r="J340" t="n">
        <v>0</v>
      </c>
      <c r="K340" t="n">
        <v>0</v>
      </c>
      <c r="L340" t="n">
        <v>0</v>
      </c>
      <c r="M340" t="n">
        <v>0</v>
      </c>
      <c r="N340" t="n">
        <v>0</v>
      </c>
      <c r="O340" t="n">
        <v>0</v>
      </c>
      <c r="P340" t="n">
        <v>0</v>
      </c>
      <c r="Q340" t="n">
        <v>0</v>
      </c>
      <c r="R340" s="2" t="inlineStr"/>
    </row>
    <row r="341" ht="15" customHeight="1">
      <c r="A341" t="inlineStr">
        <is>
          <t>A 16213-2025</t>
        </is>
      </c>
      <c r="B341" s="1" t="n">
        <v>45750.62740740741</v>
      </c>
      <c r="C341" s="1" t="n">
        <v>46032</v>
      </c>
      <c r="D341" t="inlineStr">
        <is>
          <t>ÖSTERGÖTLANDS LÄN</t>
        </is>
      </c>
      <c r="E341" t="inlineStr">
        <is>
          <t>LINKÖPING</t>
        </is>
      </c>
      <c r="G341" t="n">
        <v>3.4</v>
      </c>
      <c r="H341" t="n">
        <v>0</v>
      </c>
      <c r="I341" t="n">
        <v>0</v>
      </c>
      <c r="J341" t="n">
        <v>0</v>
      </c>
      <c r="K341" t="n">
        <v>0</v>
      </c>
      <c r="L341" t="n">
        <v>0</v>
      </c>
      <c r="M341" t="n">
        <v>0</v>
      </c>
      <c r="N341" t="n">
        <v>0</v>
      </c>
      <c r="O341" t="n">
        <v>0</v>
      </c>
      <c r="P341" t="n">
        <v>0</v>
      </c>
      <c r="Q341" t="n">
        <v>0</v>
      </c>
      <c r="R341" s="2" t="inlineStr"/>
    </row>
    <row r="342" ht="15" customHeight="1">
      <c r="A342" t="inlineStr">
        <is>
          <t>A 48343-2025</t>
        </is>
      </c>
      <c r="B342" s="1" t="n">
        <v>45932</v>
      </c>
      <c r="C342" s="1" t="n">
        <v>46032</v>
      </c>
      <c r="D342" t="inlineStr">
        <is>
          <t>ÖSTERGÖTLANDS LÄN</t>
        </is>
      </c>
      <c r="E342" t="inlineStr">
        <is>
          <t>LINKÖPING</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48266-2025</t>
        </is>
      </c>
      <c r="B343" s="1" t="n">
        <v>45932</v>
      </c>
      <c r="C343" s="1" t="n">
        <v>46032</v>
      </c>
      <c r="D343" t="inlineStr">
        <is>
          <t>ÖSTERGÖTLANDS LÄN</t>
        </is>
      </c>
      <c r="E343" t="inlineStr">
        <is>
          <t>LINKÖPING</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46225-2021</t>
        </is>
      </c>
      <c r="B344" s="1" t="n">
        <v>44442</v>
      </c>
      <c r="C344" s="1" t="n">
        <v>46032</v>
      </c>
      <c r="D344" t="inlineStr">
        <is>
          <t>ÖSTERGÖTLANDS LÄN</t>
        </is>
      </c>
      <c r="E344" t="inlineStr">
        <is>
          <t>LINKÖPING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25776-2021</t>
        </is>
      </c>
      <c r="B345" s="1" t="n">
        <v>44343</v>
      </c>
      <c r="C345" s="1" t="n">
        <v>46032</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48254-2025</t>
        </is>
      </c>
      <c r="B346" s="1" t="n">
        <v>45932</v>
      </c>
      <c r="C346" s="1" t="n">
        <v>46032</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51484-2023</t>
        </is>
      </c>
      <c r="B347" s="1" t="n">
        <v>45222</v>
      </c>
      <c r="C347" s="1" t="n">
        <v>46032</v>
      </c>
      <c r="D347" t="inlineStr">
        <is>
          <t>ÖSTERGÖTLANDS LÄN</t>
        </is>
      </c>
      <c r="E347" t="inlineStr">
        <is>
          <t>LINKÖPING</t>
        </is>
      </c>
      <c r="F347" t="inlineStr">
        <is>
          <t>Övriga Aktiebolag</t>
        </is>
      </c>
      <c r="G347" t="n">
        <v>7.7</v>
      </c>
      <c r="H347" t="n">
        <v>0</v>
      </c>
      <c r="I347" t="n">
        <v>0</v>
      </c>
      <c r="J347" t="n">
        <v>0</v>
      </c>
      <c r="K347" t="n">
        <v>0</v>
      </c>
      <c r="L347" t="n">
        <v>0</v>
      </c>
      <c r="M347" t="n">
        <v>0</v>
      </c>
      <c r="N347" t="n">
        <v>0</v>
      </c>
      <c r="O347" t="n">
        <v>0</v>
      </c>
      <c r="P347" t="n">
        <v>0</v>
      </c>
      <c r="Q347" t="n">
        <v>0</v>
      </c>
      <c r="R347" s="2" t="inlineStr"/>
    </row>
    <row r="348" ht="15" customHeight="1">
      <c r="A348" t="inlineStr">
        <is>
          <t>A 17898-2022</t>
        </is>
      </c>
      <c r="B348" s="1" t="n">
        <v>44683</v>
      </c>
      <c r="C348" s="1" t="n">
        <v>46032</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52740-2025</t>
        </is>
      </c>
      <c r="B349" s="1" t="n">
        <v>45957.37747685185</v>
      </c>
      <c r="C349" s="1" t="n">
        <v>46032</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32723-2025</t>
        </is>
      </c>
      <c r="B350" s="1" t="n">
        <v>45838</v>
      </c>
      <c r="C350" s="1" t="n">
        <v>46032</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63487-2023</t>
        </is>
      </c>
      <c r="B351" s="1" t="n">
        <v>45274.66712962963</v>
      </c>
      <c r="C351" s="1" t="n">
        <v>46032</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35463-2023</t>
        </is>
      </c>
      <c r="B352" s="1" t="n">
        <v>45146</v>
      </c>
      <c r="C352" s="1" t="n">
        <v>46032</v>
      </c>
      <c r="D352" t="inlineStr">
        <is>
          <t>ÖSTERGÖTLANDS LÄN</t>
        </is>
      </c>
      <c r="E352" t="inlineStr">
        <is>
          <t>LINKÖPING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55632-2022</t>
        </is>
      </c>
      <c r="B353" s="1" t="n">
        <v>44888</v>
      </c>
      <c r="C353" s="1" t="n">
        <v>46032</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49455-2025</t>
        </is>
      </c>
      <c r="B354" s="1" t="n">
        <v>45938</v>
      </c>
      <c r="C354" s="1" t="n">
        <v>46032</v>
      </c>
      <c r="D354" t="inlineStr">
        <is>
          <t>ÖSTERGÖTLANDS LÄN</t>
        </is>
      </c>
      <c r="E354" t="inlineStr">
        <is>
          <t>LINKÖPING</t>
        </is>
      </c>
      <c r="F354" t="inlineStr">
        <is>
          <t>Övriga Aktiebolag</t>
        </is>
      </c>
      <c r="G354" t="n">
        <v>5.9</v>
      </c>
      <c r="H354" t="n">
        <v>0</v>
      </c>
      <c r="I354" t="n">
        <v>0</v>
      </c>
      <c r="J354" t="n">
        <v>0</v>
      </c>
      <c r="K354" t="n">
        <v>0</v>
      </c>
      <c r="L354" t="n">
        <v>0</v>
      </c>
      <c r="M354" t="n">
        <v>0</v>
      </c>
      <c r="N354" t="n">
        <v>0</v>
      </c>
      <c r="O354" t="n">
        <v>0</v>
      </c>
      <c r="P354" t="n">
        <v>0</v>
      </c>
      <c r="Q354" t="n">
        <v>0</v>
      </c>
      <c r="R354" s="2" t="inlineStr"/>
    </row>
    <row r="355" ht="15" customHeight="1">
      <c r="A355" t="inlineStr">
        <is>
          <t>A 63559-2023</t>
        </is>
      </c>
      <c r="B355" s="1" t="n">
        <v>45275.35924768518</v>
      </c>
      <c r="C355" s="1" t="n">
        <v>46032</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49605-2025</t>
        </is>
      </c>
      <c r="B356" s="1" t="n">
        <v>45938</v>
      </c>
      <c r="C356" s="1" t="n">
        <v>46032</v>
      </c>
      <c r="D356" t="inlineStr">
        <is>
          <t>ÖSTERGÖTLANDS LÄN</t>
        </is>
      </c>
      <c r="E356" t="inlineStr">
        <is>
          <t>LINKÖPING</t>
        </is>
      </c>
      <c r="F356" t="inlineStr">
        <is>
          <t>Övriga Aktiebolag</t>
        </is>
      </c>
      <c r="G356" t="n">
        <v>3.3</v>
      </c>
      <c r="H356" t="n">
        <v>0</v>
      </c>
      <c r="I356" t="n">
        <v>0</v>
      </c>
      <c r="J356" t="n">
        <v>0</v>
      </c>
      <c r="K356" t="n">
        <v>0</v>
      </c>
      <c r="L356" t="n">
        <v>0</v>
      </c>
      <c r="M356" t="n">
        <v>0</v>
      </c>
      <c r="N356" t="n">
        <v>0</v>
      </c>
      <c r="O356" t="n">
        <v>0</v>
      </c>
      <c r="P356" t="n">
        <v>0</v>
      </c>
      <c r="Q356" t="n">
        <v>0</v>
      </c>
      <c r="R356" s="2" t="inlineStr"/>
    </row>
    <row r="357" ht="15" customHeight="1">
      <c r="A357" t="inlineStr">
        <is>
          <t>A 49663-2025</t>
        </is>
      </c>
      <c r="B357" s="1" t="n">
        <v>45938</v>
      </c>
      <c r="C357" s="1" t="n">
        <v>46032</v>
      </c>
      <c r="D357" t="inlineStr">
        <is>
          <t>ÖSTERGÖTLANDS LÄN</t>
        </is>
      </c>
      <c r="E357" t="inlineStr">
        <is>
          <t>LINKÖPING</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49632-2025</t>
        </is>
      </c>
      <c r="B358" s="1" t="n">
        <v>45938</v>
      </c>
      <c r="C358" s="1" t="n">
        <v>46032</v>
      </c>
      <c r="D358" t="inlineStr">
        <is>
          <t>ÖSTERGÖTLANDS LÄN</t>
        </is>
      </c>
      <c r="E358" t="inlineStr">
        <is>
          <t>LINKÖPING</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49647-2025</t>
        </is>
      </c>
      <c r="B359" s="1" t="n">
        <v>45938</v>
      </c>
      <c r="C359" s="1" t="n">
        <v>46032</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58114-2021</t>
        </is>
      </c>
      <c r="B360" s="1" t="n">
        <v>44487</v>
      </c>
      <c r="C360" s="1" t="n">
        <v>46032</v>
      </c>
      <c r="D360" t="inlineStr">
        <is>
          <t>ÖSTERGÖTLANDS LÄN</t>
        </is>
      </c>
      <c r="E360" t="inlineStr">
        <is>
          <t>LINKÖPING</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49652-2025</t>
        </is>
      </c>
      <c r="B361" s="1" t="n">
        <v>45938</v>
      </c>
      <c r="C361" s="1" t="n">
        <v>46032</v>
      </c>
      <c r="D361" t="inlineStr">
        <is>
          <t>ÖSTERGÖTLANDS LÄN</t>
        </is>
      </c>
      <c r="E361" t="inlineStr">
        <is>
          <t>LINKÖPING</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49654-2025</t>
        </is>
      </c>
      <c r="B362" s="1" t="n">
        <v>45938</v>
      </c>
      <c r="C362" s="1" t="n">
        <v>46032</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49615-2025</t>
        </is>
      </c>
      <c r="B363" s="1" t="n">
        <v>45938</v>
      </c>
      <c r="C363" s="1" t="n">
        <v>46032</v>
      </c>
      <c r="D363" t="inlineStr">
        <is>
          <t>ÖSTERGÖTLANDS LÄN</t>
        </is>
      </c>
      <c r="E363" t="inlineStr">
        <is>
          <t>LINKÖPING</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49619-2025</t>
        </is>
      </c>
      <c r="B364" s="1" t="n">
        <v>45938</v>
      </c>
      <c r="C364" s="1" t="n">
        <v>46032</v>
      </c>
      <c r="D364" t="inlineStr">
        <is>
          <t>ÖSTERGÖTLANDS LÄN</t>
        </is>
      </c>
      <c r="E364" t="inlineStr">
        <is>
          <t>LINKÖPING</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49629-2025</t>
        </is>
      </c>
      <c r="B365" s="1" t="n">
        <v>45938</v>
      </c>
      <c r="C365" s="1" t="n">
        <v>46032</v>
      </c>
      <c r="D365" t="inlineStr">
        <is>
          <t>ÖSTERGÖTLANDS LÄN</t>
        </is>
      </c>
      <c r="E365" t="inlineStr">
        <is>
          <t>LINKÖPING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49650-2025</t>
        </is>
      </c>
      <c r="B366" s="1" t="n">
        <v>45938</v>
      </c>
      <c r="C366" s="1" t="n">
        <v>46032</v>
      </c>
      <c r="D366" t="inlineStr">
        <is>
          <t>ÖSTERGÖTLANDS LÄN</t>
        </is>
      </c>
      <c r="E366" t="inlineStr">
        <is>
          <t>LINKÖPING</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49633-2025</t>
        </is>
      </c>
      <c r="B367" s="1" t="n">
        <v>45938</v>
      </c>
      <c r="C367" s="1" t="n">
        <v>46032</v>
      </c>
      <c r="D367" t="inlineStr">
        <is>
          <t>ÖSTERGÖTLANDS LÄN</t>
        </is>
      </c>
      <c r="E367" t="inlineStr">
        <is>
          <t>LINKÖPING</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55944-2024</t>
        </is>
      </c>
      <c r="B368" s="1" t="n">
        <v>45623.61640046296</v>
      </c>
      <c r="C368" s="1" t="n">
        <v>46032</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55947-2024</t>
        </is>
      </c>
      <c r="B369" s="1" t="n">
        <v>45623</v>
      </c>
      <c r="C369" s="1" t="n">
        <v>46032</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3374-2023</t>
        </is>
      </c>
      <c r="B370" s="1" t="n">
        <v>44949</v>
      </c>
      <c r="C370" s="1" t="n">
        <v>46032</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33947-2025</t>
        </is>
      </c>
      <c r="B371" s="1" t="n">
        <v>45842.65444444444</v>
      </c>
      <c r="C371" s="1" t="n">
        <v>46032</v>
      </c>
      <c r="D371" t="inlineStr">
        <is>
          <t>ÖSTERGÖTLANDS LÄN</t>
        </is>
      </c>
      <c r="E371" t="inlineStr">
        <is>
          <t>LINKÖPING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53529-2024</t>
        </is>
      </c>
      <c r="B372" s="1" t="n">
        <v>45614</v>
      </c>
      <c r="C372" s="1" t="n">
        <v>46032</v>
      </c>
      <c r="D372" t="inlineStr">
        <is>
          <t>ÖSTERGÖTLANDS LÄN</t>
        </is>
      </c>
      <c r="E372" t="inlineStr">
        <is>
          <t>LINKÖPING</t>
        </is>
      </c>
      <c r="G372" t="n">
        <v>6.7</v>
      </c>
      <c r="H372" t="n">
        <v>0</v>
      </c>
      <c r="I372" t="n">
        <v>0</v>
      </c>
      <c r="J372" t="n">
        <v>0</v>
      </c>
      <c r="K372" t="n">
        <v>0</v>
      </c>
      <c r="L372" t="n">
        <v>0</v>
      </c>
      <c r="M372" t="n">
        <v>0</v>
      </c>
      <c r="N372" t="n">
        <v>0</v>
      </c>
      <c r="O372" t="n">
        <v>0</v>
      </c>
      <c r="P372" t="n">
        <v>0</v>
      </c>
      <c r="Q372" t="n">
        <v>0</v>
      </c>
      <c r="R372" s="2" t="inlineStr"/>
    </row>
    <row r="373" ht="15" customHeight="1">
      <c r="A373" t="inlineStr">
        <is>
          <t>A 62012-2024</t>
        </is>
      </c>
      <c r="B373" s="1" t="n">
        <v>45655.79679398148</v>
      </c>
      <c r="C373" s="1" t="n">
        <v>46032</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40983-2025</t>
        </is>
      </c>
      <c r="B374" s="1" t="n">
        <v>45898</v>
      </c>
      <c r="C374" s="1" t="n">
        <v>46032</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24151-2024</t>
        </is>
      </c>
      <c r="B375" s="1" t="n">
        <v>45456.67717592593</v>
      </c>
      <c r="C375" s="1" t="n">
        <v>46032</v>
      </c>
      <c r="D375" t="inlineStr">
        <is>
          <t>ÖSTERGÖTLANDS LÄN</t>
        </is>
      </c>
      <c r="E375" t="inlineStr">
        <is>
          <t>LINKÖPING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50056-2025</t>
        </is>
      </c>
      <c r="B376" s="1" t="n">
        <v>45941</v>
      </c>
      <c r="C376" s="1" t="n">
        <v>46032</v>
      </c>
      <c r="D376" t="inlineStr">
        <is>
          <t>ÖSTERGÖTLANDS LÄN</t>
        </is>
      </c>
      <c r="E376" t="inlineStr">
        <is>
          <t>LINKÖPING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52800-2025</t>
        </is>
      </c>
      <c r="B377" s="1" t="n">
        <v>45957.44152777778</v>
      </c>
      <c r="C377" s="1" t="n">
        <v>46032</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52802-2025</t>
        </is>
      </c>
      <c r="B378" s="1" t="n">
        <v>45957.44295138889</v>
      </c>
      <c r="C378" s="1" t="n">
        <v>46032</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50667-2025</t>
        </is>
      </c>
      <c r="B379" s="1" t="n">
        <v>45945</v>
      </c>
      <c r="C379" s="1" t="n">
        <v>46032</v>
      </c>
      <c r="D379" t="inlineStr">
        <is>
          <t>ÖSTERGÖTLANDS LÄN</t>
        </is>
      </c>
      <c r="E379" t="inlineStr">
        <is>
          <t>LINKÖPING</t>
        </is>
      </c>
      <c r="G379" t="n">
        <v>3.3</v>
      </c>
      <c r="H379" t="n">
        <v>0</v>
      </c>
      <c r="I379" t="n">
        <v>0</v>
      </c>
      <c r="J379" t="n">
        <v>0</v>
      </c>
      <c r="K379" t="n">
        <v>0</v>
      </c>
      <c r="L379" t="n">
        <v>0</v>
      </c>
      <c r="M379" t="n">
        <v>0</v>
      </c>
      <c r="N379" t="n">
        <v>0</v>
      </c>
      <c r="O379" t="n">
        <v>0</v>
      </c>
      <c r="P379" t="n">
        <v>0</v>
      </c>
      <c r="Q379" t="n">
        <v>0</v>
      </c>
      <c r="R379" s="2" t="inlineStr"/>
    </row>
    <row r="380" ht="15" customHeight="1">
      <c r="A380" t="inlineStr">
        <is>
          <t>A 20469-2025</t>
        </is>
      </c>
      <c r="B380" s="1" t="n">
        <v>45775</v>
      </c>
      <c r="C380" s="1" t="n">
        <v>46032</v>
      </c>
      <c r="D380" t="inlineStr">
        <is>
          <t>ÖSTERGÖTLANDS LÄN</t>
        </is>
      </c>
      <c r="E380" t="inlineStr">
        <is>
          <t>LINKÖPING</t>
        </is>
      </c>
      <c r="F380" t="inlineStr">
        <is>
          <t>Kyrkan</t>
        </is>
      </c>
      <c r="G380" t="n">
        <v>6.1</v>
      </c>
      <c r="H380" t="n">
        <v>0</v>
      </c>
      <c r="I380" t="n">
        <v>0</v>
      </c>
      <c r="J380" t="n">
        <v>0</v>
      </c>
      <c r="K380" t="n">
        <v>0</v>
      </c>
      <c r="L380" t="n">
        <v>0</v>
      </c>
      <c r="M380" t="n">
        <v>0</v>
      </c>
      <c r="N380" t="n">
        <v>0</v>
      </c>
      <c r="O380" t="n">
        <v>0</v>
      </c>
      <c r="P380" t="n">
        <v>0</v>
      </c>
      <c r="Q380" t="n">
        <v>0</v>
      </c>
      <c r="R380" s="2" t="inlineStr"/>
    </row>
    <row r="381" ht="15" customHeight="1">
      <c r="A381" t="inlineStr">
        <is>
          <t>A 14576-2023</t>
        </is>
      </c>
      <c r="B381" s="1" t="n">
        <v>45013</v>
      </c>
      <c r="C381" s="1" t="n">
        <v>46032</v>
      </c>
      <c r="D381" t="inlineStr">
        <is>
          <t>ÖSTERGÖTLANDS LÄN</t>
        </is>
      </c>
      <c r="E381" t="inlineStr">
        <is>
          <t>LINKÖPING</t>
        </is>
      </c>
      <c r="G381" t="n">
        <v>3.2</v>
      </c>
      <c r="H381" t="n">
        <v>0</v>
      </c>
      <c r="I381" t="n">
        <v>0</v>
      </c>
      <c r="J381" t="n">
        <v>0</v>
      </c>
      <c r="K381" t="n">
        <v>0</v>
      </c>
      <c r="L381" t="n">
        <v>0</v>
      </c>
      <c r="M381" t="n">
        <v>0</v>
      </c>
      <c r="N381" t="n">
        <v>0</v>
      </c>
      <c r="O381" t="n">
        <v>0</v>
      </c>
      <c r="P381" t="n">
        <v>0</v>
      </c>
      <c r="Q381" t="n">
        <v>0</v>
      </c>
      <c r="R381" s="2" t="inlineStr"/>
    </row>
    <row r="382" ht="15" customHeight="1">
      <c r="A382" t="inlineStr">
        <is>
          <t>A 52743-2025</t>
        </is>
      </c>
      <c r="B382" s="1" t="n">
        <v>45957.38039351852</v>
      </c>
      <c r="C382" s="1" t="n">
        <v>46032</v>
      </c>
      <c r="D382" t="inlineStr">
        <is>
          <t>ÖSTERGÖTLANDS LÄN</t>
        </is>
      </c>
      <c r="E382" t="inlineStr">
        <is>
          <t>LINKÖPING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52807-2025</t>
        </is>
      </c>
      <c r="B383" s="1" t="n">
        <v>45957.44837962963</v>
      </c>
      <c r="C383" s="1" t="n">
        <v>46032</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60703-2025</t>
        </is>
      </c>
      <c r="B384" s="1" t="n">
        <v>45996.6052662037</v>
      </c>
      <c r="C384" s="1" t="n">
        <v>46032</v>
      </c>
      <c r="D384" t="inlineStr">
        <is>
          <t>ÖSTERGÖTLANDS LÄN</t>
        </is>
      </c>
      <c r="E384" t="inlineStr">
        <is>
          <t>LINKÖPING</t>
        </is>
      </c>
      <c r="F384" t="inlineStr">
        <is>
          <t>Övriga Aktiebolag</t>
        </is>
      </c>
      <c r="G384" t="n">
        <v>1.3</v>
      </c>
      <c r="H384" t="n">
        <v>0</v>
      </c>
      <c r="I384" t="n">
        <v>0</v>
      </c>
      <c r="J384" t="n">
        <v>0</v>
      </c>
      <c r="K384" t="n">
        <v>0</v>
      </c>
      <c r="L384" t="n">
        <v>0</v>
      </c>
      <c r="M384" t="n">
        <v>0</v>
      </c>
      <c r="N384" t="n">
        <v>0</v>
      </c>
      <c r="O384" t="n">
        <v>0</v>
      </c>
      <c r="P384" t="n">
        <v>0</v>
      </c>
      <c r="Q384" t="n">
        <v>0</v>
      </c>
      <c r="R384" s="2" t="inlineStr"/>
    </row>
    <row r="385" ht="15" customHeight="1">
      <c r="A385" t="inlineStr">
        <is>
          <t>A 74160-2021</t>
        </is>
      </c>
      <c r="B385" s="1" t="n">
        <v>44558</v>
      </c>
      <c r="C385" s="1" t="n">
        <v>46032</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33800-2023</t>
        </is>
      </c>
      <c r="B386" s="1" t="n">
        <v>45121</v>
      </c>
      <c r="C386" s="1" t="n">
        <v>46032</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46032</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35174-2025</t>
        </is>
      </c>
      <c r="B388" s="1" t="n">
        <v>45852.90648148148</v>
      </c>
      <c r="C388" s="1" t="n">
        <v>46032</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47991-2023</t>
        </is>
      </c>
      <c r="B389" s="1" t="n">
        <v>45204.62655092592</v>
      </c>
      <c r="C389" s="1" t="n">
        <v>46032</v>
      </c>
      <c r="D389" t="inlineStr">
        <is>
          <t>ÖSTERGÖTLANDS LÄN</t>
        </is>
      </c>
      <c r="E389" t="inlineStr">
        <is>
          <t>LINKÖPING</t>
        </is>
      </c>
      <c r="F389" t="inlineStr">
        <is>
          <t>Allmännings- och besparingsskogar</t>
        </is>
      </c>
      <c r="G389" t="n">
        <v>7.3</v>
      </c>
      <c r="H389" t="n">
        <v>0</v>
      </c>
      <c r="I389" t="n">
        <v>0</v>
      </c>
      <c r="J389" t="n">
        <v>0</v>
      </c>
      <c r="K389" t="n">
        <v>0</v>
      </c>
      <c r="L389" t="n">
        <v>0</v>
      </c>
      <c r="M389" t="n">
        <v>0</v>
      </c>
      <c r="N389" t="n">
        <v>0</v>
      </c>
      <c r="O389" t="n">
        <v>0</v>
      </c>
      <c r="P389" t="n">
        <v>0</v>
      </c>
      <c r="Q389" t="n">
        <v>0</v>
      </c>
      <c r="R389" s="2" t="inlineStr"/>
    </row>
    <row r="390" ht="15" customHeight="1">
      <c r="A390" t="inlineStr">
        <is>
          <t>A 35179-2025</t>
        </is>
      </c>
      <c r="B390" s="1" t="n">
        <v>45852.93737268518</v>
      </c>
      <c r="C390" s="1" t="n">
        <v>46032</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35180-2025</t>
        </is>
      </c>
      <c r="B391" s="1" t="n">
        <v>45852.9413425926</v>
      </c>
      <c r="C391" s="1" t="n">
        <v>46032</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46032</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27766-2022</t>
        </is>
      </c>
      <c r="B393" s="1" t="n">
        <v>44743.53112268518</v>
      </c>
      <c r="C393" s="1" t="n">
        <v>46032</v>
      </c>
      <c r="D393" t="inlineStr">
        <is>
          <t>ÖSTERGÖTLANDS LÄN</t>
        </is>
      </c>
      <c r="E393" t="inlineStr">
        <is>
          <t>LINKÖPING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53641-2023</t>
        </is>
      </c>
      <c r="B394" s="1" t="n">
        <v>45230</v>
      </c>
      <c r="C394" s="1" t="n">
        <v>46032</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61447-2025</t>
        </is>
      </c>
      <c r="B395" s="1" t="n">
        <v>46001.57554398148</v>
      </c>
      <c r="C395" s="1" t="n">
        <v>46032</v>
      </c>
      <c r="D395" t="inlineStr">
        <is>
          <t>ÖSTERGÖTLANDS LÄN</t>
        </is>
      </c>
      <c r="E395" t="inlineStr">
        <is>
          <t>LINKÖPING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33000-2023</t>
        </is>
      </c>
      <c r="B396" s="1" t="n">
        <v>45125</v>
      </c>
      <c r="C396" s="1" t="n">
        <v>46032</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52892-2024</t>
        </is>
      </c>
      <c r="B397" s="1" t="n">
        <v>45610</v>
      </c>
      <c r="C397" s="1" t="n">
        <v>46032</v>
      </c>
      <c r="D397" t="inlineStr">
        <is>
          <t>ÖSTERGÖTLANDS LÄN</t>
        </is>
      </c>
      <c r="E397" t="inlineStr">
        <is>
          <t>LINKÖPING</t>
        </is>
      </c>
      <c r="G397" t="n">
        <v>4.2</v>
      </c>
      <c r="H397" t="n">
        <v>0</v>
      </c>
      <c r="I397" t="n">
        <v>0</v>
      </c>
      <c r="J397" t="n">
        <v>0</v>
      </c>
      <c r="K397" t="n">
        <v>0</v>
      </c>
      <c r="L397" t="n">
        <v>0</v>
      </c>
      <c r="M397" t="n">
        <v>0</v>
      </c>
      <c r="N397" t="n">
        <v>0</v>
      </c>
      <c r="O397" t="n">
        <v>0</v>
      </c>
      <c r="P397" t="n">
        <v>0</v>
      </c>
      <c r="Q397" t="n">
        <v>0</v>
      </c>
      <c r="R397" s="2" t="inlineStr"/>
    </row>
    <row r="398" ht="15" customHeight="1">
      <c r="A398" t="inlineStr">
        <is>
          <t>A 30521-2024</t>
        </is>
      </c>
      <c r="B398" s="1" t="n">
        <v>45492</v>
      </c>
      <c r="C398" s="1" t="n">
        <v>46032</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51191-2022</t>
        </is>
      </c>
      <c r="B399" s="1" t="n">
        <v>44865</v>
      </c>
      <c r="C399" s="1" t="n">
        <v>46032</v>
      </c>
      <c r="D399" t="inlineStr">
        <is>
          <t>ÖSTERGÖTLANDS LÄN</t>
        </is>
      </c>
      <c r="E399" t="inlineStr">
        <is>
          <t>LINKÖPING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35757-2025</t>
        </is>
      </c>
      <c r="B400" s="1" t="n">
        <v>45860.59876157407</v>
      </c>
      <c r="C400" s="1" t="n">
        <v>46032</v>
      </c>
      <c r="D400" t="inlineStr">
        <is>
          <t>ÖSTERGÖTLANDS LÄN</t>
        </is>
      </c>
      <c r="E400" t="inlineStr">
        <is>
          <t>LINKÖPING</t>
        </is>
      </c>
      <c r="G400" t="n">
        <v>5.7</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46032</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35747-2025</t>
        </is>
      </c>
      <c r="B402" s="1" t="n">
        <v>45860.56385416666</v>
      </c>
      <c r="C402" s="1" t="n">
        <v>46032</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12289-2025</t>
        </is>
      </c>
      <c r="B403" s="1" t="n">
        <v>45729</v>
      </c>
      <c r="C403" s="1" t="n">
        <v>46032</v>
      </c>
      <c r="D403" t="inlineStr">
        <is>
          <t>ÖSTERGÖTLANDS LÄN</t>
        </is>
      </c>
      <c r="E403" t="inlineStr">
        <is>
          <t>LINKÖPING</t>
        </is>
      </c>
      <c r="F403" t="inlineStr">
        <is>
          <t>Övriga statliga verk och myndigheter</t>
        </is>
      </c>
      <c r="G403" t="n">
        <v>6.5</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46032</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9434-2024</t>
        </is>
      </c>
      <c r="B405" s="1" t="n">
        <v>45359</v>
      </c>
      <c r="C405" s="1" t="n">
        <v>46032</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42054-2022</t>
        </is>
      </c>
      <c r="B406" s="1" t="n">
        <v>44830</v>
      </c>
      <c r="C406" s="1" t="n">
        <v>46032</v>
      </c>
      <c r="D406" t="inlineStr">
        <is>
          <t>ÖSTERGÖTLANDS LÄN</t>
        </is>
      </c>
      <c r="E406" t="inlineStr">
        <is>
          <t>LINKÖPING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50182-2023</t>
        </is>
      </c>
      <c r="B407" s="1" t="n">
        <v>45208</v>
      </c>
      <c r="C407" s="1" t="n">
        <v>46032</v>
      </c>
      <c r="D407" t="inlineStr">
        <is>
          <t>ÖSTERGÖTLANDS LÄN</t>
        </is>
      </c>
      <c r="E407" t="inlineStr">
        <is>
          <t>LINKÖPING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35781-2023</t>
        </is>
      </c>
      <c r="B408" s="1" t="n">
        <v>45147</v>
      </c>
      <c r="C408" s="1" t="n">
        <v>46032</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46032</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48707-2023</t>
        </is>
      </c>
      <c r="B410" s="1" t="n">
        <v>45202</v>
      </c>
      <c r="C410" s="1" t="n">
        <v>46032</v>
      </c>
      <c r="D410" t="inlineStr">
        <is>
          <t>ÖSTERGÖTLANDS LÄN</t>
        </is>
      </c>
      <c r="E410" t="inlineStr">
        <is>
          <t>LINKÖPING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12089-2025</t>
        </is>
      </c>
      <c r="B411" s="1" t="n">
        <v>45729</v>
      </c>
      <c r="C411" s="1" t="n">
        <v>46032</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15658-2023</t>
        </is>
      </c>
      <c r="B412" s="1" t="n">
        <v>45021.41194444444</v>
      </c>
      <c r="C412" s="1" t="n">
        <v>46032</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38886-2024</t>
        </is>
      </c>
      <c r="B413" s="1" t="n">
        <v>45547.66443287037</v>
      </c>
      <c r="C413" s="1" t="n">
        <v>46032</v>
      </c>
      <c r="D413" t="inlineStr">
        <is>
          <t>ÖSTERGÖTLANDS LÄN</t>
        </is>
      </c>
      <c r="E413" t="inlineStr">
        <is>
          <t>LINKÖPING</t>
        </is>
      </c>
      <c r="G413" t="n">
        <v>5.3</v>
      </c>
      <c r="H413" t="n">
        <v>0</v>
      </c>
      <c r="I413" t="n">
        <v>0</v>
      </c>
      <c r="J413" t="n">
        <v>0</v>
      </c>
      <c r="K413" t="n">
        <v>0</v>
      </c>
      <c r="L413" t="n">
        <v>0</v>
      </c>
      <c r="M413" t="n">
        <v>0</v>
      </c>
      <c r="N413" t="n">
        <v>0</v>
      </c>
      <c r="O413" t="n">
        <v>0</v>
      </c>
      <c r="P413" t="n">
        <v>0</v>
      </c>
      <c r="Q413" t="n">
        <v>0</v>
      </c>
      <c r="R413" s="2" t="inlineStr"/>
    </row>
    <row r="414" ht="15" customHeight="1">
      <c r="A414" t="inlineStr">
        <is>
          <t>A 51583-2024</t>
        </is>
      </c>
      <c r="B414" s="1" t="n">
        <v>45604.6397337963</v>
      </c>
      <c r="C414" s="1" t="n">
        <v>46032</v>
      </c>
      <c r="D414" t="inlineStr">
        <is>
          <t>ÖSTERGÖTLANDS LÄN</t>
        </is>
      </c>
      <c r="E414" t="inlineStr">
        <is>
          <t>LINKÖPING</t>
        </is>
      </c>
      <c r="F414" t="inlineStr">
        <is>
          <t>Övriga Aktiebolag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37057-2025</t>
        </is>
      </c>
      <c r="B415" s="1" t="n">
        <v>45875.37489583333</v>
      </c>
      <c r="C415" s="1" t="n">
        <v>46032</v>
      </c>
      <c r="D415" t="inlineStr">
        <is>
          <t>ÖSTERGÖTLANDS LÄN</t>
        </is>
      </c>
      <c r="E415" t="inlineStr">
        <is>
          <t>LINKÖPING</t>
        </is>
      </c>
      <c r="G415" t="n">
        <v>3.3</v>
      </c>
      <c r="H415" t="n">
        <v>0</v>
      </c>
      <c r="I415" t="n">
        <v>0</v>
      </c>
      <c r="J415" t="n">
        <v>0</v>
      </c>
      <c r="K415" t="n">
        <v>0</v>
      </c>
      <c r="L415" t="n">
        <v>0</v>
      </c>
      <c r="M415" t="n">
        <v>0</v>
      </c>
      <c r="N415" t="n">
        <v>0</v>
      </c>
      <c r="O415" t="n">
        <v>0</v>
      </c>
      <c r="P415" t="n">
        <v>0</v>
      </c>
      <c r="Q415" t="n">
        <v>0</v>
      </c>
      <c r="R415" s="2" t="inlineStr"/>
    </row>
    <row r="416" ht="15" customHeight="1">
      <c r="A416" t="inlineStr">
        <is>
          <t>A 64694-2023</t>
        </is>
      </c>
      <c r="B416" s="1" t="n">
        <v>45281</v>
      </c>
      <c r="C416" s="1" t="n">
        <v>46032</v>
      </c>
      <c r="D416" t="inlineStr">
        <is>
          <t>ÖSTERGÖTLANDS LÄN</t>
        </is>
      </c>
      <c r="E416" t="inlineStr">
        <is>
          <t>LINKÖPING</t>
        </is>
      </c>
      <c r="F416" t="inlineStr">
        <is>
          <t>Övriga statliga verk och myndigheter</t>
        </is>
      </c>
      <c r="G416" t="n">
        <v>4.9</v>
      </c>
      <c r="H416" t="n">
        <v>0</v>
      </c>
      <c r="I416" t="n">
        <v>0</v>
      </c>
      <c r="J416" t="n">
        <v>0</v>
      </c>
      <c r="K416" t="n">
        <v>0</v>
      </c>
      <c r="L416" t="n">
        <v>0</v>
      </c>
      <c r="M416" t="n">
        <v>0</v>
      </c>
      <c r="N416" t="n">
        <v>0</v>
      </c>
      <c r="O416" t="n">
        <v>0</v>
      </c>
      <c r="P416" t="n">
        <v>0</v>
      </c>
      <c r="Q416" t="n">
        <v>0</v>
      </c>
      <c r="R416" s="2" t="inlineStr"/>
    </row>
    <row r="417" ht="15" customHeight="1">
      <c r="A417" t="inlineStr">
        <is>
          <t>A 32602-2022</t>
        </is>
      </c>
      <c r="B417" s="1" t="n">
        <v>44783.43192129629</v>
      </c>
      <c r="C417" s="1" t="n">
        <v>46032</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62321-2022</t>
        </is>
      </c>
      <c r="B418" s="1" t="n">
        <v>44916</v>
      </c>
      <c r="C418" s="1" t="n">
        <v>46032</v>
      </c>
      <c r="D418" t="inlineStr">
        <is>
          <t>ÖSTERGÖTLANDS LÄN</t>
        </is>
      </c>
      <c r="E418" t="inlineStr">
        <is>
          <t>LINKÖPING</t>
        </is>
      </c>
      <c r="F418" t="inlineStr">
        <is>
          <t>Kommuner</t>
        </is>
      </c>
      <c r="G418" t="n">
        <v>5.3</v>
      </c>
      <c r="H418" t="n">
        <v>0</v>
      </c>
      <c r="I418" t="n">
        <v>0</v>
      </c>
      <c r="J418" t="n">
        <v>0</v>
      </c>
      <c r="K418" t="n">
        <v>0</v>
      </c>
      <c r="L418" t="n">
        <v>0</v>
      </c>
      <c r="M418" t="n">
        <v>0</v>
      </c>
      <c r="N418" t="n">
        <v>0</v>
      </c>
      <c r="O418" t="n">
        <v>0</v>
      </c>
      <c r="P418" t="n">
        <v>0</v>
      </c>
      <c r="Q418" t="n">
        <v>0</v>
      </c>
      <c r="R418" s="2" t="inlineStr"/>
    </row>
    <row r="419" ht="15" customHeight="1">
      <c r="A419" t="inlineStr">
        <is>
          <t>A 61899-2025</t>
        </is>
      </c>
      <c r="B419" s="1" t="n">
        <v>46003.46635416667</v>
      </c>
      <c r="C419" s="1" t="n">
        <v>46032</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61643-2025</t>
        </is>
      </c>
      <c r="B420" s="1" t="n">
        <v>46002.43575231481</v>
      </c>
      <c r="C420" s="1" t="n">
        <v>46032</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1084-2023</t>
        </is>
      </c>
      <c r="B421" s="1" t="n">
        <v>44929</v>
      </c>
      <c r="C421" s="1" t="n">
        <v>46032</v>
      </c>
      <c r="D421" t="inlineStr">
        <is>
          <t>ÖSTERGÖTLANDS LÄN</t>
        </is>
      </c>
      <c r="E421" t="inlineStr">
        <is>
          <t>LINKÖPING</t>
        </is>
      </c>
      <c r="G421" t="n">
        <v>10.4</v>
      </c>
      <c r="H421" t="n">
        <v>0</v>
      </c>
      <c r="I421" t="n">
        <v>0</v>
      </c>
      <c r="J421" t="n">
        <v>0</v>
      </c>
      <c r="K421" t="n">
        <v>0</v>
      </c>
      <c r="L421" t="n">
        <v>0</v>
      </c>
      <c r="M421" t="n">
        <v>0</v>
      </c>
      <c r="N421" t="n">
        <v>0</v>
      </c>
      <c r="O421" t="n">
        <v>0</v>
      </c>
      <c r="P421" t="n">
        <v>0</v>
      </c>
      <c r="Q421" t="n">
        <v>0</v>
      </c>
      <c r="R421" s="2" t="inlineStr"/>
    </row>
    <row r="422" ht="15" customHeight="1">
      <c r="A422" t="inlineStr">
        <is>
          <t>A 267-2023</t>
        </is>
      </c>
      <c r="B422" s="1" t="n">
        <v>44928.80907407407</v>
      </c>
      <c r="C422" s="1" t="n">
        <v>46032</v>
      </c>
      <c r="D422" t="inlineStr">
        <is>
          <t>ÖSTERGÖTLANDS LÄN</t>
        </is>
      </c>
      <c r="E422" t="inlineStr">
        <is>
          <t>LINKÖPING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940-2023</t>
        </is>
      </c>
      <c r="B423" s="1" t="n">
        <v>44933</v>
      </c>
      <c r="C423" s="1" t="n">
        <v>46032</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46032</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46032</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46032</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46032</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61645-2025</t>
        </is>
      </c>
      <c r="B428" s="1" t="n">
        <v>46002.43697916667</v>
      </c>
      <c r="C428" s="1" t="n">
        <v>46032</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56064-2022</t>
        </is>
      </c>
      <c r="B429" s="1" t="n">
        <v>44889.59107638889</v>
      </c>
      <c r="C429" s="1" t="n">
        <v>46032</v>
      </c>
      <c r="D429" t="inlineStr">
        <is>
          <t>ÖSTERGÖTLANDS LÄN</t>
        </is>
      </c>
      <c r="E429" t="inlineStr">
        <is>
          <t>LINKÖPING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46032</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25829-2025</t>
        </is>
      </c>
      <c r="B431" s="1" t="n">
        <v>45804.44505787037</v>
      </c>
      <c r="C431" s="1" t="n">
        <v>46032</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38046-2025</t>
        </is>
      </c>
      <c r="B432" s="1" t="n">
        <v>45882.39939814815</v>
      </c>
      <c r="C432" s="1" t="n">
        <v>46032</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54332-2025</t>
        </is>
      </c>
      <c r="B433" s="1" t="n">
        <v>45965.34915509259</v>
      </c>
      <c r="C433" s="1" t="n">
        <v>46032</v>
      </c>
      <c r="D433" t="inlineStr">
        <is>
          <t>ÖSTERGÖTLANDS LÄN</t>
        </is>
      </c>
      <c r="E433" t="inlineStr">
        <is>
          <t>LINKÖPING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16111-2022</t>
        </is>
      </c>
      <c r="B434" s="1" t="n">
        <v>44665</v>
      </c>
      <c r="C434" s="1" t="n">
        <v>46032</v>
      </c>
      <c r="D434" t="inlineStr">
        <is>
          <t>ÖSTERGÖTLANDS LÄN</t>
        </is>
      </c>
      <c r="E434" t="inlineStr">
        <is>
          <t>LINKÖPING</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48962-2022</t>
        </is>
      </c>
      <c r="B435" s="1" t="n">
        <v>44860.31635416667</v>
      </c>
      <c r="C435" s="1" t="n">
        <v>46032</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54329-2025</t>
        </is>
      </c>
      <c r="B436" s="1" t="n">
        <v>45965.34706018519</v>
      </c>
      <c r="C436" s="1" t="n">
        <v>46032</v>
      </c>
      <c r="D436" t="inlineStr">
        <is>
          <t>ÖSTERGÖTLANDS LÄN</t>
        </is>
      </c>
      <c r="E436" t="inlineStr">
        <is>
          <t>LINKÖPING</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27891-2021</t>
        </is>
      </c>
      <c r="B437" s="1" t="n">
        <v>44354.65108796296</v>
      </c>
      <c r="C437" s="1" t="n">
        <v>46032</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61230-2025</t>
        </is>
      </c>
      <c r="B438" s="1" t="n">
        <v>46000.63111111111</v>
      </c>
      <c r="C438" s="1" t="n">
        <v>46032</v>
      </c>
      <c r="D438" t="inlineStr">
        <is>
          <t>ÖSTERGÖTLANDS LÄN</t>
        </is>
      </c>
      <c r="E438" t="inlineStr">
        <is>
          <t>LINKÖPING</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1268-2023</t>
        </is>
      </c>
      <c r="B439" s="1" t="n">
        <v>44936</v>
      </c>
      <c r="C439" s="1" t="n">
        <v>46032</v>
      </c>
      <c r="D439" t="inlineStr">
        <is>
          <t>ÖSTERGÖTLANDS LÄN</t>
        </is>
      </c>
      <c r="E439" t="inlineStr">
        <is>
          <t>LINKÖPING</t>
        </is>
      </c>
      <c r="G439" t="n">
        <v>4.6</v>
      </c>
      <c r="H439" t="n">
        <v>0</v>
      </c>
      <c r="I439" t="n">
        <v>0</v>
      </c>
      <c r="J439" t="n">
        <v>0</v>
      </c>
      <c r="K439" t="n">
        <v>0</v>
      </c>
      <c r="L439" t="n">
        <v>0</v>
      </c>
      <c r="M439" t="n">
        <v>0</v>
      </c>
      <c r="N439" t="n">
        <v>0</v>
      </c>
      <c r="O439" t="n">
        <v>0</v>
      </c>
      <c r="P439" t="n">
        <v>0</v>
      </c>
      <c r="Q439" t="n">
        <v>0</v>
      </c>
      <c r="R439" s="2" t="inlineStr"/>
    </row>
    <row r="440" ht="15" customHeight="1">
      <c r="A440" t="inlineStr">
        <is>
          <t>A 62515-2025</t>
        </is>
      </c>
      <c r="B440" s="1" t="n">
        <v>46007.60548611111</v>
      </c>
      <c r="C440" s="1" t="n">
        <v>46032</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46032</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34641-2022</t>
        </is>
      </c>
      <c r="B442" s="1" t="n">
        <v>44795</v>
      </c>
      <c r="C442" s="1" t="n">
        <v>46032</v>
      </c>
      <c r="D442" t="inlineStr">
        <is>
          <t>ÖSTERGÖTLANDS LÄN</t>
        </is>
      </c>
      <c r="E442" t="inlineStr">
        <is>
          <t>LINKÖPING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54333-2025</t>
        </is>
      </c>
      <c r="B443" s="1" t="n">
        <v>45965.35090277778</v>
      </c>
      <c r="C443" s="1" t="n">
        <v>46032</v>
      </c>
      <c r="D443" t="inlineStr">
        <is>
          <t>ÖSTERGÖTLANDS LÄN</t>
        </is>
      </c>
      <c r="E443" t="inlineStr">
        <is>
          <t>LINKÖPING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938-2023</t>
        </is>
      </c>
      <c r="B444" s="1" t="n">
        <v>44933</v>
      </c>
      <c r="C444" s="1" t="n">
        <v>46032</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46032</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48-2024</t>
        </is>
      </c>
      <c r="B446" s="1" t="n">
        <v>45293</v>
      </c>
      <c r="C446" s="1" t="n">
        <v>46032</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46032</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30547-2023</t>
        </is>
      </c>
      <c r="B448" s="1" t="n">
        <v>45111.75905092592</v>
      </c>
      <c r="C448" s="1" t="n">
        <v>46032</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40502-2024</t>
        </is>
      </c>
      <c r="B449" s="1" t="n">
        <v>45555.57263888889</v>
      </c>
      <c r="C449" s="1" t="n">
        <v>46032</v>
      </c>
      <c r="D449" t="inlineStr">
        <is>
          <t>ÖSTERGÖTLANDS LÄN</t>
        </is>
      </c>
      <c r="E449" t="inlineStr">
        <is>
          <t>LINKÖPING</t>
        </is>
      </c>
      <c r="F449" t="inlineStr">
        <is>
          <t>Allmännings- och besparingsskogar</t>
        </is>
      </c>
      <c r="G449" t="n">
        <v>17.5</v>
      </c>
      <c r="H449" t="n">
        <v>0</v>
      </c>
      <c r="I449" t="n">
        <v>0</v>
      </c>
      <c r="J449" t="n">
        <v>0</v>
      </c>
      <c r="K449" t="n">
        <v>0</v>
      </c>
      <c r="L449" t="n">
        <v>0</v>
      </c>
      <c r="M449" t="n">
        <v>0</v>
      </c>
      <c r="N449" t="n">
        <v>0</v>
      </c>
      <c r="O449" t="n">
        <v>0</v>
      </c>
      <c r="P449" t="n">
        <v>0</v>
      </c>
      <c r="Q449" t="n">
        <v>0</v>
      </c>
      <c r="R449" s="2" t="inlineStr"/>
    </row>
    <row r="450" ht="15" customHeight="1">
      <c r="A450" t="inlineStr">
        <is>
          <t>A 61281-2021</t>
        </is>
      </c>
      <c r="B450" s="1" t="n">
        <v>44498.60736111111</v>
      </c>
      <c r="C450" s="1" t="n">
        <v>46032</v>
      </c>
      <c r="D450" t="inlineStr">
        <is>
          <t>ÖSTERGÖTLANDS LÄN</t>
        </is>
      </c>
      <c r="E450" t="inlineStr">
        <is>
          <t>LINKÖPING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25292-2021</t>
        </is>
      </c>
      <c r="B451" s="1" t="n">
        <v>44342</v>
      </c>
      <c r="C451" s="1" t="n">
        <v>46032</v>
      </c>
      <c r="D451" t="inlineStr">
        <is>
          <t>ÖSTERGÖTLANDS LÄN</t>
        </is>
      </c>
      <c r="E451" t="inlineStr">
        <is>
          <t>LINKÖPING</t>
        </is>
      </c>
      <c r="F451" t="inlineStr">
        <is>
          <t>Övriga Aktiebolag</t>
        </is>
      </c>
      <c r="G451" t="n">
        <v>12.8</v>
      </c>
      <c r="H451" t="n">
        <v>0</v>
      </c>
      <c r="I451" t="n">
        <v>0</v>
      </c>
      <c r="J451" t="n">
        <v>0</v>
      </c>
      <c r="K451" t="n">
        <v>0</v>
      </c>
      <c r="L451" t="n">
        <v>0</v>
      </c>
      <c r="M451" t="n">
        <v>0</v>
      </c>
      <c r="N451" t="n">
        <v>0</v>
      </c>
      <c r="O451" t="n">
        <v>0</v>
      </c>
      <c r="P451" t="n">
        <v>0</v>
      </c>
      <c r="Q451" t="n">
        <v>0</v>
      </c>
      <c r="R451" s="2" t="inlineStr"/>
    </row>
    <row r="452" ht="15" customHeight="1">
      <c r="A452" t="inlineStr">
        <is>
          <t>A 62686-2025</t>
        </is>
      </c>
      <c r="B452" s="1" t="n">
        <v>46008.46769675926</v>
      </c>
      <c r="C452" s="1" t="n">
        <v>46032</v>
      </c>
      <c r="D452" t="inlineStr">
        <is>
          <t>ÖSTERGÖTLANDS LÄN</t>
        </is>
      </c>
      <c r="E452" t="inlineStr">
        <is>
          <t>LINKÖPING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63935-2021</t>
        </is>
      </c>
      <c r="B453" s="1" t="n">
        <v>44509</v>
      </c>
      <c r="C453" s="1" t="n">
        <v>46032</v>
      </c>
      <c r="D453" t="inlineStr">
        <is>
          <t>ÖSTERGÖTLANDS LÄN</t>
        </is>
      </c>
      <c r="E453" t="inlineStr">
        <is>
          <t>LINKÖPING</t>
        </is>
      </c>
      <c r="F453" t="inlineStr">
        <is>
          <t>Övriga statliga verk och myndigheter</t>
        </is>
      </c>
      <c r="G453" t="n">
        <v>2.8</v>
      </c>
      <c r="H453" t="n">
        <v>0</v>
      </c>
      <c r="I453" t="n">
        <v>0</v>
      </c>
      <c r="J453" t="n">
        <v>0</v>
      </c>
      <c r="K453" t="n">
        <v>0</v>
      </c>
      <c r="L453" t="n">
        <v>0</v>
      </c>
      <c r="M453" t="n">
        <v>0</v>
      </c>
      <c r="N453" t="n">
        <v>0</v>
      </c>
      <c r="O453" t="n">
        <v>0</v>
      </c>
      <c r="P453" t="n">
        <v>0</v>
      </c>
      <c r="Q453" t="n">
        <v>0</v>
      </c>
      <c r="R453" s="2" t="inlineStr"/>
    </row>
    <row r="454" ht="15" customHeight="1">
      <c r="A454" t="inlineStr">
        <is>
          <t>A 38971-2025</t>
        </is>
      </c>
      <c r="B454" s="1" t="n">
        <v>45887.71827546296</v>
      </c>
      <c r="C454" s="1" t="n">
        <v>46032</v>
      </c>
      <c r="D454" t="inlineStr">
        <is>
          <t>ÖSTERGÖTLANDS LÄN</t>
        </is>
      </c>
      <c r="E454" t="inlineStr">
        <is>
          <t>LINKÖPING</t>
        </is>
      </c>
      <c r="G454" t="n">
        <v>3.9</v>
      </c>
      <c r="H454" t="n">
        <v>0</v>
      </c>
      <c r="I454" t="n">
        <v>0</v>
      </c>
      <c r="J454" t="n">
        <v>0</v>
      </c>
      <c r="K454" t="n">
        <v>0</v>
      </c>
      <c r="L454" t="n">
        <v>0</v>
      </c>
      <c r="M454" t="n">
        <v>0</v>
      </c>
      <c r="N454" t="n">
        <v>0</v>
      </c>
      <c r="O454" t="n">
        <v>0</v>
      </c>
      <c r="P454" t="n">
        <v>0</v>
      </c>
      <c r="Q454" t="n">
        <v>0</v>
      </c>
      <c r="R454" s="2" t="inlineStr"/>
    </row>
    <row r="455" ht="15" customHeight="1">
      <c r="A455" t="inlineStr">
        <is>
          <t>A 55345-2021</t>
        </is>
      </c>
      <c r="B455" s="1" t="n">
        <v>44475</v>
      </c>
      <c r="C455" s="1" t="n">
        <v>46032</v>
      </c>
      <c r="D455" t="inlineStr">
        <is>
          <t>ÖSTERGÖTLANDS LÄN</t>
        </is>
      </c>
      <c r="E455" t="inlineStr">
        <is>
          <t>LINKÖPING</t>
        </is>
      </c>
      <c r="G455" t="n">
        <v>5.7</v>
      </c>
      <c r="H455" t="n">
        <v>0</v>
      </c>
      <c r="I455" t="n">
        <v>0</v>
      </c>
      <c r="J455" t="n">
        <v>0</v>
      </c>
      <c r="K455" t="n">
        <v>0</v>
      </c>
      <c r="L455" t="n">
        <v>0</v>
      </c>
      <c r="M455" t="n">
        <v>0</v>
      </c>
      <c r="N455" t="n">
        <v>0</v>
      </c>
      <c r="O455" t="n">
        <v>0</v>
      </c>
      <c r="P455" t="n">
        <v>0</v>
      </c>
      <c r="Q455" t="n">
        <v>0</v>
      </c>
      <c r="R455" s="2" t="inlineStr"/>
    </row>
    <row r="456" ht="15" customHeight="1">
      <c r="A456" t="inlineStr">
        <is>
          <t>A 24464-2023</t>
        </is>
      </c>
      <c r="B456" s="1" t="n">
        <v>45082.58068287037</v>
      </c>
      <c r="C456" s="1" t="n">
        <v>46032</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24467-2023</t>
        </is>
      </c>
      <c r="B457" s="1" t="n">
        <v>45082</v>
      </c>
      <c r="C457" s="1" t="n">
        <v>46032</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48389-2024</t>
        </is>
      </c>
      <c r="B458" s="1" t="n">
        <v>45590.59991898148</v>
      </c>
      <c r="C458" s="1" t="n">
        <v>46032</v>
      </c>
      <c r="D458" t="inlineStr">
        <is>
          <t>ÖSTERGÖTLANDS LÄN</t>
        </is>
      </c>
      <c r="E458" t="inlineStr">
        <is>
          <t>LINKÖPING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46032</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39017-2021</t>
        </is>
      </c>
      <c r="B460" s="1" t="n">
        <v>44412</v>
      </c>
      <c r="C460" s="1" t="n">
        <v>46032</v>
      </c>
      <c r="D460" t="inlineStr">
        <is>
          <t>ÖSTERGÖTLANDS LÄN</t>
        </is>
      </c>
      <c r="E460" t="inlineStr">
        <is>
          <t>LINKÖPING</t>
        </is>
      </c>
      <c r="F460" t="inlineStr">
        <is>
          <t>Övriga statliga verk och myndigheter</t>
        </is>
      </c>
      <c r="G460" t="n">
        <v>0.8</v>
      </c>
      <c r="H460" t="n">
        <v>0</v>
      </c>
      <c r="I460" t="n">
        <v>0</v>
      </c>
      <c r="J460" t="n">
        <v>0</v>
      </c>
      <c r="K460" t="n">
        <v>0</v>
      </c>
      <c r="L460" t="n">
        <v>0</v>
      </c>
      <c r="M460" t="n">
        <v>0</v>
      </c>
      <c r="N460" t="n">
        <v>0</v>
      </c>
      <c r="O460" t="n">
        <v>0</v>
      </c>
      <c r="P460" t="n">
        <v>0</v>
      </c>
      <c r="Q460" t="n">
        <v>0</v>
      </c>
      <c r="R460" s="2" t="inlineStr"/>
    </row>
    <row r="461" ht="15" customHeight="1">
      <c r="A461" t="inlineStr">
        <is>
          <t>A 62791-2025</t>
        </is>
      </c>
      <c r="B461" s="1" t="n">
        <v>46008.63266203704</v>
      </c>
      <c r="C461" s="1" t="n">
        <v>46032</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1260-2023</t>
        </is>
      </c>
      <c r="B462" s="1" t="n">
        <v>44936</v>
      </c>
      <c r="C462" s="1" t="n">
        <v>46032</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1355-2023</t>
        </is>
      </c>
      <c r="B463" s="1" t="n">
        <v>44931</v>
      </c>
      <c r="C463" s="1" t="n">
        <v>46032</v>
      </c>
      <c r="D463" t="inlineStr">
        <is>
          <t>ÖSTERGÖTLANDS LÄN</t>
        </is>
      </c>
      <c r="E463" t="inlineStr">
        <is>
          <t>LINKÖPING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3007-2025</t>
        </is>
      </c>
      <c r="B464" s="1" t="n">
        <v>45678.56328703704</v>
      </c>
      <c r="C464" s="1" t="n">
        <v>46032</v>
      </c>
      <c r="D464" t="inlineStr">
        <is>
          <t>ÖSTERGÖTLANDS LÄN</t>
        </is>
      </c>
      <c r="E464" t="inlineStr">
        <is>
          <t>LINKÖPING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10492-2022</t>
        </is>
      </c>
      <c r="B465" s="1" t="n">
        <v>44623.6377199074</v>
      </c>
      <c r="C465" s="1" t="n">
        <v>46032</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55102-2025</t>
        </is>
      </c>
      <c r="B466" s="1" t="n">
        <v>45968.35410879629</v>
      </c>
      <c r="C466" s="1" t="n">
        <v>46032</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55132-2025</t>
        </is>
      </c>
      <c r="B467" s="1" t="n">
        <v>45968.41912037037</v>
      </c>
      <c r="C467" s="1" t="n">
        <v>46032</v>
      </c>
      <c r="D467" t="inlineStr">
        <is>
          <t>ÖSTERGÖTLANDS LÄN</t>
        </is>
      </c>
      <c r="E467" t="inlineStr">
        <is>
          <t>LINKÖPING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30465-2023</t>
        </is>
      </c>
      <c r="B468" s="1" t="n">
        <v>45111</v>
      </c>
      <c r="C468" s="1" t="n">
        <v>46032</v>
      </c>
      <c r="D468" t="inlineStr">
        <is>
          <t>ÖSTERGÖTLANDS LÄN</t>
        </is>
      </c>
      <c r="E468" t="inlineStr">
        <is>
          <t>LINKÖPING</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63147-2025</t>
        </is>
      </c>
      <c r="B469" s="1" t="n">
        <v>46010.35003472222</v>
      </c>
      <c r="C469" s="1" t="n">
        <v>46032</v>
      </c>
      <c r="D469" t="inlineStr">
        <is>
          <t>ÖSTERGÖTLANDS LÄN</t>
        </is>
      </c>
      <c r="E469" t="inlineStr">
        <is>
          <t>LINKÖPING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46032</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46032</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62353-2022</t>
        </is>
      </c>
      <c r="B472" s="1" t="n">
        <v>44923</v>
      </c>
      <c r="C472" s="1" t="n">
        <v>46032</v>
      </c>
      <c r="D472" t="inlineStr">
        <is>
          <t>ÖSTERGÖTLANDS LÄN</t>
        </is>
      </c>
      <c r="E472" t="inlineStr">
        <is>
          <t>LINKÖPING</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30111-2024</t>
        </is>
      </c>
      <c r="B473" s="1" t="n">
        <v>45489.46947916667</v>
      </c>
      <c r="C473" s="1" t="n">
        <v>46032</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30119-2024</t>
        </is>
      </c>
      <c r="B474" s="1" t="n">
        <v>45489</v>
      </c>
      <c r="C474" s="1" t="n">
        <v>46032</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63144-2025</t>
        </is>
      </c>
      <c r="B475" s="1" t="n">
        <v>46010.34716435185</v>
      </c>
      <c r="C475" s="1" t="n">
        <v>46032</v>
      </c>
      <c r="D475" t="inlineStr">
        <is>
          <t>ÖSTERGÖTLANDS LÄN</t>
        </is>
      </c>
      <c r="E475" t="inlineStr">
        <is>
          <t>LINKÖPING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29411-2023</t>
        </is>
      </c>
      <c r="B476" s="1" t="n">
        <v>45106.46225694445</v>
      </c>
      <c r="C476" s="1" t="n">
        <v>46032</v>
      </c>
      <c r="D476" t="inlineStr">
        <is>
          <t>ÖSTERGÖTLANDS LÄN</t>
        </is>
      </c>
      <c r="E476" t="inlineStr">
        <is>
          <t>LINKÖPING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29412-2023</t>
        </is>
      </c>
      <c r="B477" s="1" t="n">
        <v>45106.46359953703</v>
      </c>
      <c r="C477" s="1" t="n">
        <v>46032</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55165-2025</t>
        </is>
      </c>
      <c r="B478" s="1" t="n">
        <v>45968.48194444444</v>
      </c>
      <c r="C478" s="1" t="n">
        <v>46032</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31792-2021</t>
        </is>
      </c>
      <c r="B479" s="1" t="n">
        <v>44369</v>
      </c>
      <c r="C479" s="1" t="n">
        <v>46032</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421-2024</t>
        </is>
      </c>
      <c r="B480" s="1" t="n">
        <v>45296.51877314815</v>
      </c>
      <c r="C480" s="1" t="n">
        <v>46032</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22043-2023</t>
        </is>
      </c>
      <c r="B481" s="1" t="n">
        <v>45069.39050925926</v>
      </c>
      <c r="C481" s="1" t="n">
        <v>46032</v>
      </c>
      <c r="D481" t="inlineStr">
        <is>
          <t>ÖSTERGÖTLANDS LÄN</t>
        </is>
      </c>
      <c r="E481" t="inlineStr">
        <is>
          <t>LINKÖPING</t>
        </is>
      </c>
      <c r="G481" t="n">
        <v>5.9</v>
      </c>
      <c r="H481" t="n">
        <v>0</v>
      </c>
      <c r="I481" t="n">
        <v>0</v>
      </c>
      <c r="J481" t="n">
        <v>0</v>
      </c>
      <c r="K481" t="n">
        <v>0</v>
      </c>
      <c r="L481" t="n">
        <v>0</v>
      </c>
      <c r="M481" t="n">
        <v>0</v>
      </c>
      <c r="N481" t="n">
        <v>0</v>
      </c>
      <c r="O481" t="n">
        <v>0</v>
      </c>
      <c r="P481" t="n">
        <v>0</v>
      </c>
      <c r="Q481" t="n">
        <v>0</v>
      </c>
      <c r="R481" s="2" t="inlineStr"/>
    </row>
    <row r="482" ht="15" customHeight="1">
      <c r="A482" t="inlineStr">
        <is>
          <t>A 61532-2021</t>
        </is>
      </c>
      <c r="B482" s="1" t="n">
        <v>44501</v>
      </c>
      <c r="C482" s="1" t="n">
        <v>46032</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14028-2024</t>
        </is>
      </c>
      <c r="B483" s="1" t="n">
        <v>45392</v>
      </c>
      <c r="C483" s="1" t="n">
        <v>46032</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46032</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60860-2024</t>
        </is>
      </c>
      <c r="B485" s="1" t="n">
        <v>45644.6893287037</v>
      </c>
      <c r="C485" s="1" t="n">
        <v>46032</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46032</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56113-2025</t>
        </is>
      </c>
      <c r="B487" s="1" t="n">
        <v>45973.73924768518</v>
      </c>
      <c r="C487" s="1" t="n">
        <v>46032</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56105-2025</t>
        </is>
      </c>
      <c r="B488" s="1" t="n">
        <v>45973.72855324074</v>
      </c>
      <c r="C488" s="1" t="n">
        <v>46032</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45806-2024</t>
        </is>
      </c>
      <c r="B489" s="1" t="n">
        <v>45579.69619212963</v>
      </c>
      <c r="C489" s="1" t="n">
        <v>46032</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56403-2025</t>
        </is>
      </c>
      <c r="B490" s="1" t="n">
        <v>45974</v>
      </c>
      <c r="C490" s="1" t="n">
        <v>46032</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56756-2023</t>
        </is>
      </c>
      <c r="B491" s="1" t="n">
        <v>45244</v>
      </c>
      <c r="C491" s="1" t="n">
        <v>46032</v>
      </c>
      <c r="D491" t="inlineStr">
        <is>
          <t>ÖSTERGÖTLANDS LÄN</t>
        </is>
      </c>
      <c r="E491" t="inlineStr">
        <is>
          <t>LINKÖPING</t>
        </is>
      </c>
      <c r="F491" t="inlineStr">
        <is>
          <t>Övriga Aktiebolag</t>
        </is>
      </c>
      <c r="G491" t="n">
        <v>0.8</v>
      </c>
      <c r="H491" t="n">
        <v>0</v>
      </c>
      <c r="I491" t="n">
        <v>0</v>
      </c>
      <c r="J491" t="n">
        <v>0</v>
      </c>
      <c r="K491" t="n">
        <v>0</v>
      </c>
      <c r="L491" t="n">
        <v>0</v>
      </c>
      <c r="M491" t="n">
        <v>0</v>
      </c>
      <c r="N491" t="n">
        <v>0</v>
      </c>
      <c r="O491" t="n">
        <v>0</v>
      </c>
      <c r="P491" t="n">
        <v>0</v>
      </c>
      <c r="Q491" t="n">
        <v>0</v>
      </c>
      <c r="R491" s="2" t="inlineStr"/>
    </row>
    <row r="492" ht="15" customHeight="1">
      <c r="A492" t="inlineStr">
        <is>
          <t>A 60985-2023</t>
        </is>
      </c>
      <c r="B492" s="1" t="n">
        <v>45261.48429398148</v>
      </c>
      <c r="C492" s="1" t="n">
        <v>46032</v>
      </c>
      <c r="D492" t="inlineStr">
        <is>
          <t>ÖSTERGÖTLANDS LÄN</t>
        </is>
      </c>
      <c r="E492" t="inlineStr">
        <is>
          <t>LINKÖPING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56704-2025</t>
        </is>
      </c>
      <c r="B493" s="1" t="n">
        <v>45977.50608796296</v>
      </c>
      <c r="C493" s="1" t="n">
        <v>46032</v>
      </c>
      <c r="D493" t="inlineStr">
        <is>
          <t>ÖSTERGÖTLANDS LÄN</t>
        </is>
      </c>
      <c r="E493" t="inlineStr">
        <is>
          <t>LINKÖPING</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24904-2024</t>
        </is>
      </c>
      <c r="B494" s="1" t="n">
        <v>45461</v>
      </c>
      <c r="C494" s="1" t="n">
        <v>46032</v>
      </c>
      <c r="D494" t="inlineStr">
        <is>
          <t>ÖSTERGÖTLANDS LÄN</t>
        </is>
      </c>
      <c r="E494" t="inlineStr">
        <is>
          <t>LINKÖPING</t>
        </is>
      </c>
      <c r="G494" t="n">
        <v>3.8</v>
      </c>
      <c r="H494" t="n">
        <v>0</v>
      </c>
      <c r="I494" t="n">
        <v>0</v>
      </c>
      <c r="J494" t="n">
        <v>0</v>
      </c>
      <c r="K494" t="n">
        <v>0</v>
      </c>
      <c r="L494" t="n">
        <v>0</v>
      </c>
      <c r="M494" t="n">
        <v>0</v>
      </c>
      <c r="N494" t="n">
        <v>0</v>
      </c>
      <c r="O494" t="n">
        <v>0</v>
      </c>
      <c r="P494" t="n">
        <v>0</v>
      </c>
      <c r="Q494" t="n">
        <v>0</v>
      </c>
      <c r="R494" s="2" t="inlineStr"/>
    </row>
    <row r="495" ht="15" customHeight="1">
      <c r="A495" t="inlineStr">
        <is>
          <t>A 55009-2023</t>
        </is>
      </c>
      <c r="B495" s="1" t="n">
        <v>45237</v>
      </c>
      <c r="C495" s="1" t="n">
        <v>46032</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34872-2023</t>
        </is>
      </c>
      <c r="B496" s="1" t="n">
        <v>45140</v>
      </c>
      <c r="C496" s="1" t="n">
        <v>46032</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46032</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25097-2023</t>
        </is>
      </c>
      <c r="B498" s="1" t="n">
        <v>45086</v>
      </c>
      <c r="C498" s="1" t="n">
        <v>46032</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10461-2023</t>
        </is>
      </c>
      <c r="B499" s="1" t="n">
        <v>44987.5969212963</v>
      </c>
      <c r="C499" s="1" t="n">
        <v>46032</v>
      </c>
      <c r="D499" t="inlineStr">
        <is>
          <t>ÖSTERGÖTLANDS LÄN</t>
        </is>
      </c>
      <c r="E499" t="inlineStr">
        <is>
          <t>LINKÖPING</t>
        </is>
      </c>
      <c r="G499" t="n">
        <v>7.8</v>
      </c>
      <c r="H499" t="n">
        <v>0</v>
      </c>
      <c r="I499" t="n">
        <v>0</v>
      </c>
      <c r="J499" t="n">
        <v>0</v>
      </c>
      <c r="K499" t="n">
        <v>0</v>
      </c>
      <c r="L499" t="n">
        <v>0</v>
      </c>
      <c r="M499" t="n">
        <v>0</v>
      </c>
      <c r="N499" t="n">
        <v>0</v>
      </c>
      <c r="O499" t="n">
        <v>0</v>
      </c>
      <c r="P499" t="n">
        <v>0</v>
      </c>
      <c r="Q499" t="n">
        <v>0</v>
      </c>
      <c r="R499" s="2" t="inlineStr"/>
    </row>
    <row r="500" ht="15" customHeight="1">
      <c r="A500" t="inlineStr">
        <is>
          <t>A 50386-2021</t>
        </is>
      </c>
      <c r="B500" s="1" t="n">
        <v>44459</v>
      </c>
      <c r="C500" s="1" t="n">
        <v>46032</v>
      </c>
      <c r="D500" t="inlineStr">
        <is>
          <t>ÖSTERGÖTLANDS LÄN</t>
        </is>
      </c>
      <c r="E500" t="inlineStr">
        <is>
          <t>LINKÖPING</t>
        </is>
      </c>
      <c r="G500" t="n">
        <v>2.3</v>
      </c>
      <c r="H500" t="n">
        <v>0</v>
      </c>
      <c r="I500" t="n">
        <v>0</v>
      </c>
      <c r="J500" t="n">
        <v>0</v>
      </c>
      <c r="K500" t="n">
        <v>0</v>
      </c>
      <c r="L500" t="n">
        <v>0</v>
      </c>
      <c r="M500" t="n">
        <v>0</v>
      </c>
      <c r="N500" t="n">
        <v>0</v>
      </c>
      <c r="O500" t="n">
        <v>0</v>
      </c>
      <c r="P500" t="n">
        <v>0</v>
      </c>
      <c r="Q500" t="n">
        <v>0</v>
      </c>
      <c r="R500" s="2" t="inlineStr"/>
    </row>
    <row r="501" ht="15" customHeight="1">
      <c r="A501" t="inlineStr">
        <is>
          <t>A 350-2022</t>
        </is>
      </c>
      <c r="B501" s="1" t="n">
        <v>44565</v>
      </c>
      <c r="C501" s="1" t="n">
        <v>46032</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18891-2022</t>
        </is>
      </c>
      <c r="B502" s="1" t="n">
        <v>44690</v>
      </c>
      <c r="C502" s="1" t="n">
        <v>46032</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46032</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55736-2022</t>
        </is>
      </c>
      <c r="B504" s="1" t="n">
        <v>44888</v>
      </c>
      <c r="C504" s="1" t="n">
        <v>46032</v>
      </c>
      <c r="D504" t="inlineStr">
        <is>
          <t>ÖSTERGÖTLANDS LÄN</t>
        </is>
      </c>
      <c r="E504" t="inlineStr">
        <is>
          <t>LINKÖPING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10194-2023</t>
        </is>
      </c>
      <c r="B505" s="1" t="n">
        <v>44986.52277777778</v>
      </c>
      <c r="C505" s="1" t="n">
        <v>46032</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58802-2025</t>
        </is>
      </c>
      <c r="B506" s="1" t="n">
        <v>45986.8768287037</v>
      </c>
      <c r="C506" s="1" t="n">
        <v>46032</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55004-2025</t>
        </is>
      </c>
      <c r="B507" s="1" t="n">
        <v>45967</v>
      </c>
      <c r="C507" s="1" t="n">
        <v>46032</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7702-2023</t>
        </is>
      </c>
      <c r="B508" s="1" t="n">
        <v>44967</v>
      </c>
      <c r="C508" s="1" t="n">
        <v>46032</v>
      </c>
      <c r="D508" t="inlineStr">
        <is>
          <t>ÖSTERGÖTLANDS LÄN</t>
        </is>
      </c>
      <c r="E508" t="inlineStr">
        <is>
          <t>LINKÖPING</t>
        </is>
      </c>
      <c r="F508" t="inlineStr">
        <is>
          <t>Övriga statliga verk och myndigheter</t>
        </is>
      </c>
      <c r="G508" t="n">
        <v>8</v>
      </c>
      <c r="H508" t="n">
        <v>0</v>
      </c>
      <c r="I508" t="n">
        <v>0</v>
      </c>
      <c r="J508" t="n">
        <v>0</v>
      </c>
      <c r="K508" t="n">
        <v>0</v>
      </c>
      <c r="L508" t="n">
        <v>0</v>
      </c>
      <c r="M508" t="n">
        <v>0</v>
      </c>
      <c r="N508" t="n">
        <v>0</v>
      </c>
      <c r="O508" t="n">
        <v>0</v>
      </c>
      <c r="P508" t="n">
        <v>0</v>
      </c>
      <c r="Q508" t="n">
        <v>0</v>
      </c>
      <c r="R508" s="2" t="inlineStr"/>
    </row>
    <row r="509" ht="15" customHeight="1">
      <c r="A509" t="inlineStr">
        <is>
          <t>A 42000-2023</t>
        </is>
      </c>
      <c r="B509" s="1" t="n">
        <v>45177</v>
      </c>
      <c r="C509" s="1" t="n">
        <v>46032</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31534-2023</t>
        </is>
      </c>
      <c r="B510" s="1" t="n">
        <v>45116</v>
      </c>
      <c r="C510" s="1" t="n">
        <v>46032</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35427-2023</t>
        </is>
      </c>
      <c r="B511" s="1" t="n">
        <v>45146</v>
      </c>
      <c r="C511" s="1" t="n">
        <v>46032</v>
      </c>
      <c r="D511" t="inlineStr">
        <is>
          <t>ÖSTERGÖTLANDS LÄN</t>
        </is>
      </c>
      <c r="E511" t="inlineStr">
        <is>
          <t>LINKÖPING</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60866-2025</t>
        </is>
      </c>
      <c r="B512" s="1" t="n">
        <v>45999</v>
      </c>
      <c r="C512" s="1" t="n">
        <v>46032</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36725-2023</t>
        </is>
      </c>
      <c r="B513" s="1" t="n">
        <v>45153.68471064815</v>
      </c>
      <c r="C513" s="1" t="n">
        <v>46032</v>
      </c>
      <c r="D513" t="inlineStr">
        <is>
          <t>ÖSTERGÖTLANDS LÄN</t>
        </is>
      </c>
      <c r="E513" t="inlineStr">
        <is>
          <t>LINKÖPING</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59205-2025</t>
        </is>
      </c>
      <c r="B514" s="1" t="n">
        <v>45988.60721064815</v>
      </c>
      <c r="C514" s="1" t="n">
        <v>46032</v>
      </c>
      <c r="D514" t="inlineStr">
        <is>
          <t>ÖSTERGÖTLANDS LÄN</t>
        </is>
      </c>
      <c r="E514" t="inlineStr">
        <is>
          <t>LINKÖPING</t>
        </is>
      </c>
      <c r="F514" t="inlineStr">
        <is>
          <t>Sveaskog</t>
        </is>
      </c>
      <c r="G514" t="n">
        <v>11.3</v>
      </c>
      <c r="H514" t="n">
        <v>0</v>
      </c>
      <c r="I514" t="n">
        <v>0</v>
      </c>
      <c r="J514" t="n">
        <v>0</v>
      </c>
      <c r="K514" t="n">
        <v>0</v>
      </c>
      <c r="L514" t="n">
        <v>0</v>
      </c>
      <c r="M514" t="n">
        <v>0</v>
      </c>
      <c r="N514" t="n">
        <v>0</v>
      </c>
      <c r="O514" t="n">
        <v>0</v>
      </c>
      <c r="P514" t="n">
        <v>0</v>
      </c>
      <c r="Q514" t="n">
        <v>0</v>
      </c>
      <c r="R514" s="2" t="inlineStr"/>
    </row>
    <row r="515" ht="15" customHeight="1">
      <c r="A515" t="inlineStr">
        <is>
          <t>A 53639-2023</t>
        </is>
      </c>
      <c r="B515" s="1" t="n">
        <v>45230.59686342593</v>
      </c>
      <c r="C515" s="1" t="n">
        <v>46032</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46032</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858-2026</t>
        </is>
      </c>
      <c r="B517" s="1" t="n">
        <v>46030.41200231481</v>
      </c>
      <c r="C517" s="1" t="n">
        <v>46032</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860-2026</t>
        </is>
      </c>
      <c r="B518" s="1" t="n">
        <v>46030.41974537037</v>
      </c>
      <c r="C518" s="1" t="n">
        <v>46032</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873-2026</t>
        </is>
      </c>
      <c r="B519" s="1" t="n">
        <v>46030.43818287037</v>
      </c>
      <c r="C519" s="1" t="n">
        <v>46032</v>
      </c>
      <c r="D519" t="inlineStr">
        <is>
          <t>ÖSTERGÖTLANDS LÄN</t>
        </is>
      </c>
      <c r="E519" t="inlineStr">
        <is>
          <t>LINKÖPING</t>
        </is>
      </c>
      <c r="G519" t="n">
        <v>4.1</v>
      </c>
      <c r="H519" t="n">
        <v>0</v>
      </c>
      <c r="I519" t="n">
        <v>0</v>
      </c>
      <c r="J519" t="n">
        <v>0</v>
      </c>
      <c r="K519" t="n">
        <v>0</v>
      </c>
      <c r="L519" t="n">
        <v>0</v>
      </c>
      <c r="M519" t="n">
        <v>0</v>
      </c>
      <c r="N519" t="n">
        <v>0</v>
      </c>
      <c r="O519" t="n">
        <v>0</v>
      </c>
      <c r="P519" t="n">
        <v>0</v>
      </c>
      <c r="Q519" t="n">
        <v>0</v>
      </c>
      <c r="R519" s="2" t="inlineStr"/>
    </row>
    <row r="520" ht="15" customHeight="1">
      <c r="A520" t="inlineStr">
        <is>
          <t>A 50784-2022</t>
        </is>
      </c>
      <c r="B520" s="1" t="n">
        <v>44862</v>
      </c>
      <c r="C520" s="1" t="n">
        <v>46032</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944-2026</t>
        </is>
      </c>
      <c r="B521" s="1" t="n">
        <v>46030.53461805556</v>
      </c>
      <c r="C521" s="1" t="n">
        <v>46032</v>
      </c>
      <c r="D521" t="inlineStr">
        <is>
          <t>ÖSTERGÖTLANDS LÄN</t>
        </is>
      </c>
      <c r="E521" t="inlineStr">
        <is>
          <t>LINKÖPING</t>
        </is>
      </c>
      <c r="F521" t="inlineStr">
        <is>
          <t>Allmännings- och besparingsskogar</t>
        </is>
      </c>
      <c r="G521" t="n">
        <v>0.9</v>
      </c>
      <c r="H521" t="n">
        <v>0</v>
      </c>
      <c r="I521" t="n">
        <v>0</v>
      </c>
      <c r="J521" t="n">
        <v>0</v>
      </c>
      <c r="K521" t="n">
        <v>0</v>
      </c>
      <c r="L521" t="n">
        <v>0</v>
      </c>
      <c r="M521" t="n">
        <v>0</v>
      </c>
      <c r="N521" t="n">
        <v>0</v>
      </c>
      <c r="O521" t="n">
        <v>0</v>
      </c>
      <c r="P521" t="n">
        <v>0</v>
      </c>
      <c r="Q521" t="n">
        <v>0</v>
      </c>
      <c r="R521" s="2" t="inlineStr"/>
    </row>
    <row r="522" ht="15" customHeight="1">
      <c r="A522" t="inlineStr">
        <is>
          <t>A 26803-2024</t>
        </is>
      </c>
      <c r="B522" s="1" t="n">
        <v>45470</v>
      </c>
      <c r="C522" s="1" t="n">
        <v>46032</v>
      </c>
      <c r="D522" t="inlineStr">
        <is>
          <t>ÖSTERGÖTLANDS LÄN</t>
        </is>
      </c>
      <c r="E522" t="inlineStr">
        <is>
          <t>LINKÖPING</t>
        </is>
      </c>
      <c r="F522" t="inlineStr">
        <is>
          <t>Allmännings- och besparingsskogar</t>
        </is>
      </c>
      <c r="G522" t="n">
        <v>4.5</v>
      </c>
      <c r="H522" t="n">
        <v>0</v>
      </c>
      <c r="I522" t="n">
        <v>0</v>
      </c>
      <c r="J522" t="n">
        <v>0</v>
      </c>
      <c r="K522" t="n">
        <v>0</v>
      </c>
      <c r="L522" t="n">
        <v>0</v>
      </c>
      <c r="M522" t="n">
        <v>0</v>
      </c>
      <c r="N522" t="n">
        <v>0</v>
      </c>
      <c r="O522" t="n">
        <v>0</v>
      </c>
      <c r="P522" t="n">
        <v>0</v>
      </c>
      <c r="Q522" t="n">
        <v>0</v>
      </c>
      <c r="R522" s="2" t="inlineStr"/>
    </row>
    <row r="523" ht="15" customHeight="1">
      <c r="A523" t="inlineStr">
        <is>
          <t>A 19187-2021</t>
        </is>
      </c>
      <c r="B523" s="1" t="n">
        <v>44308</v>
      </c>
      <c r="C523" s="1" t="n">
        <v>46032</v>
      </c>
      <c r="D523" t="inlineStr">
        <is>
          <t>ÖSTERGÖTLANDS LÄN</t>
        </is>
      </c>
      <c r="E523" t="inlineStr">
        <is>
          <t>LINKÖPING</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1223-2026</t>
        </is>
      </c>
      <c r="B524" s="1" t="n">
        <v>46031.40233796297</v>
      </c>
      <c r="C524" s="1" t="n">
        <v>46032</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59472-2025</t>
        </is>
      </c>
      <c r="B525" s="1" t="n">
        <v>45989.58321759259</v>
      </c>
      <c r="C525" s="1" t="n">
        <v>46032</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60472-2022</t>
        </is>
      </c>
      <c r="B526" s="1" t="n">
        <v>44911.41037037037</v>
      </c>
      <c r="C526" s="1" t="n">
        <v>46032</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859-2026</t>
        </is>
      </c>
      <c r="B527" s="1" t="n">
        <v>46030.41450231482</v>
      </c>
      <c r="C527" s="1" t="n">
        <v>46032</v>
      </c>
      <c r="D527" t="inlineStr">
        <is>
          <t>ÖSTERGÖTLANDS LÄN</t>
        </is>
      </c>
      <c r="E527" t="inlineStr">
        <is>
          <t>LINKÖPING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856-2026</t>
        </is>
      </c>
      <c r="B528" s="1" t="n">
        <v>46030.40644675926</v>
      </c>
      <c r="C528" s="1" t="n">
        <v>46032</v>
      </c>
      <c r="D528" t="inlineStr">
        <is>
          <t>ÖSTERGÖTLANDS LÄN</t>
        </is>
      </c>
      <c r="E528" t="inlineStr">
        <is>
          <t>LINKÖPING</t>
        </is>
      </c>
      <c r="G528" t="n">
        <v>6.4</v>
      </c>
      <c r="H528" t="n">
        <v>0</v>
      </c>
      <c r="I528" t="n">
        <v>0</v>
      </c>
      <c r="J528" t="n">
        <v>0</v>
      </c>
      <c r="K528" t="n">
        <v>0</v>
      </c>
      <c r="L528" t="n">
        <v>0</v>
      </c>
      <c r="M528" t="n">
        <v>0</v>
      </c>
      <c r="N528" t="n">
        <v>0</v>
      </c>
      <c r="O528" t="n">
        <v>0</v>
      </c>
      <c r="P528" t="n">
        <v>0</v>
      </c>
      <c r="Q528" t="n">
        <v>0</v>
      </c>
      <c r="R528" s="2" t="inlineStr"/>
    </row>
    <row r="529" ht="15" customHeight="1">
      <c r="A529" t="inlineStr">
        <is>
          <t>A 43934-2023</t>
        </is>
      </c>
      <c r="B529" s="1" t="n">
        <v>45187</v>
      </c>
      <c r="C529" s="1" t="n">
        <v>46032</v>
      </c>
      <c r="D529" t="inlineStr">
        <is>
          <t>ÖSTERGÖTLANDS LÄN</t>
        </is>
      </c>
      <c r="E529" t="inlineStr">
        <is>
          <t>LINKÖPING</t>
        </is>
      </c>
      <c r="F529" t="inlineStr">
        <is>
          <t>Övriga Aktiebolag</t>
        </is>
      </c>
      <c r="G529" t="n">
        <v>3.8</v>
      </c>
      <c r="H529" t="n">
        <v>0</v>
      </c>
      <c r="I529" t="n">
        <v>0</v>
      </c>
      <c r="J529" t="n">
        <v>0</v>
      </c>
      <c r="K529" t="n">
        <v>0</v>
      </c>
      <c r="L529" t="n">
        <v>0</v>
      </c>
      <c r="M529" t="n">
        <v>0</v>
      </c>
      <c r="N529" t="n">
        <v>0</v>
      </c>
      <c r="O529" t="n">
        <v>0</v>
      </c>
      <c r="P529" t="n">
        <v>0</v>
      </c>
      <c r="Q529" t="n">
        <v>0</v>
      </c>
      <c r="R529" s="2" t="inlineStr"/>
    </row>
    <row r="530" ht="15" customHeight="1">
      <c r="A530" t="inlineStr">
        <is>
          <t>A 22774-2024</t>
        </is>
      </c>
      <c r="B530" s="1" t="n">
        <v>45448.46924768519</v>
      </c>
      <c r="C530" s="1" t="n">
        <v>46032</v>
      </c>
      <c r="D530" t="inlineStr">
        <is>
          <t>ÖSTERGÖTLANDS LÄN</t>
        </is>
      </c>
      <c r="E530" t="inlineStr">
        <is>
          <t>LINKÖPING</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22778-2024</t>
        </is>
      </c>
      <c r="B531" s="1" t="n">
        <v>45448.47233796296</v>
      </c>
      <c r="C531" s="1" t="n">
        <v>46032</v>
      </c>
      <c r="D531" t="inlineStr">
        <is>
          <t>ÖSTERGÖTLANDS LÄN</t>
        </is>
      </c>
      <c r="E531" t="inlineStr">
        <is>
          <t>LINKÖPING</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927-2026</t>
        </is>
      </c>
      <c r="B532" s="1" t="n">
        <v>46030.50560185185</v>
      </c>
      <c r="C532" s="1" t="n">
        <v>46032</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1209-2023</t>
        </is>
      </c>
      <c r="B533" s="1" t="n">
        <v>44930</v>
      </c>
      <c r="C533" s="1" t="n">
        <v>46032</v>
      </c>
      <c r="D533" t="inlineStr">
        <is>
          <t>ÖSTERGÖTLANDS LÄN</t>
        </is>
      </c>
      <c r="E533" t="inlineStr">
        <is>
          <t>LINKÖPING</t>
        </is>
      </c>
      <c r="F533" t="inlineStr">
        <is>
          <t>Övriga statliga verk och myndigheter</t>
        </is>
      </c>
      <c r="G533" t="n">
        <v>25.8</v>
      </c>
      <c r="H533" t="n">
        <v>0</v>
      </c>
      <c r="I533" t="n">
        <v>0</v>
      </c>
      <c r="J533" t="n">
        <v>0</v>
      </c>
      <c r="K533" t="n">
        <v>0</v>
      </c>
      <c r="L533" t="n">
        <v>0</v>
      </c>
      <c r="M533" t="n">
        <v>0</v>
      </c>
      <c r="N533" t="n">
        <v>0</v>
      </c>
      <c r="O533" t="n">
        <v>0</v>
      </c>
      <c r="P533" t="n">
        <v>0</v>
      </c>
      <c r="Q533" t="n">
        <v>0</v>
      </c>
      <c r="R533" s="2" t="inlineStr"/>
    </row>
    <row r="534" ht="15" customHeight="1">
      <c r="A534" t="inlineStr">
        <is>
          <t>A 10407-2025</t>
        </is>
      </c>
      <c r="B534" s="1" t="n">
        <v>45720.62863425926</v>
      </c>
      <c r="C534" s="1" t="n">
        <v>46032</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11590-2023</t>
        </is>
      </c>
      <c r="B535" s="1" t="n">
        <v>44994.36689814815</v>
      </c>
      <c r="C535" s="1" t="n">
        <v>46032</v>
      </c>
      <c r="D535" t="inlineStr">
        <is>
          <t>ÖSTERGÖTLANDS LÄN</t>
        </is>
      </c>
      <c r="E535" t="inlineStr">
        <is>
          <t>LINKÖPING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19169-2023</t>
        </is>
      </c>
      <c r="B536" s="1" t="n">
        <v>45044</v>
      </c>
      <c r="C536" s="1" t="n">
        <v>46032</v>
      </c>
      <c r="D536" t="inlineStr">
        <is>
          <t>ÖSTERGÖTLANDS LÄN</t>
        </is>
      </c>
      <c r="E536" t="inlineStr">
        <is>
          <t>LINKÖPING</t>
        </is>
      </c>
      <c r="G536" t="n">
        <v>2.7</v>
      </c>
      <c r="H536" t="n">
        <v>0</v>
      </c>
      <c r="I536" t="n">
        <v>0</v>
      </c>
      <c r="J536" t="n">
        <v>0</v>
      </c>
      <c r="K536" t="n">
        <v>0</v>
      </c>
      <c r="L536" t="n">
        <v>0</v>
      </c>
      <c r="M536" t="n">
        <v>0</v>
      </c>
      <c r="N536" t="n">
        <v>0</v>
      </c>
      <c r="O536" t="n">
        <v>0</v>
      </c>
      <c r="P536" t="n">
        <v>0</v>
      </c>
      <c r="Q536" t="n">
        <v>0</v>
      </c>
      <c r="R536" s="2" t="inlineStr"/>
    </row>
    <row r="537" ht="15" customHeight="1">
      <c r="A537" t="inlineStr">
        <is>
          <t>A 940-2026</t>
        </is>
      </c>
      <c r="B537" s="1" t="n">
        <v>46030.53052083333</v>
      </c>
      <c r="C537" s="1" t="n">
        <v>46032</v>
      </c>
      <c r="D537" t="inlineStr">
        <is>
          <t>ÖSTERGÖTLANDS LÄN</t>
        </is>
      </c>
      <c r="E537" t="inlineStr">
        <is>
          <t>LINKÖPING</t>
        </is>
      </c>
      <c r="F537" t="inlineStr">
        <is>
          <t>Allmännings- och besparingsskogar</t>
        </is>
      </c>
      <c r="G537" t="n">
        <v>2.9</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46032</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46032</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14093-2024</t>
        </is>
      </c>
      <c r="B540" s="1" t="n">
        <v>45392.60278935185</v>
      </c>
      <c r="C540" s="1" t="n">
        <v>46032</v>
      </c>
      <c r="D540" t="inlineStr">
        <is>
          <t>ÖSTERGÖTLANDS LÄN</t>
        </is>
      </c>
      <c r="E540" t="inlineStr">
        <is>
          <t>LINKÖPING</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62019-2024</t>
        </is>
      </c>
      <c r="B541" s="1" t="n">
        <v>45655.82</v>
      </c>
      <c r="C541" s="1" t="n">
        <v>46032</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25119-2023</t>
        </is>
      </c>
      <c r="B542" s="1" t="n">
        <v>45086.42326388889</v>
      </c>
      <c r="C542" s="1" t="n">
        <v>46032</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57396-2021</t>
        </is>
      </c>
      <c r="B543" s="1" t="n">
        <v>44483.56151620371</v>
      </c>
      <c r="C543" s="1" t="n">
        <v>46032</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51571-2024</t>
        </is>
      </c>
      <c r="B544" s="1" t="n">
        <v>45604</v>
      </c>
      <c r="C544" s="1" t="n">
        <v>46032</v>
      </c>
      <c r="D544" t="inlineStr">
        <is>
          <t>ÖSTERGÖTLANDS LÄN</t>
        </is>
      </c>
      <c r="E544" t="inlineStr">
        <is>
          <t>LINKÖPING</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17143-2025</t>
        </is>
      </c>
      <c r="B545" s="1" t="n">
        <v>45755.92731481481</v>
      </c>
      <c r="C545" s="1" t="n">
        <v>46032</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17124-2025</t>
        </is>
      </c>
      <c r="B546" s="1" t="n">
        <v>45755.69678240741</v>
      </c>
      <c r="C546" s="1" t="n">
        <v>46032</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17126-2025</t>
        </is>
      </c>
      <c r="B547" s="1" t="n">
        <v>45755.70814814815</v>
      </c>
      <c r="C547" s="1" t="n">
        <v>46032</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31640-2023</t>
        </is>
      </c>
      <c r="B548" s="1" t="n">
        <v>45117</v>
      </c>
      <c r="C548" s="1" t="n">
        <v>46032</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11790-2024</t>
        </is>
      </c>
      <c r="B549" s="1" t="n">
        <v>45374</v>
      </c>
      <c r="C549" s="1" t="n">
        <v>46032</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61281-2021</t>
        </is>
      </c>
      <c r="B550" s="1" t="n">
        <v>44498.60736111111</v>
      </c>
      <c r="C550" s="1" t="n">
        <v>46032</v>
      </c>
      <c r="D550" t="inlineStr">
        <is>
          <t>ÖSTERGÖTLANDS LÄN</t>
        </is>
      </c>
      <c r="E550" t="inlineStr">
        <is>
          <t>LINKÖPING</t>
        </is>
      </c>
      <c r="G550" t="n">
        <v>4.5</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46032</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168-2024</t>
        </is>
      </c>
      <c r="B552" s="1" t="n">
        <v>45294</v>
      </c>
      <c r="C552" s="1" t="n">
        <v>46032</v>
      </c>
      <c r="D552" t="inlineStr">
        <is>
          <t>ÖSTERGÖTLANDS LÄN</t>
        </is>
      </c>
      <c r="E552" t="inlineStr">
        <is>
          <t>LINKÖPING</t>
        </is>
      </c>
      <c r="F552" t="inlineStr">
        <is>
          <t>Allmännings- och besparingsskogar</t>
        </is>
      </c>
      <c r="G552" t="n">
        <v>8.9</v>
      </c>
      <c r="H552" t="n">
        <v>0</v>
      </c>
      <c r="I552" t="n">
        <v>0</v>
      </c>
      <c r="J552" t="n">
        <v>0</v>
      </c>
      <c r="K552" t="n">
        <v>0</v>
      </c>
      <c r="L552" t="n">
        <v>0</v>
      </c>
      <c r="M552" t="n">
        <v>0</v>
      </c>
      <c r="N552" t="n">
        <v>0</v>
      </c>
      <c r="O552" t="n">
        <v>0</v>
      </c>
      <c r="P552" t="n">
        <v>0</v>
      </c>
      <c r="Q552" t="n">
        <v>0</v>
      </c>
      <c r="R552" s="2" t="inlineStr"/>
    </row>
    <row r="553" ht="15" customHeight="1">
      <c r="A553" t="inlineStr">
        <is>
          <t>A 51919-2024</t>
        </is>
      </c>
      <c r="B553" s="1" t="n">
        <v>45607.60791666667</v>
      </c>
      <c r="C553" s="1" t="n">
        <v>46032</v>
      </c>
      <c r="D553" t="inlineStr">
        <is>
          <t>ÖSTERGÖTLANDS LÄN</t>
        </is>
      </c>
      <c r="E553" t="inlineStr">
        <is>
          <t>LINKÖPING</t>
        </is>
      </c>
      <c r="G553" t="n">
        <v>2.5</v>
      </c>
      <c r="H553" t="n">
        <v>0</v>
      </c>
      <c r="I553" t="n">
        <v>0</v>
      </c>
      <c r="J553" t="n">
        <v>0</v>
      </c>
      <c r="K553" t="n">
        <v>0</v>
      </c>
      <c r="L553" t="n">
        <v>0</v>
      </c>
      <c r="M553" t="n">
        <v>0</v>
      </c>
      <c r="N553" t="n">
        <v>0</v>
      </c>
      <c r="O553" t="n">
        <v>0</v>
      </c>
      <c r="P553" t="n">
        <v>0</v>
      </c>
      <c r="Q553" t="n">
        <v>0</v>
      </c>
      <c r="R553" s="2" t="inlineStr"/>
    </row>
    <row r="554" ht="15" customHeight="1">
      <c r="A554" t="inlineStr">
        <is>
          <t>A 56623-2024</t>
        </is>
      </c>
      <c r="B554" s="1" t="n">
        <v>45625</v>
      </c>
      <c r="C554" s="1" t="n">
        <v>46032</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11330-2023</t>
        </is>
      </c>
      <c r="B555" s="1" t="n">
        <v>44993.24648148148</v>
      </c>
      <c r="C555" s="1" t="n">
        <v>46032</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63304-2021</t>
        </is>
      </c>
      <c r="B556" s="1" t="n">
        <v>44508.4396412037</v>
      </c>
      <c r="C556" s="1" t="n">
        <v>46032</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14528-2025</t>
        </is>
      </c>
      <c r="B557" s="1" t="n">
        <v>45741</v>
      </c>
      <c r="C557" s="1" t="n">
        <v>46032</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3530-2024</t>
        </is>
      </c>
      <c r="B558" s="1" t="n">
        <v>45320.54717592592</v>
      </c>
      <c r="C558" s="1" t="n">
        <v>46032</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62073-2023</t>
        </is>
      </c>
      <c r="B559" s="1" t="n">
        <v>45266.73844907407</v>
      </c>
      <c r="C559" s="1" t="n">
        <v>46032</v>
      </c>
      <c r="D559" t="inlineStr">
        <is>
          <t>ÖSTERGÖTLANDS LÄN</t>
        </is>
      </c>
      <c r="E559" t="inlineStr">
        <is>
          <t>LINKÖPING</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5872-2025</t>
        </is>
      </c>
      <c r="B560" s="1" t="n">
        <v>45695.36659722222</v>
      </c>
      <c r="C560" s="1" t="n">
        <v>46032</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53814-2023</t>
        </is>
      </c>
      <c r="B561" s="1" t="n">
        <v>45231</v>
      </c>
      <c r="C561" s="1" t="n">
        <v>46032</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3432-2023</t>
        </is>
      </c>
      <c r="B562" s="1" t="n">
        <v>44949</v>
      </c>
      <c r="C562" s="1" t="n">
        <v>46032</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54425-2022</t>
        </is>
      </c>
      <c r="B563" s="1" t="n">
        <v>44882.57453703704</v>
      </c>
      <c r="C563" s="1" t="n">
        <v>46032</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54428-2022</t>
        </is>
      </c>
      <c r="B564" s="1" t="n">
        <v>44882.57643518518</v>
      </c>
      <c r="C564" s="1" t="n">
        <v>46032</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660-2023</t>
        </is>
      </c>
      <c r="B565" s="1" t="n">
        <v>44930</v>
      </c>
      <c r="C565" s="1" t="n">
        <v>46032</v>
      </c>
      <c r="D565" t="inlineStr">
        <is>
          <t>ÖSTERGÖTLANDS LÄN</t>
        </is>
      </c>
      <c r="E565" t="inlineStr">
        <is>
          <t>LINKÖPING</t>
        </is>
      </c>
      <c r="F565" t="inlineStr">
        <is>
          <t>Kyrkan</t>
        </is>
      </c>
      <c r="G565" t="n">
        <v>1.6</v>
      </c>
      <c r="H565" t="n">
        <v>0</v>
      </c>
      <c r="I565" t="n">
        <v>0</v>
      </c>
      <c r="J565" t="n">
        <v>0</v>
      </c>
      <c r="K565" t="n">
        <v>0</v>
      </c>
      <c r="L565" t="n">
        <v>0</v>
      </c>
      <c r="M565" t="n">
        <v>0</v>
      </c>
      <c r="N565" t="n">
        <v>0</v>
      </c>
      <c r="O565" t="n">
        <v>0</v>
      </c>
      <c r="P565" t="n">
        <v>0</v>
      </c>
      <c r="Q565" t="n">
        <v>0</v>
      </c>
      <c r="R565" s="2" t="inlineStr"/>
    </row>
    <row r="566" ht="15" customHeight="1">
      <c r="A566" t="inlineStr">
        <is>
          <t>A 62501-2023</t>
        </is>
      </c>
      <c r="B566" s="1" t="n">
        <v>45268</v>
      </c>
      <c r="C566" s="1" t="n">
        <v>46032</v>
      </c>
      <c r="D566" t="inlineStr">
        <is>
          <t>ÖSTERGÖTLANDS LÄN</t>
        </is>
      </c>
      <c r="E566" t="inlineStr">
        <is>
          <t>LINKÖPING</t>
        </is>
      </c>
      <c r="G566" t="n">
        <v>7.4</v>
      </c>
      <c r="H566" t="n">
        <v>0</v>
      </c>
      <c r="I566" t="n">
        <v>0</v>
      </c>
      <c r="J566" t="n">
        <v>0</v>
      </c>
      <c r="K566" t="n">
        <v>0</v>
      </c>
      <c r="L566" t="n">
        <v>0</v>
      </c>
      <c r="M566" t="n">
        <v>0</v>
      </c>
      <c r="N566" t="n">
        <v>0</v>
      </c>
      <c r="O566" t="n">
        <v>0</v>
      </c>
      <c r="P566" t="n">
        <v>0</v>
      </c>
      <c r="Q566" t="n">
        <v>0</v>
      </c>
      <c r="R566" s="2" t="inlineStr"/>
    </row>
    <row r="567" ht="15" customHeight="1">
      <c r="A567" t="inlineStr">
        <is>
          <t>A 13413-2023</t>
        </is>
      </c>
      <c r="B567" s="1" t="n">
        <v>45005.58341435185</v>
      </c>
      <c r="C567" s="1" t="n">
        <v>46032</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26620-2023</t>
        </is>
      </c>
      <c r="B568" s="1" t="n">
        <v>45092.70390046296</v>
      </c>
      <c r="C568" s="1" t="n">
        <v>46032</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16462-2021</t>
        </is>
      </c>
      <c r="B569" s="1" t="n">
        <v>44293</v>
      </c>
      <c r="C569" s="1" t="n">
        <v>46032</v>
      </c>
      <c r="D569" t="inlineStr">
        <is>
          <t>ÖSTERGÖTLANDS LÄN</t>
        </is>
      </c>
      <c r="E569" t="inlineStr">
        <is>
          <t>LINKÖPING</t>
        </is>
      </c>
      <c r="F569" t="inlineStr">
        <is>
          <t>Allmännings- och besparingsskogar</t>
        </is>
      </c>
      <c r="G569" t="n">
        <v>24.7</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46032</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46032</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46032</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16820-2024</t>
        </is>
      </c>
      <c r="B573" s="1" t="n">
        <v>45411.46809027778</v>
      </c>
      <c r="C573" s="1" t="n">
        <v>46032</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4456-2024</t>
        </is>
      </c>
      <c r="B574" s="1" t="n">
        <v>45327.52847222222</v>
      </c>
      <c r="C574" s="1" t="n">
        <v>46032</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20298-2025</t>
        </is>
      </c>
      <c r="B575" s="1" t="n">
        <v>45774.75024305555</v>
      </c>
      <c r="C575" s="1" t="n">
        <v>46032</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15121-2022</t>
        </is>
      </c>
      <c r="B576" s="1" t="n">
        <v>44658</v>
      </c>
      <c r="C576" s="1" t="n">
        <v>46032</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50743-2023</t>
        </is>
      </c>
      <c r="B577" s="1" t="n">
        <v>45217</v>
      </c>
      <c r="C577" s="1" t="n">
        <v>46032</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1440-2021</t>
        </is>
      </c>
      <c r="B578" s="1" t="n">
        <v>44208</v>
      </c>
      <c r="C578" s="1" t="n">
        <v>46032</v>
      </c>
      <c r="D578" t="inlineStr">
        <is>
          <t>ÖSTERGÖTLANDS LÄN</t>
        </is>
      </c>
      <c r="E578" t="inlineStr">
        <is>
          <t>LINKÖPING</t>
        </is>
      </c>
      <c r="G578" t="n">
        <v>8.4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46032</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46032</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20294-2025</t>
        </is>
      </c>
      <c r="B581" s="1" t="n">
        <v>45774.74667824074</v>
      </c>
      <c r="C581" s="1" t="n">
        <v>46032</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17128-2025</t>
        </is>
      </c>
      <c r="B582" s="1" t="n">
        <v>45755.72622685185</v>
      </c>
      <c r="C582" s="1" t="n">
        <v>46032</v>
      </c>
      <c r="D582" t="inlineStr">
        <is>
          <t>ÖSTERGÖTLANDS LÄN</t>
        </is>
      </c>
      <c r="E582" t="inlineStr">
        <is>
          <t>LINKÖPING</t>
        </is>
      </c>
      <c r="G582" t="n">
        <v>2.9</v>
      </c>
      <c r="H582" t="n">
        <v>0</v>
      </c>
      <c r="I582" t="n">
        <v>0</v>
      </c>
      <c r="J582" t="n">
        <v>0</v>
      </c>
      <c r="K582" t="n">
        <v>0</v>
      </c>
      <c r="L582" t="n">
        <v>0</v>
      </c>
      <c r="M582" t="n">
        <v>0</v>
      </c>
      <c r="N582" t="n">
        <v>0</v>
      </c>
      <c r="O582" t="n">
        <v>0</v>
      </c>
      <c r="P582" t="n">
        <v>0</v>
      </c>
      <c r="Q582" t="n">
        <v>0</v>
      </c>
      <c r="R582" s="2" t="inlineStr"/>
    </row>
    <row r="583" ht="15" customHeight="1">
      <c r="A583" t="inlineStr">
        <is>
          <t>A 52125-2022</t>
        </is>
      </c>
      <c r="B583" s="1" t="n">
        <v>44873</v>
      </c>
      <c r="C583" s="1" t="n">
        <v>46032</v>
      </c>
      <c r="D583" t="inlineStr">
        <is>
          <t>ÖSTERGÖTLANDS LÄN</t>
        </is>
      </c>
      <c r="E583" t="inlineStr">
        <is>
          <t>LINKÖPING</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27343-2023</t>
        </is>
      </c>
      <c r="B584" s="1" t="n">
        <v>45096</v>
      </c>
      <c r="C584" s="1" t="n">
        <v>46032</v>
      </c>
      <c r="D584" t="inlineStr">
        <is>
          <t>ÖSTERGÖTLANDS LÄN</t>
        </is>
      </c>
      <c r="E584" t="inlineStr">
        <is>
          <t>LINKÖPING</t>
        </is>
      </c>
      <c r="F584" t="inlineStr">
        <is>
          <t>Allmännings- och besparingsskogar</t>
        </is>
      </c>
      <c r="G584" t="n">
        <v>6.9</v>
      </c>
      <c r="H584" t="n">
        <v>0</v>
      </c>
      <c r="I584" t="n">
        <v>0</v>
      </c>
      <c r="J584" t="n">
        <v>0</v>
      </c>
      <c r="K584" t="n">
        <v>0</v>
      </c>
      <c r="L584" t="n">
        <v>0</v>
      </c>
      <c r="M584" t="n">
        <v>0</v>
      </c>
      <c r="N584" t="n">
        <v>0</v>
      </c>
      <c r="O584" t="n">
        <v>0</v>
      </c>
      <c r="P584" t="n">
        <v>0</v>
      </c>
      <c r="Q584" t="n">
        <v>0</v>
      </c>
      <c r="R584" s="2" t="inlineStr"/>
    </row>
    <row r="585" ht="15" customHeight="1">
      <c r="A585" t="inlineStr">
        <is>
          <t>A 22842-2023</t>
        </is>
      </c>
      <c r="B585" s="1" t="n">
        <v>45071</v>
      </c>
      <c r="C585" s="1" t="n">
        <v>46032</v>
      </c>
      <c r="D585" t="inlineStr">
        <is>
          <t>ÖSTERGÖTLANDS LÄN</t>
        </is>
      </c>
      <c r="E585" t="inlineStr">
        <is>
          <t>LINKÖPING</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14520-2025</t>
        </is>
      </c>
      <c r="B586" s="1" t="n">
        <v>45741</v>
      </c>
      <c r="C586" s="1" t="n">
        <v>46032</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31548-2022</t>
        </is>
      </c>
      <c r="B587" s="1" t="n">
        <v>44775.39832175926</v>
      </c>
      <c r="C587" s="1" t="n">
        <v>46032</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62017-2024</t>
        </is>
      </c>
      <c r="B588" s="1" t="n">
        <v>45655.81140046296</v>
      </c>
      <c r="C588" s="1" t="n">
        <v>46032</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17785-2023</t>
        </is>
      </c>
      <c r="B589" s="1" t="n">
        <v>45037.55094907407</v>
      </c>
      <c r="C589" s="1" t="n">
        <v>46032</v>
      </c>
      <c r="D589" t="inlineStr">
        <is>
          <t>ÖSTERGÖTLANDS LÄN</t>
        </is>
      </c>
      <c r="E589" t="inlineStr">
        <is>
          <t>LINKÖPING</t>
        </is>
      </c>
      <c r="F589" t="inlineStr">
        <is>
          <t>Allmännings- och besparingsskogar</t>
        </is>
      </c>
      <c r="G589" t="n">
        <v>3.1</v>
      </c>
      <c r="H589" t="n">
        <v>0</v>
      </c>
      <c r="I589" t="n">
        <v>0</v>
      </c>
      <c r="J589" t="n">
        <v>0</v>
      </c>
      <c r="K589" t="n">
        <v>0</v>
      </c>
      <c r="L589" t="n">
        <v>0</v>
      </c>
      <c r="M589" t="n">
        <v>0</v>
      </c>
      <c r="N589" t="n">
        <v>0</v>
      </c>
      <c r="O589" t="n">
        <v>0</v>
      </c>
      <c r="P589" t="n">
        <v>0</v>
      </c>
      <c r="Q589" t="n">
        <v>0</v>
      </c>
      <c r="R589" s="2" t="inlineStr"/>
    </row>
    <row r="590" ht="15" customHeight="1">
      <c r="A590" t="inlineStr">
        <is>
          <t>A 62686-2023</t>
        </is>
      </c>
      <c r="B590" s="1" t="n">
        <v>45271</v>
      </c>
      <c r="C590" s="1" t="n">
        <v>46032</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42044-2023</t>
        </is>
      </c>
      <c r="B591" s="1" t="n">
        <v>45177</v>
      </c>
      <c r="C591" s="1" t="n">
        <v>46032</v>
      </c>
      <c r="D591" t="inlineStr">
        <is>
          <t>ÖSTERGÖTLANDS LÄN</t>
        </is>
      </c>
      <c r="E591" t="inlineStr">
        <is>
          <t>LINKÖPING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5314-2021</t>
        </is>
      </c>
      <c r="B592" s="1" t="n">
        <v>44229</v>
      </c>
      <c r="C592" s="1" t="n">
        <v>46032</v>
      </c>
      <c r="D592" t="inlineStr">
        <is>
          <t>ÖSTERGÖTLANDS LÄN</t>
        </is>
      </c>
      <c r="E592" t="inlineStr">
        <is>
          <t>LINKÖPING</t>
        </is>
      </c>
      <c r="G592" t="n">
        <v>6.2</v>
      </c>
      <c r="H592" t="n">
        <v>0</v>
      </c>
      <c r="I592" t="n">
        <v>0</v>
      </c>
      <c r="J592" t="n">
        <v>0</v>
      </c>
      <c r="K592" t="n">
        <v>0</v>
      </c>
      <c r="L592" t="n">
        <v>0</v>
      </c>
      <c r="M592" t="n">
        <v>0</v>
      </c>
      <c r="N592" t="n">
        <v>0</v>
      </c>
      <c r="O592" t="n">
        <v>0</v>
      </c>
      <c r="P592" t="n">
        <v>0</v>
      </c>
      <c r="Q592" t="n">
        <v>0</v>
      </c>
      <c r="R592" s="2" t="inlineStr"/>
    </row>
    <row r="593" ht="15" customHeight="1">
      <c r="A593" t="inlineStr">
        <is>
          <t>A 49656-2021</t>
        </is>
      </c>
      <c r="B593" s="1" t="n">
        <v>44454</v>
      </c>
      <c r="C593" s="1" t="n">
        <v>46032</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38230-2023</t>
        </is>
      </c>
      <c r="B594" s="1" t="n">
        <v>45161.55373842592</v>
      </c>
      <c r="C594" s="1" t="n">
        <v>46032</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46032</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4908-2023</t>
        </is>
      </c>
      <c r="B596" s="1" t="n">
        <v>44958</v>
      </c>
      <c r="C596" s="1" t="n">
        <v>46032</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1265-2023</t>
        </is>
      </c>
      <c r="B597" s="1" t="n">
        <v>44936</v>
      </c>
      <c r="C597" s="1" t="n">
        <v>46032</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46032</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23491-2024</t>
        </is>
      </c>
      <c r="B599" s="1" t="n">
        <v>45453</v>
      </c>
      <c r="C599" s="1" t="n">
        <v>46032</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70-2024</t>
        </is>
      </c>
      <c r="B600" s="1" t="n">
        <v>45293</v>
      </c>
      <c r="C600" s="1" t="n">
        <v>46032</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6054-2022</t>
        </is>
      </c>
      <c r="B601" s="1" t="n">
        <v>44599.53623842593</v>
      </c>
      <c r="C601" s="1" t="n">
        <v>46032</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31725-2022</t>
        </is>
      </c>
      <c r="B602" s="1" t="n">
        <v>44776.48541666667</v>
      </c>
      <c r="C602" s="1" t="n">
        <v>46032</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57391-2023</t>
        </is>
      </c>
      <c r="B603" s="1" t="n">
        <v>45245</v>
      </c>
      <c r="C603" s="1" t="n">
        <v>46032</v>
      </c>
      <c r="D603" t="inlineStr">
        <is>
          <t>ÖSTERGÖTLANDS LÄN</t>
        </is>
      </c>
      <c r="E603" t="inlineStr">
        <is>
          <t>LINKÖPING</t>
        </is>
      </c>
      <c r="F603" t="inlineStr">
        <is>
          <t>Övriga Aktiebolag</t>
        </is>
      </c>
      <c r="G603" t="n">
        <v>1.7</v>
      </c>
      <c r="H603" t="n">
        <v>0</v>
      </c>
      <c r="I603" t="n">
        <v>0</v>
      </c>
      <c r="J603" t="n">
        <v>0</v>
      </c>
      <c r="K603" t="n">
        <v>0</v>
      </c>
      <c r="L603" t="n">
        <v>0</v>
      </c>
      <c r="M603" t="n">
        <v>0</v>
      </c>
      <c r="N603" t="n">
        <v>0</v>
      </c>
      <c r="O603" t="n">
        <v>0</v>
      </c>
      <c r="P603" t="n">
        <v>0</v>
      </c>
      <c r="Q603" t="n">
        <v>0</v>
      </c>
      <c r="R603" s="2" t="inlineStr"/>
    </row>
    <row r="604" ht="15" customHeight="1">
      <c r="A604" t="inlineStr">
        <is>
          <t>A 7992-2023</t>
        </is>
      </c>
      <c r="B604" s="1" t="n">
        <v>44970</v>
      </c>
      <c r="C604" s="1" t="n">
        <v>46032</v>
      </c>
      <c r="D604" t="inlineStr">
        <is>
          <t>ÖSTERGÖTLANDS LÄN</t>
        </is>
      </c>
      <c r="E604" t="inlineStr">
        <is>
          <t>LINKÖPING</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13689-2025</t>
        </is>
      </c>
      <c r="B605" s="1" t="n">
        <v>45737.31590277778</v>
      </c>
      <c r="C605" s="1" t="n">
        <v>46032</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13696-2025</t>
        </is>
      </c>
      <c r="B606" s="1" t="n">
        <v>45737.32273148148</v>
      </c>
      <c r="C606" s="1" t="n">
        <v>46032</v>
      </c>
      <c r="D606" t="inlineStr">
        <is>
          <t>ÖSTERGÖTLANDS LÄN</t>
        </is>
      </c>
      <c r="E606" t="inlineStr">
        <is>
          <t>LINKÖPING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1924-2024</t>
        </is>
      </c>
      <c r="B607" s="1" t="n">
        <v>45308</v>
      </c>
      <c r="C607" s="1" t="n">
        <v>46032</v>
      </c>
      <c r="D607" t="inlineStr">
        <is>
          <t>ÖSTERGÖTLANDS LÄN</t>
        </is>
      </c>
      <c r="E607" t="inlineStr">
        <is>
          <t>LINKÖPING</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32346-2023</t>
        </is>
      </c>
      <c r="B608" s="1" t="n">
        <v>45120</v>
      </c>
      <c r="C608" s="1" t="n">
        <v>46032</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50508-2024</t>
        </is>
      </c>
      <c r="B609" s="1" t="n">
        <v>45601.53907407408</v>
      </c>
      <c r="C609" s="1" t="n">
        <v>46032</v>
      </c>
      <c r="D609" t="inlineStr">
        <is>
          <t>ÖSTERGÖTLANDS LÄN</t>
        </is>
      </c>
      <c r="E609" t="inlineStr">
        <is>
          <t>LINKÖPING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7808-2022</t>
        </is>
      </c>
      <c r="B610" s="1" t="n">
        <v>44608</v>
      </c>
      <c r="C610" s="1" t="n">
        <v>46032</v>
      </c>
      <c r="D610" t="inlineStr">
        <is>
          <t>ÖSTERGÖTLANDS LÄN</t>
        </is>
      </c>
      <c r="E610" t="inlineStr">
        <is>
          <t>LINKÖPING</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27844-2024</t>
        </is>
      </c>
      <c r="B611" s="1" t="n">
        <v>45475.63047453704</v>
      </c>
      <c r="C611" s="1" t="n">
        <v>46032</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40810-2022</t>
        </is>
      </c>
      <c r="B612" s="1" t="n">
        <v>44824</v>
      </c>
      <c r="C612" s="1" t="n">
        <v>46032</v>
      </c>
      <c r="D612" t="inlineStr">
        <is>
          <t>ÖSTERGÖTLANDS LÄN</t>
        </is>
      </c>
      <c r="E612" t="inlineStr">
        <is>
          <t>LINKÖPING</t>
        </is>
      </c>
      <c r="G612" t="n">
        <v>2.8</v>
      </c>
      <c r="H612" t="n">
        <v>0</v>
      </c>
      <c r="I612" t="n">
        <v>0</v>
      </c>
      <c r="J612" t="n">
        <v>0</v>
      </c>
      <c r="K612" t="n">
        <v>0</v>
      </c>
      <c r="L612" t="n">
        <v>0</v>
      </c>
      <c r="M612" t="n">
        <v>0</v>
      </c>
      <c r="N612" t="n">
        <v>0</v>
      </c>
      <c r="O612" t="n">
        <v>0</v>
      </c>
      <c r="P612" t="n">
        <v>0</v>
      </c>
      <c r="Q612" t="n">
        <v>0</v>
      </c>
      <c r="R612" s="2" t="inlineStr"/>
    </row>
    <row r="613" ht="15" customHeight="1">
      <c r="A613" t="inlineStr">
        <is>
          <t>A 51559-2024</t>
        </is>
      </c>
      <c r="B613" s="1" t="n">
        <v>45604.61431712963</v>
      </c>
      <c r="C613" s="1" t="n">
        <v>46032</v>
      </c>
      <c r="D613" t="inlineStr">
        <is>
          <t>ÖSTERGÖTLANDS LÄN</t>
        </is>
      </c>
      <c r="E613" t="inlineStr">
        <is>
          <t>LINKÖPING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49979-2022</t>
        </is>
      </c>
      <c r="B614" s="1" t="n">
        <v>44865</v>
      </c>
      <c r="C614" s="1" t="n">
        <v>46032</v>
      </c>
      <c r="D614" t="inlineStr">
        <is>
          <t>ÖSTERGÖTLANDS LÄN</t>
        </is>
      </c>
      <c r="E614" t="inlineStr">
        <is>
          <t>LINKÖPING</t>
        </is>
      </c>
      <c r="F614" t="inlineStr">
        <is>
          <t>Övriga Aktiebolag</t>
        </is>
      </c>
      <c r="G614" t="n">
        <v>11.4</v>
      </c>
      <c r="H614" t="n">
        <v>0</v>
      </c>
      <c r="I614" t="n">
        <v>0</v>
      </c>
      <c r="J614" t="n">
        <v>0</v>
      </c>
      <c r="K614" t="n">
        <v>0</v>
      </c>
      <c r="L614" t="n">
        <v>0</v>
      </c>
      <c r="M614" t="n">
        <v>0</v>
      </c>
      <c r="N614" t="n">
        <v>0</v>
      </c>
      <c r="O614" t="n">
        <v>0</v>
      </c>
      <c r="P614" t="n">
        <v>0</v>
      </c>
      <c r="Q614" t="n">
        <v>0</v>
      </c>
      <c r="R614" s="2" t="inlineStr"/>
    </row>
    <row r="615" ht="15" customHeight="1">
      <c r="A615" t="inlineStr">
        <is>
          <t>A 39219-2021</t>
        </is>
      </c>
      <c r="B615" s="1" t="n">
        <v>44413</v>
      </c>
      <c r="C615" s="1" t="n">
        <v>46032</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39224-2021</t>
        </is>
      </c>
      <c r="B616" s="1" t="n">
        <v>44413</v>
      </c>
      <c r="C616" s="1" t="n">
        <v>46032</v>
      </c>
      <c r="D616" t="inlineStr">
        <is>
          <t>ÖSTERGÖTLANDS LÄN</t>
        </is>
      </c>
      <c r="E616" t="inlineStr">
        <is>
          <t>LINKÖPING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62495-2023</t>
        </is>
      </c>
      <c r="B617" s="1" t="n">
        <v>45268.59717592593</v>
      </c>
      <c r="C617" s="1" t="n">
        <v>46032</v>
      </c>
      <c r="D617" t="inlineStr">
        <is>
          <t>ÖSTERGÖTLANDS LÄN</t>
        </is>
      </c>
      <c r="E617" t="inlineStr">
        <is>
          <t>LINKÖPING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29413-2023</t>
        </is>
      </c>
      <c r="B618" s="1" t="n">
        <v>45106.46465277778</v>
      </c>
      <c r="C618" s="1" t="n">
        <v>46032</v>
      </c>
      <c r="D618" t="inlineStr">
        <is>
          <t>ÖSTERGÖTLANDS LÄN</t>
        </is>
      </c>
      <c r="E618" t="inlineStr">
        <is>
          <t>LINKÖPING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25948-2023</t>
        </is>
      </c>
      <c r="B619" s="1" t="n">
        <v>45090</v>
      </c>
      <c r="C619" s="1" t="n">
        <v>46032</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1627-2023</t>
        </is>
      </c>
      <c r="B620" s="1" t="n">
        <v>44937</v>
      </c>
      <c r="C620" s="1" t="n">
        <v>46032</v>
      </c>
      <c r="D620" t="inlineStr">
        <is>
          <t>ÖSTERGÖTLANDS LÄN</t>
        </is>
      </c>
      <c r="E620" t="inlineStr">
        <is>
          <t>LINKÖPING</t>
        </is>
      </c>
      <c r="G620" t="n">
        <v>10.8</v>
      </c>
      <c r="H620" t="n">
        <v>0</v>
      </c>
      <c r="I620" t="n">
        <v>0</v>
      </c>
      <c r="J620" t="n">
        <v>0</v>
      </c>
      <c r="K620" t="n">
        <v>0</v>
      </c>
      <c r="L620" t="n">
        <v>0</v>
      </c>
      <c r="M620" t="n">
        <v>0</v>
      </c>
      <c r="N620" t="n">
        <v>0</v>
      </c>
      <c r="O620" t="n">
        <v>0</v>
      </c>
      <c r="P620" t="n">
        <v>0</v>
      </c>
      <c r="Q620" t="n">
        <v>0</v>
      </c>
      <c r="R620" s="2" t="inlineStr"/>
    </row>
    <row r="621" ht="15" customHeight="1">
      <c r="A621" t="inlineStr">
        <is>
          <t>A 30481-2023</t>
        </is>
      </c>
      <c r="B621" s="1" t="n">
        <v>45111</v>
      </c>
      <c r="C621" s="1" t="n">
        <v>46032</v>
      </c>
      <c r="D621" t="inlineStr">
        <is>
          <t>ÖSTERGÖTLANDS LÄN</t>
        </is>
      </c>
      <c r="E621" t="inlineStr">
        <is>
          <t>LINKÖPING</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21782-2024</t>
        </is>
      </c>
      <c r="B622" s="1" t="n">
        <v>45442.63368055555</v>
      </c>
      <c r="C622" s="1" t="n">
        <v>46032</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46032</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3013-2023</t>
        </is>
      </c>
      <c r="B624" s="1" t="n">
        <v>44945.8092824074</v>
      </c>
      <c r="C624" s="1" t="n">
        <v>46032</v>
      </c>
      <c r="D624" t="inlineStr">
        <is>
          <t>ÖSTERGÖTLANDS LÄN</t>
        </is>
      </c>
      <c r="E624" t="inlineStr">
        <is>
          <t>LINKÖPING</t>
        </is>
      </c>
      <c r="G624" t="n">
        <v>5.2</v>
      </c>
      <c r="H624" t="n">
        <v>0</v>
      </c>
      <c r="I624" t="n">
        <v>0</v>
      </c>
      <c r="J624" t="n">
        <v>0</v>
      </c>
      <c r="K624" t="n">
        <v>0</v>
      </c>
      <c r="L624" t="n">
        <v>0</v>
      </c>
      <c r="M624" t="n">
        <v>0</v>
      </c>
      <c r="N624" t="n">
        <v>0</v>
      </c>
      <c r="O624" t="n">
        <v>0</v>
      </c>
      <c r="P624" t="n">
        <v>0</v>
      </c>
      <c r="Q624" t="n">
        <v>0</v>
      </c>
      <c r="R624" s="2" t="inlineStr"/>
    </row>
    <row r="625" ht="15" customHeight="1">
      <c r="A625" t="inlineStr">
        <is>
          <t>A 49747-2024</t>
        </is>
      </c>
      <c r="B625" s="1" t="n">
        <v>45596</v>
      </c>
      <c r="C625" s="1" t="n">
        <v>46032</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42997-2021</t>
        </is>
      </c>
      <c r="B626" s="1" t="n">
        <v>44431.45556712963</v>
      </c>
      <c r="C626" s="1" t="n">
        <v>46032</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3011-2023</t>
        </is>
      </c>
      <c r="B627" s="1" t="n">
        <v>44945</v>
      </c>
      <c r="C627" s="1" t="n">
        <v>46032</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23735-2023</t>
        </is>
      </c>
      <c r="B628" s="1" t="n">
        <v>45077</v>
      </c>
      <c r="C628" s="1" t="n">
        <v>46032</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45821-2024</t>
        </is>
      </c>
      <c r="B629" s="1" t="n">
        <v>45579.75803240741</v>
      </c>
      <c r="C629" s="1" t="n">
        <v>46032</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53647-2021</t>
        </is>
      </c>
      <c r="B630" s="1" t="n">
        <v>44469</v>
      </c>
      <c r="C630" s="1" t="n">
        <v>46032</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6599-2023</t>
        </is>
      </c>
      <c r="B631" s="1" t="n">
        <v>44966.52603009259</v>
      </c>
      <c r="C631" s="1" t="n">
        <v>46032</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35735-2023</t>
        </is>
      </c>
      <c r="B632" s="1" t="n">
        <v>45147</v>
      </c>
      <c r="C632" s="1" t="n">
        <v>46032</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45831-2024</t>
        </is>
      </c>
      <c r="B633" s="1" t="n">
        <v>45579.90508101852</v>
      </c>
      <c r="C633" s="1" t="n">
        <v>46032</v>
      </c>
      <c r="D633" t="inlineStr">
        <is>
          <t>ÖSTERGÖTLANDS LÄN</t>
        </is>
      </c>
      <c r="E633" t="inlineStr">
        <is>
          <t>LINKÖPING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17157-2024</t>
        </is>
      </c>
      <c r="B634" s="1" t="n">
        <v>45412.70567129629</v>
      </c>
      <c r="C634" s="1" t="n">
        <v>46032</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37154-2023</t>
        </is>
      </c>
      <c r="B635" s="1" t="n">
        <v>45155</v>
      </c>
      <c r="C635" s="1" t="n">
        <v>46032</v>
      </c>
      <c r="D635" t="inlineStr">
        <is>
          <t>ÖSTERGÖTLANDS LÄN</t>
        </is>
      </c>
      <c r="E635" t="inlineStr">
        <is>
          <t>LINKÖPING</t>
        </is>
      </c>
      <c r="G635" t="n">
        <v>1.7</v>
      </c>
      <c r="H635" t="n">
        <v>0</v>
      </c>
      <c r="I635" t="n">
        <v>0</v>
      </c>
      <c r="J635" t="n">
        <v>0</v>
      </c>
      <c r="K635" t="n">
        <v>0</v>
      </c>
      <c r="L635" t="n">
        <v>0</v>
      </c>
      <c r="M635" t="n">
        <v>0</v>
      </c>
      <c r="N635" t="n">
        <v>0</v>
      </c>
      <c r="O635" t="n">
        <v>0</v>
      </c>
      <c r="P635" t="n">
        <v>0</v>
      </c>
      <c r="Q635" t="n">
        <v>0</v>
      </c>
      <c r="R635" s="2" t="inlineStr"/>
    </row>
    <row r="636" ht="15" customHeight="1">
      <c r="A636" t="inlineStr">
        <is>
          <t>A 53812-2023</t>
        </is>
      </c>
      <c r="B636" s="1" t="n">
        <v>45231.39583333334</v>
      </c>
      <c r="C636" s="1" t="n">
        <v>46032</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53830-2023</t>
        </is>
      </c>
      <c r="B637" s="1" t="n">
        <v>45230</v>
      </c>
      <c r="C637" s="1" t="n">
        <v>46032</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56841-2023</t>
        </is>
      </c>
      <c r="B638" s="1" t="n">
        <v>45244</v>
      </c>
      <c r="C638" s="1" t="n">
        <v>46032</v>
      </c>
      <c r="D638" t="inlineStr">
        <is>
          <t>ÖSTERGÖTLANDS LÄN</t>
        </is>
      </c>
      <c r="E638" t="inlineStr">
        <is>
          <t>LINKÖPING</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56741-2023</t>
        </is>
      </c>
      <c r="B639" s="1" t="n">
        <v>45244</v>
      </c>
      <c r="C639" s="1" t="n">
        <v>46032</v>
      </c>
      <c r="D639" t="inlineStr">
        <is>
          <t>ÖSTERGÖTLANDS LÄN</t>
        </is>
      </c>
      <c r="E639" t="inlineStr">
        <is>
          <t>LINKÖPING</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53816-2023</t>
        </is>
      </c>
      <c r="B640" s="1" t="n">
        <v>45231.40012731482</v>
      </c>
      <c r="C640" s="1" t="n">
        <v>46032</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63935-2021</t>
        </is>
      </c>
      <c r="B641" s="1" t="n">
        <v>44509</v>
      </c>
      <c r="C641" s="1" t="n">
        <v>46032</v>
      </c>
      <c r="D641" t="inlineStr">
        <is>
          <t>ÖSTERGÖTLANDS LÄN</t>
        </is>
      </c>
      <c r="E641" t="inlineStr">
        <is>
          <t>LINKÖPING</t>
        </is>
      </c>
      <c r="F641" t="inlineStr">
        <is>
          <t>Övriga statliga verk och myndigheter</t>
        </is>
      </c>
      <c r="G641" t="n">
        <v>2.8</v>
      </c>
      <c r="H641" t="n">
        <v>0</v>
      </c>
      <c r="I641" t="n">
        <v>0</v>
      </c>
      <c r="J641" t="n">
        <v>0</v>
      </c>
      <c r="K641" t="n">
        <v>0</v>
      </c>
      <c r="L641" t="n">
        <v>0</v>
      </c>
      <c r="M641" t="n">
        <v>0</v>
      </c>
      <c r="N641" t="n">
        <v>0</v>
      </c>
      <c r="O641" t="n">
        <v>0</v>
      </c>
      <c r="P641" t="n">
        <v>0</v>
      </c>
      <c r="Q641" t="n">
        <v>0</v>
      </c>
      <c r="R641" s="2" t="inlineStr"/>
    </row>
    <row r="642" ht="15" customHeight="1">
      <c r="A642" t="inlineStr">
        <is>
          <t>A 6726-2024</t>
        </is>
      </c>
      <c r="B642" s="1" t="n">
        <v>45341</v>
      </c>
      <c r="C642" s="1" t="n">
        <v>46032</v>
      </c>
      <c r="D642" t="inlineStr">
        <is>
          <t>ÖSTERGÖTLANDS LÄN</t>
        </is>
      </c>
      <c r="E642" t="inlineStr">
        <is>
          <t>LINKÖPING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3007-2023</t>
        </is>
      </c>
      <c r="B643" s="1" t="n">
        <v>44945</v>
      </c>
      <c r="C643" s="1" t="n">
        <v>46032</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18145-2021</t>
        </is>
      </c>
      <c r="B644" s="1" t="n">
        <v>44302</v>
      </c>
      <c r="C644" s="1" t="n">
        <v>46032</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29309-2024</t>
        </is>
      </c>
      <c r="B645" s="1" t="n">
        <v>45483</v>
      </c>
      <c r="C645" s="1" t="n">
        <v>46032</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53411-2023</t>
        </is>
      </c>
      <c r="B646" s="1" t="n">
        <v>45229.81049768518</v>
      </c>
      <c r="C646" s="1" t="n">
        <v>46032</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26788-2022</t>
        </is>
      </c>
      <c r="B647" s="1" t="n">
        <v>44740</v>
      </c>
      <c r="C647" s="1" t="n">
        <v>46032</v>
      </c>
      <c r="D647" t="inlineStr">
        <is>
          <t>ÖSTERGÖTLANDS LÄN</t>
        </is>
      </c>
      <c r="E647" t="inlineStr">
        <is>
          <t>LINKÖPING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24462-2023</t>
        </is>
      </c>
      <c r="B648" s="1" t="n">
        <v>45082</v>
      </c>
      <c r="C648" s="1" t="n">
        <v>46032</v>
      </c>
      <c r="D648" t="inlineStr">
        <is>
          <t>ÖSTERGÖTLANDS LÄN</t>
        </is>
      </c>
      <c r="E648" t="inlineStr">
        <is>
          <t>LINKÖPING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62015-2024</t>
        </is>
      </c>
      <c r="B649" s="1" t="n">
        <v>45655.80457175926</v>
      </c>
      <c r="C649" s="1" t="n">
        <v>46032</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10741-2023</t>
        </is>
      </c>
      <c r="B650" s="1" t="n">
        <v>44988.70084490741</v>
      </c>
      <c r="C650" s="1" t="n">
        <v>46032</v>
      </c>
      <c r="D650" t="inlineStr">
        <is>
          <t>ÖSTERGÖTLANDS LÄN</t>
        </is>
      </c>
      <c r="E650" t="inlineStr">
        <is>
          <t>LINKÖPING</t>
        </is>
      </c>
      <c r="F650" t="inlineStr">
        <is>
          <t>Allmännings- och besparingsskogar</t>
        </is>
      </c>
      <c r="G650" t="n">
        <v>11.2</v>
      </c>
      <c r="H650" t="n">
        <v>0</v>
      </c>
      <c r="I650" t="n">
        <v>0</v>
      </c>
      <c r="J650" t="n">
        <v>0</v>
      </c>
      <c r="K650" t="n">
        <v>0</v>
      </c>
      <c r="L650" t="n">
        <v>0</v>
      </c>
      <c r="M650" t="n">
        <v>0</v>
      </c>
      <c r="N650" t="n">
        <v>0</v>
      </c>
      <c r="O650" t="n">
        <v>0</v>
      </c>
      <c r="P650" t="n">
        <v>0</v>
      </c>
      <c r="Q650" t="n">
        <v>0</v>
      </c>
      <c r="R650" s="2" t="inlineStr"/>
    </row>
    <row r="651" ht="15" customHeight="1">
      <c r="A651" t="inlineStr">
        <is>
          <t>A 43473-2024</t>
        </is>
      </c>
      <c r="B651" s="1" t="n">
        <v>45568</v>
      </c>
      <c r="C651" s="1" t="n">
        <v>46032</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43475-2024</t>
        </is>
      </c>
      <c r="B652" s="1" t="n">
        <v>45568</v>
      </c>
      <c r="C652" s="1" t="n">
        <v>46032</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1207-2023</t>
        </is>
      </c>
      <c r="B653" s="1" t="n">
        <v>44930</v>
      </c>
      <c r="C653" s="1" t="n">
        <v>46032</v>
      </c>
      <c r="D653" t="inlineStr">
        <is>
          <t>ÖSTERGÖTLANDS LÄN</t>
        </is>
      </c>
      <c r="E653" t="inlineStr">
        <is>
          <t>LINKÖPING</t>
        </is>
      </c>
      <c r="F653" t="inlineStr">
        <is>
          <t>Övriga statliga verk och myndigheter</t>
        </is>
      </c>
      <c r="G653" t="n">
        <v>32.8</v>
      </c>
      <c r="H653" t="n">
        <v>0</v>
      </c>
      <c r="I653" t="n">
        <v>0</v>
      </c>
      <c r="J653" t="n">
        <v>0</v>
      </c>
      <c r="K653" t="n">
        <v>0</v>
      </c>
      <c r="L653" t="n">
        <v>0</v>
      </c>
      <c r="M653" t="n">
        <v>0</v>
      </c>
      <c r="N653" t="n">
        <v>0</v>
      </c>
      <c r="O653" t="n">
        <v>0</v>
      </c>
      <c r="P653" t="n">
        <v>0</v>
      </c>
      <c r="Q653" t="n">
        <v>0</v>
      </c>
      <c r="R653" s="2" t="inlineStr"/>
    </row>
    <row r="654" ht="15" customHeight="1">
      <c r="A654" t="inlineStr">
        <is>
          <t>A 29859-2024</t>
        </is>
      </c>
      <c r="B654" s="1" t="n">
        <v>45485.6846412037</v>
      </c>
      <c r="C654" s="1" t="n">
        <v>46032</v>
      </c>
      <c r="D654" t="inlineStr">
        <is>
          <t>ÖSTERGÖTLANDS LÄN</t>
        </is>
      </c>
      <c r="E654" t="inlineStr">
        <is>
          <t>LINKÖPING</t>
        </is>
      </c>
      <c r="G654" t="n">
        <v>0.4</v>
      </c>
      <c r="H654" t="n">
        <v>0</v>
      </c>
      <c r="I654" t="n">
        <v>0</v>
      </c>
      <c r="J654" t="n">
        <v>0</v>
      </c>
      <c r="K654" t="n">
        <v>0</v>
      </c>
      <c r="L654" t="n">
        <v>0</v>
      </c>
      <c r="M654" t="n">
        <v>0</v>
      </c>
      <c r="N654" t="n">
        <v>0</v>
      </c>
      <c r="O654" t="n">
        <v>0</v>
      </c>
      <c r="P654" t="n">
        <v>0</v>
      </c>
      <c r="Q654" t="n">
        <v>0</v>
      </c>
      <c r="R654" s="2" t="inlineStr"/>
    </row>
    <row r="655" ht="15" customHeight="1">
      <c r="A655" t="inlineStr">
        <is>
          <t>A 45819-2024</t>
        </is>
      </c>
      <c r="B655" s="1" t="n">
        <v>45579.7454050926</v>
      </c>
      <c r="C655" s="1" t="n">
        <v>46032</v>
      </c>
      <c r="D655" t="inlineStr">
        <is>
          <t>ÖSTERGÖTLANDS LÄN</t>
        </is>
      </c>
      <c r="E655" t="inlineStr">
        <is>
          <t>LINKÖPING</t>
        </is>
      </c>
      <c r="G655" t="n">
        <v>5</v>
      </c>
      <c r="H655" t="n">
        <v>0</v>
      </c>
      <c r="I655" t="n">
        <v>0</v>
      </c>
      <c r="J655" t="n">
        <v>0</v>
      </c>
      <c r="K655" t="n">
        <v>0</v>
      </c>
      <c r="L655" t="n">
        <v>0</v>
      </c>
      <c r="M655" t="n">
        <v>0</v>
      </c>
      <c r="N655" t="n">
        <v>0</v>
      </c>
      <c r="O655" t="n">
        <v>0</v>
      </c>
      <c r="P655" t="n">
        <v>0</v>
      </c>
      <c r="Q655" t="n">
        <v>0</v>
      </c>
      <c r="R655" s="2" t="inlineStr"/>
    </row>
    <row r="656" ht="15" customHeight="1">
      <c r="A656" t="inlineStr">
        <is>
          <t>A 15748-2025</t>
        </is>
      </c>
      <c r="B656" s="1" t="n">
        <v>45748.55282407408</v>
      </c>
      <c r="C656" s="1" t="n">
        <v>46032</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15754-2025</t>
        </is>
      </c>
      <c r="B657" s="1" t="n">
        <v>45748.56105324074</v>
      </c>
      <c r="C657" s="1" t="n">
        <v>46032</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30518-2024</t>
        </is>
      </c>
      <c r="B658" s="1" t="n">
        <v>45492</v>
      </c>
      <c r="C658" s="1" t="n">
        <v>46032</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53797-2023</t>
        </is>
      </c>
      <c r="B659" s="1" t="n">
        <v>45230</v>
      </c>
      <c r="C659" s="1" t="n">
        <v>46032</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55345-2021</t>
        </is>
      </c>
      <c r="B660" s="1" t="n">
        <v>44475</v>
      </c>
      <c r="C660" s="1" t="n">
        <v>46032</v>
      </c>
      <c r="D660" t="inlineStr">
        <is>
          <t>ÖSTERGÖTLANDS LÄN</t>
        </is>
      </c>
      <c r="E660" t="inlineStr">
        <is>
          <t>LINKÖPING</t>
        </is>
      </c>
      <c r="G660" t="n">
        <v>5.7</v>
      </c>
      <c r="H660" t="n">
        <v>0</v>
      </c>
      <c r="I660" t="n">
        <v>0</v>
      </c>
      <c r="J660" t="n">
        <v>0</v>
      </c>
      <c r="K660" t="n">
        <v>0</v>
      </c>
      <c r="L660" t="n">
        <v>0</v>
      </c>
      <c r="M660" t="n">
        <v>0</v>
      </c>
      <c r="N660" t="n">
        <v>0</v>
      </c>
      <c r="O660" t="n">
        <v>0</v>
      </c>
      <c r="P660" t="n">
        <v>0</v>
      </c>
      <c r="Q660" t="n">
        <v>0</v>
      </c>
      <c r="R660" s="2" t="inlineStr"/>
    </row>
    <row r="661" ht="15" customHeight="1">
      <c r="A661" t="inlineStr">
        <is>
          <t>A 10198-2023</t>
        </is>
      </c>
      <c r="B661" s="1" t="n">
        <v>44986.54665509259</v>
      </c>
      <c r="C661" s="1" t="n">
        <v>46032</v>
      </c>
      <c r="D661" t="inlineStr">
        <is>
          <t>ÖSTERGÖTLANDS LÄN</t>
        </is>
      </c>
      <c r="E661" t="inlineStr">
        <is>
          <t>LINKÖPING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4298-2023</t>
        </is>
      </c>
      <c r="B662" s="1" t="n">
        <v>44953</v>
      </c>
      <c r="C662" s="1" t="n">
        <v>46032</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12428-2024</t>
        </is>
      </c>
      <c r="B663" s="1" t="n">
        <v>45379</v>
      </c>
      <c r="C663" s="1" t="n">
        <v>46032</v>
      </c>
      <c r="D663" t="inlineStr">
        <is>
          <t>ÖSTERGÖTLANDS LÄN</t>
        </is>
      </c>
      <c r="E663" t="inlineStr">
        <is>
          <t>LINKÖPING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26618-2023</t>
        </is>
      </c>
      <c r="B664" s="1" t="n">
        <v>45092.70306712963</v>
      </c>
      <c r="C664" s="1" t="n">
        <v>46032</v>
      </c>
      <c r="D664" t="inlineStr">
        <is>
          <t>ÖSTERGÖTLANDS LÄN</t>
        </is>
      </c>
      <c r="E664" t="inlineStr">
        <is>
          <t>LINKÖPING</t>
        </is>
      </c>
      <c r="G664" t="n">
        <v>6.9</v>
      </c>
      <c r="H664" t="n">
        <v>0</v>
      </c>
      <c r="I664" t="n">
        <v>0</v>
      </c>
      <c r="J664" t="n">
        <v>0</v>
      </c>
      <c r="K664" t="n">
        <v>0</v>
      </c>
      <c r="L664" t="n">
        <v>0</v>
      </c>
      <c r="M664" t="n">
        <v>0</v>
      </c>
      <c r="N664" t="n">
        <v>0</v>
      </c>
      <c r="O664" t="n">
        <v>0</v>
      </c>
      <c r="P664" t="n">
        <v>0</v>
      </c>
      <c r="Q664" t="n">
        <v>0</v>
      </c>
      <c r="R664" s="2" t="inlineStr"/>
    </row>
    <row r="665" ht="15" customHeight="1">
      <c r="A665" t="inlineStr">
        <is>
          <t>A 34930-2023</t>
        </is>
      </c>
      <c r="B665" s="1" t="n">
        <v>45142</v>
      </c>
      <c r="C665" s="1" t="n">
        <v>46032</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670-2024</t>
        </is>
      </c>
      <c r="B666" s="1" t="n">
        <v>45300.3408912037</v>
      </c>
      <c r="C666" s="1" t="n">
        <v>46032</v>
      </c>
      <c r="D666" t="inlineStr">
        <is>
          <t>ÖSTERGÖTLANDS LÄN</t>
        </is>
      </c>
      <c r="E666" t="inlineStr">
        <is>
          <t>LINKÖPING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63845-2021</t>
        </is>
      </c>
      <c r="B667" s="1" t="n">
        <v>44509</v>
      </c>
      <c r="C667" s="1" t="n">
        <v>46032</v>
      </c>
      <c r="D667" t="inlineStr">
        <is>
          <t>ÖSTERGÖTLANDS LÄN</t>
        </is>
      </c>
      <c r="E667" t="inlineStr">
        <is>
          <t>LINKÖPING</t>
        </is>
      </c>
      <c r="G667" t="n">
        <v>5</v>
      </c>
      <c r="H667" t="n">
        <v>0</v>
      </c>
      <c r="I667" t="n">
        <v>0</v>
      </c>
      <c r="J667" t="n">
        <v>0</v>
      </c>
      <c r="K667" t="n">
        <v>0</v>
      </c>
      <c r="L667" t="n">
        <v>0</v>
      </c>
      <c r="M667" t="n">
        <v>0</v>
      </c>
      <c r="N667" t="n">
        <v>0</v>
      </c>
      <c r="O667" t="n">
        <v>0</v>
      </c>
      <c r="P667" t="n">
        <v>0</v>
      </c>
      <c r="Q667" t="n">
        <v>0</v>
      </c>
      <c r="R667" s="2" t="inlineStr"/>
    </row>
    <row r="668" ht="15" customHeight="1">
      <c r="A668" t="inlineStr">
        <is>
          <t>A 54034-2022</t>
        </is>
      </c>
      <c r="B668" s="1" t="n">
        <v>44881</v>
      </c>
      <c r="C668" s="1" t="n">
        <v>46032</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36336-2023</t>
        </is>
      </c>
      <c r="B669" s="1" t="n">
        <v>45152.45078703704</v>
      </c>
      <c r="C669" s="1" t="n">
        <v>46032</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48829-2023</t>
        </is>
      </c>
      <c r="B670" s="1" t="n">
        <v>45209.38177083333</v>
      </c>
      <c r="C670" s="1" t="n">
        <v>46032</v>
      </c>
      <c r="D670" t="inlineStr">
        <is>
          <t>ÖSTERGÖTLANDS LÄN</t>
        </is>
      </c>
      <c r="E670" t="inlineStr">
        <is>
          <t>LINKÖPING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48186-2022</t>
        </is>
      </c>
      <c r="B671" s="1" t="n">
        <v>44858</v>
      </c>
      <c r="C671" s="1" t="n">
        <v>46032</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63669-2023</t>
        </is>
      </c>
      <c r="B672" s="1" t="n">
        <v>45275</v>
      </c>
      <c r="C672" s="1" t="n">
        <v>46032</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24586-2024</t>
        </is>
      </c>
      <c r="B673" s="1" t="n">
        <v>45460.46664351852</v>
      </c>
      <c r="C673" s="1" t="n">
        <v>46032</v>
      </c>
      <c r="D673" t="inlineStr">
        <is>
          <t>ÖSTERGÖTLANDS LÄN</t>
        </is>
      </c>
      <c r="E673" t="inlineStr">
        <is>
          <t>LINKÖPING</t>
        </is>
      </c>
      <c r="G673" t="n">
        <v>4</v>
      </c>
      <c r="H673" t="n">
        <v>0</v>
      </c>
      <c r="I673" t="n">
        <v>0</v>
      </c>
      <c r="J673" t="n">
        <v>0</v>
      </c>
      <c r="K673" t="n">
        <v>0</v>
      </c>
      <c r="L673" t="n">
        <v>0</v>
      </c>
      <c r="M673" t="n">
        <v>0</v>
      </c>
      <c r="N673" t="n">
        <v>0</v>
      </c>
      <c r="O673" t="n">
        <v>0</v>
      </c>
      <c r="P673" t="n">
        <v>0</v>
      </c>
      <c r="Q673" t="n">
        <v>0</v>
      </c>
      <c r="R673" s="2" t="inlineStr"/>
    </row>
    <row r="674" ht="15" customHeight="1">
      <c r="A674" t="inlineStr">
        <is>
          <t>A 59576-2024</t>
        </is>
      </c>
      <c r="B674" s="1" t="n">
        <v>45638.66378472222</v>
      </c>
      <c r="C674" s="1" t="n">
        <v>46032</v>
      </c>
      <c r="D674" t="inlineStr">
        <is>
          <t>ÖSTERGÖTLANDS LÄN</t>
        </is>
      </c>
      <c r="E674" t="inlineStr">
        <is>
          <t>LINKÖPING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59642-2024</t>
        </is>
      </c>
      <c r="B675" s="1" t="n">
        <v>45639.31511574074</v>
      </c>
      <c r="C675" s="1" t="n">
        <v>46032</v>
      </c>
      <c r="D675" t="inlineStr">
        <is>
          <t>ÖSTERGÖTLANDS LÄN</t>
        </is>
      </c>
      <c r="E675" t="inlineStr">
        <is>
          <t>LINKÖPING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59674-2024</t>
        </is>
      </c>
      <c r="B676" s="1" t="n">
        <v>45639</v>
      </c>
      <c r="C676" s="1" t="n">
        <v>46032</v>
      </c>
      <c r="D676" t="inlineStr">
        <is>
          <t>ÖSTERGÖTLANDS LÄN</t>
        </is>
      </c>
      <c r="E676" t="inlineStr">
        <is>
          <t>LINKÖPING</t>
        </is>
      </c>
      <c r="G676" t="n">
        <v>6.3</v>
      </c>
      <c r="H676" t="n">
        <v>0</v>
      </c>
      <c r="I676" t="n">
        <v>0</v>
      </c>
      <c r="J676" t="n">
        <v>0</v>
      </c>
      <c r="K676" t="n">
        <v>0</v>
      </c>
      <c r="L676" t="n">
        <v>0</v>
      </c>
      <c r="M676" t="n">
        <v>0</v>
      </c>
      <c r="N676" t="n">
        <v>0</v>
      </c>
      <c r="O676" t="n">
        <v>0</v>
      </c>
      <c r="P676" t="n">
        <v>0</v>
      </c>
      <c r="Q676" t="n">
        <v>0</v>
      </c>
      <c r="R676" s="2" t="inlineStr"/>
    </row>
    <row r="677" ht="15" customHeight="1">
      <c r="A677" t="inlineStr">
        <is>
          <t>A 3742-2021</t>
        </is>
      </c>
      <c r="B677" s="1" t="n">
        <v>44221</v>
      </c>
      <c r="C677" s="1" t="n">
        <v>46032</v>
      </c>
      <c r="D677" t="inlineStr">
        <is>
          <t>ÖSTERGÖTLANDS LÄN</t>
        </is>
      </c>
      <c r="E677" t="inlineStr">
        <is>
          <t>LINKÖPING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18916-2024</t>
        </is>
      </c>
      <c r="B678" s="1" t="n">
        <v>45427.39541666667</v>
      </c>
      <c r="C678" s="1" t="n">
        <v>46032</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11084-2022</t>
        </is>
      </c>
      <c r="B679" s="1" t="n">
        <v>44628</v>
      </c>
      <c r="C679" s="1" t="n">
        <v>46032</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10203-2023</t>
        </is>
      </c>
      <c r="B680" s="1" t="n">
        <v>44986.55711805556</v>
      </c>
      <c r="C680" s="1" t="n">
        <v>46032</v>
      </c>
      <c r="D680" t="inlineStr">
        <is>
          <t>ÖSTERGÖTLANDS LÄN</t>
        </is>
      </c>
      <c r="E680" t="inlineStr">
        <is>
          <t>LINKÖPING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2618-2023</t>
        </is>
      </c>
      <c r="B681" s="1" t="n">
        <v>44944.35847222222</v>
      </c>
      <c r="C681" s="1" t="n">
        <v>46032</v>
      </c>
      <c r="D681" t="inlineStr">
        <is>
          <t>ÖSTERGÖTLANDS LÄN</t>
        </is>
      </c>
      <c r="E681" t="inlineStr">
        <is>
          <t>LINKÖPING</t>
        </is>
      </c>
      <c r="G681" t="n">
        <v>4.3</v>
      </c>
      <c r="H681" t="n">
        <v>0</v>
      </c>
      <c r="I681" t="n">
        <v>0</v>
      </c>
      <c r="J681" t="n">
        <v>0</v>
      </c>
      <c r="K681" t="n">
        <v>0</v>
      </c>
      <c r="L681" t="n">
        <v>0</v>
      </c>
      <c r="M681" t="n">
        <v>0</v>
      </c>
      <c r="N681" t="n">
        <v>0</v>
      </c>
      <c r="O681" t="n">
        <v>0</v>
      </c>
      <c r="P681" t="n">
        <v>0</v>
      </c>
      <c r="Q681" t="n">
        <v>0</v>
      </c>
      <c r="R681" s="2" t="inlineStr"/>
    </row>
    <row r="682" ht="15" customHeight="1">
      <c r="A682" t="inlineStr">
        <is>
          <t>A 62020-2024</t>
        </is>
      </c>
      <c r="B682" s="1" t="n">
        <v>45655.83563657408</v>
      </c>
      <c r="C682" s="1" t="n">
        <v>46032</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62021-2024</t>
        </is>
      </c>
      <c r="B683" s="1" t="n">
        <v>45655.84232638889</v>
      </c>
      <c r="C683" s="1" t="n">
        <v>46032</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1362-2023</t>
        </is>
      </c>
      <c r="B684" s="1" t="n">
        <v>44931</v>
      </c>
      <c r="C684" s="1" t="n">
        <v>46032</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49928-2024</t>
        </is>
      </c>
      <c r="B685" s="1" t="n">
        <v>45597.57811342592</v>
      </c>
      <c r="C685" s="1" t="n">
        <v>46032</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46032</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51405-2023</t>
        </is>
      </c>
      <c r="B687" s="1" t="n">
        <v>45219</v>
      </c>
      <c r="C687" s="1" t="n">
        <v>46032</v>
      </c>
      <c r="D687" t="inlineStr">
        <is>
          <t>ÖSTERGÖTLANDS LÄN</t>
        </is>
      </c>
      <c r="E687" t="inlineStr">
        <is>
          <t>LINKÖPING</t>
        </is>
      </c>
      <c r="F687" t="inlineStr">
        <is>
          <t>Övriga Aktiebolag</t>
        </is>
      </c>
      <c r="G687" t="n">
        <v>3</v>
      </c>
      <c r="H687" t="n">
        <v>0</v>
      </c>
      <c r="I687" t="n">
        <v>0</v>
      </c>
      <c r="J687" t="n">
        <v>0</v>
      </c>
      <c r="K687" t="n">
        <v>0</v>
      </c>
      <c r="L687" t="n">
        <v>0</v>
      </c>
      <c r="M687" t="n">
        <v>0</v>
      </c>
      <c r="N687" t="n">
        <v>0</v>
      </c>
      <c r="O687" t="n">
        <v>0</v>
      </c>
      <c r="P687" t="n">
        <v>0</v>
      </c>
      <c r="Q687" t="n">
        <v>0</v>
      </c>
      <c r="R687" s="2" t="inlineStr"/>
    </row>
    <row r="688" ht="15" customHeight="1">
      <c r="A688" t="inlineStr">
        <is>
          <t>A 11601-2023</t>
        </is>
      </c>
      <c r="B688" s="1" t="n">
        <v>44994</v>
      </c>
      <c r="C688" s="1" t="n">
        <v>46032</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40338-2024</t>
        </is>
      </c>
      <c r="B689" s="1" t="n">
        <v>45555.32940972222</v>
      </c>
      <c r="C689" s="1" t="n">
        <v>46032</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167-2024</t>
        </is>
      </c>
      <c r="B690" s="1" t="n">
        <v>45294</v>
      </c>
      <c r="C690" s="1" t="n">
        <v>46032</v>
      </c>
      <c r="D690" t="inlineStr">
        <is>
          <t>ÖSTERGÖTLANDS LÄN</t>
        </is>
      </c>
      <c r="E690" t="inlineStr">
        <is>
          <t>LINKÖPING</t>
        </is>
      </c>
      <c r="F690" t="inlineStr">
        <is>
          <t>Allmännings- och besparingsskogar</t>
        </is>
      </c>
      <c r="G690" t="n">
        <v>11.6</v>
      </c>
      <c r="H690" t="n">
        <v>0</v>
      </c>
      <c r="I690" t="n">
        <v>0</v>
      </c>
      <c r="J690" t="n">
        <v>0</v>
      </c>
      <c r="K690" t="n">
        <v>0</v>
      </c>
      <c r="L690" t="n">
        <v>0</v>
      </c>
      <c r="M690" t="n">
        <v>0</v>
      </c>
      <c r="N690" t="n">
        <v>0</v>
      </c>
      <c r="O690" t="n">
        <v>0</v>
      </c>
      <c r="P690" t="n">
        <v>0</v>
      </c>
      <c r="Q690" t="n">
        <v>0</v>
      </c>
      <c r="R690" s="2" t="inlineStr"/>
    </row>
    <row r="691" ht="15" customHeight="1">
      <c r="A691" t="inlineStr">
        <is>
          <t>A 27186-2021</t>
        </is>
      </c>
      <c r="B691" s="1" t="n">
        <v>44350.67715277777</v>
      </c>
      <c r="C691" s="1" t="n">
        <v>46032</v>
      </c>
      <c r="D691" t="inlineStr">
        <is>
          <t>ÖSTERGÖTLANDS LÄN</t>
        </is>
      </c>
      <c r="E691" t="inlineStr">
        <is>
          <t>LINKÖPING</t>
        </is>
      </c>
      <c r="F691" t="inlineStr">
        <is>
          <t>Allmännings- och besparingsskogar</t>
        </is>
      </c>
      <c r="G691" t="n">
        <v>1.4</v>
      </c>
      <c r="H691" t="n">
        <v>0</v>
      </c>
      <c r="I691" t="n">
        <v>0</v>
      </c>
      <c r="J691" t="n">
        <v>0</v>
      </c>
      <c r="K691" t="n">
        <v>0</v>
      </c>
      <c r="L691" t="n">
        <v>0</v>
      </c>
      <c r="M691" t="n">
        <v>0</v>
      </c>
      <c r="N691" t="n">
        <v>0</v>
      </c>
      <c r="O691" t="n">
        <v>0</v>
      </c>
      <c r="P691" t="n">
        <v>0</v>
      </c>
      <c r="Q691" t="n">
        <v>0</v>
      </c>
      <c r="R691" s="2" t="inlineStr"/>
    </row>
    <row r="692" ht="15" customHeight="1">
      <c r="A692" t="inlineStr">
        <is>
          <t>A 7343-2025</t>
        </is>
      </c>
      <c r="B692" s="1" t="n">
        <v>45703.67853009259</v>
      </c>
      <c r="C692" s="1" t="n">
        <v>46032</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48271-2023</t>
        </is>
      </c>
      <c r="B693" s="1" t="n">
        <v>45205</v>
      </c>
      <c r="C693" s="1" t="n">
        <v>46032</v>
      </c>
      <c r="D693" t="inlineStr">
        <is>
          <t>ÖSTERGÖTLANDS LÄN</t>
        </is>
      </c>
      <c r="E693" t="inlineStr">
        <is>
          <t>LINKÖPING</t>
        </is>
      </c>
      <c r="G693" t="n">
        <v>3</v>
      </c>
      <c r="H693" t="n">
        <v>0</v>
      </c>
      <c r="I693" t="n">
        <v>0</v>
      </c>
      <c r="J693" t="n">
        <v>0</v>
      </c>
      <c r="K693" t="n">
        <v>0</v>
      </c>
      <c r="L693" t="n">
        <v>0</v>
      </c>
      <c r="M693" t="n">
        <v>0</v>
      </c>
      <c r="N693" t="n">
        <v>0</v>
      </c>
      <c r="O693" t="n">
        <v>0</v>
      </c>
      <c r="P693" t="n">
        <v>0</v>
      </c>
      <c r="Q693" t="n">
        <v>0</v>
      </c>
      <c r="R693" s="2" t="inlineStr"/>
    </row>
    <row r="694" ht="15" customHeight="1">
      <c r="A694" t="inlineStr">
        <is>
          <t>A 12720-2022</t>
        </is>
      </c>
      <c r="B694" s="1" t="n">
        <v>44641</v>
      </c>
      <c r="C694" s="1" t="n">
        <v>46032</v>
      </c>
      <c r="D694" t="inlineStr">
        <is>
          <t>ÖSTERGÖTLANDS LÄN</t>
        </is>
      </c>
      <c r="E694" t="inlineStr">
        <is>
          <t>LINKÖPING</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62018-2024</t>
        </is>
      </c>
      <c r="B695" s="1" t="n">
        <v>45655.81387731482</v>
      </c>
      <c r="C695" s="1" t="n">
        <v>46032</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30551-2023</t>
        </is>
      </c>
      <c r="B696" s="1" t="n">
        <v>45111</v>
      </c>
      <c r="C696" s="1" t="n">
        <v>46032</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30860-2022</t>
        </is>
      </c>
      <c r="B697" s="1" t="n">
        <v>44767</v>
      </c>
      <c r="C697" s="1" t="n">
        <v>46032</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60004-2022</t>
        </is>
      </c>
      <c r="B698" s="1" t="n">
        <v>44909.47206018519</v>
      </c>
      <c r="C698" s="1" t="n">
        <v>46032</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60010-2022</t>
        </is>
      </c>
      <c r="B699" s="1" t="n">
        <v>44909.4740625</v>
      </c>
      <c r="C699" s="1" t="n">
        <v>46032</v>
      </c>
      <c r="D699" t="inlineStr">
        <is>
          <t>ÖSTERGÖTLANDS LÄN</t>
        </is>
      </c>
      <c r="E699" t="inlineStr">
        <is>
          <t>LINKÖPING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53827-2023</t>
        </is>
      </c>
      <c r="B700" s="1" t="n">
        <v>45230</v>
      </c>
      <c r="C700" s="1" t="n">
        <v>46032</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4256-2022</t>
        </is>
      </c>
      <c r="B701" s="1" t="n">
        <v>44588</v>
      </c>
      <c r="C701" s="1" t="n">
        <v>46032</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61649-2023</t>
        </is>
      </c>
      <c r="B702" s="1" t="n">
        <v>45265</v>
      </c>
      <c r="C702" s="1" t="n">
        <v>46032</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223-2024</t>
        </is>
      </c>
      <c r="B703" s="1" t="n">
        <v>45294.72739583333</v>
      </c>
      <c r="C703" s="1" t="n">
        <v>46032</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19464-2024</t>
        </is>
      </c>
      <c r="B704" s="1" t="n">
        <v>45429</v>
      </c>
      <c r="C704" s="1" t="n">
        <v>46032</v>
      </c>
      <c r="D704" t="inlineStr">
        <is>
          <t>ÖSTERGÖTLANDS LÄN</t>
        </is>
      </c>
      <c r="E704" t="inlineStr">
        <is>
          <t>LINKÖPING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630-2024</t>
        </is>
      </c>
      <c r="B705" s="1" t="n">
        <v>45299.67736111111</v>
      </c>
      <c r="C705" s="1" t="n">
        <v>46032</v>
      </c>
      <c r="D705" t="inlineStr">
        <is>
          <t>ÖSTERGÖTLANDS LÄN</t>
        </is>
      </c>
      <c r="E705" t="inlineStr">
        <is>
          <t>LINKÖPING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30433-2024</t>
        </is>
      </c>
      <c r="B706" s="1" t="n">
        <v>45491.69741898148</v>
      </c>
      <c r="C706" s="1" t="n">
        <v>46032</v>
      </c>
      <c r="D706" t="inlineStr">
        <is>
          <t>ÖSTERGÖTLANDS LÄN</t>
        </is>
      </c>
      <c r="E706" t="inlineStr">
        <is>
          <t>LINKÖPING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63528-2023</t>
        </is>
      </c>
      <c r="B707" s="1" t="n">
        <v>45274.94810185185</v>
      </c>
      <c r="C707" s="1" t="n">
        <v>46032</v>
      </c>
      <c r="D707" t="inlineStr">
        <is>
          <t>ÖSTERGÖTLANDS LÄN</t>
        </is>
      </c>
      <c r="E707" t="inlineStr">
        <is>
          <t>LINKÖPING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61936-2023</t>
        </is>
      </c>
      <c r="B708" s="1" t="n">
        <v>45266.54534722222</v>
      </c>
      <c r="C708" s="1" t="n">
        <v>46032</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62492-2023</t>
        </is>
      </c>
      <c r="B709" s="1" t="n">
        <v>45268.58987268519</v>
      </c>
      <c r="C709" s="1" t="n">
        <v>46032</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674-2024</t>
        </is>
      </c>
      <c r="B710" s="1" t="n">
        <v>45300.34408564815</v>
      </c>
      <c r="C710" s="1" t="n">
        <v>46032</v>
      </c>
      <c r="D710" t="inlineStr">
        <is>
          <t>ÖSTERGÖTLANDS LÄN</t>
        </is>
      </c>
      <c r="E710" t="inlineStr">
        <is>
          <t>LINKÖPING</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6782-2024</t>
        </is>
      </c>
      <c r="B711" s="1" t="n">
        <v>45342</v>
      </c>
      <c r="C711" s="1" t="n">
        <v>46032</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10094-2024</t>
        </is>
      </c>
      <c r="B712" s="1" t="n">
        <v>45364</v>
      </c>
      <c r="C712" s="1" t="n">
        <v>46032</v>
      </c>
      <c r="D712" t="inlineStr">
        <is>
          <t>ÖSTERGÖTLANDS LÄN</t>
        </is>
      </c>
      <c r="E712" t="inlineStr">
        <is>
          <t>LINKÖPING</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63684-2023</t>
        </is>
      </c>
      <c r="B713" s="1" t="n">
        <v>45275</v>
      </c>
      <c r="C713" s="1" t="n">
        <v>46032</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63688-2023</t>
        </is>
      </c>
      <c r="B714" s="1" t="n">
        <v>45275</v>
      </c>
      <c r="C714" s="1" t="n">
        <v>46032</v>
      </c>
      <c r="D714" t="inlineStr">
        <is>
          <t>ÖSTERGÖTLANDS LÄN</t>
        </is>
      </c>
      <c r="E714" t="inlineStr">
        <is>
          <t>LINKÖPING</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63691-2023</t>
        </is>
      </c>
      <c r="B715" s="1" t="n">
        <v>45275</v>
      </c>
      <c r="C715" s="1" t="n">
        <v>46032</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36657-2023</t>
        </is>
      </c>
      <c r="B716" s="1" t="n">
        <v>45153.5702662037</v>
      </c>
      <c r="C716" s="1" t="n">
        <v>46032</v>
      </c>
      <c r="D716" t="inlineStr">
        <is>
          <t>ÖSTERGÖTLANDS LÄN</t>
        </is>
      </c>
      <c r="E716" t="inlineStr">
        <is>
          <t>LINKÖPING</t>
        </is>
      </c>
      <c r="F716" t="inlineStr">
        <is>
          <t>Allmännings- och besparingsskogar</t>
        </is>
      </c>
      <c r="G716" t="n">
        <v>2</v>
      </c>
      <c r="H716" t="n">
        <v>0</v>
      </c>
      <c r="I716" t="n">
        <v>0</v>
      </c>
      <c r="J716" t="n">
        <v>0</v>
      </c>
      <c r="K716" t="n">
        <v>0</v>
      </c>
      <c r="L716" t="n">
        <v>0</v>
      </c>
      <c r="M716" t="n">
        <v>0</v>
      </c>
      <c r="N716" t="n">
        <v>0</v>
      </c>
      <c r="O716" t="n">
        <v>0</v>
      </c>
      <c r="P716" t="n">
        <v>0</v>
      </c>
      <c r="Q716" t="n">
        <v>0</v>
      </c>
      <c r="R716" s="2" t="inlineStr"/>
    </row>
    <row r="717" ht="15" customHeight="1">
      <c r="A717" t="inlineStr">
        <is>
          <t>A 14667-2024</t>
        </is>
      </c>
      <c r="B717" s="1" t="n">
        <v>45397.42005787037</v>
      </c>
      <c r="C717" s="1" t="n">
        <v>46032</v>
      </c>
      <c r="D717" t="inlineStr">
        <is>
          <t>ÖSTERGÖTLANDS LÄN</t>
        </is>
      </c>
      <c r="E717" t="inlineStr">
        <is>
          <t>LINKÖPING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15714-2024</t>
        </is>
      </c>
      <c r="B718" s="1" t="n">
        <v>45404.48288194444</v>
      </c>
      <c r="C718" s="1" t="n">
        <v>46032</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37715-2022</t>
        </is>
      </c>
      <c r="B719" s="1" t="n">
        <v>44810</v>
      </c>
      <c r="C719" s="1" t="n">
        <v>46032</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30429-2024</t>
        </is>
      </c>
      <c r="B720" s="1" t="n">
        <v>45491.68972222223</v>
      </c>
      <c r="C720" s="1" t="n">
        <v>46032</v>
      </c>
      <c r="D720" t="inlineStr">
        <is>
          <t>ÖSTERGÖTLANDS LÄN</t>
        </is>
      </c>
      <c r="E720" t="inlineStr">
        <is>
          <t>LINKÖPING</t>
        </is>
      </c>
      <c r="G720" t="n">
        <v>2.2</v>
      </c>
      <c r="H720" t="n">
        <v>0</v>
      </c>
      <c r="I720" t="n">
        <v>0</v>
      </c>
      <c r="J720" t="n">
        <v>0</v>
      </c>
      <c r="K720" t="n">
        <v>0</v>
      </c>
      <c r="L720" t="n">
        <v>0</v>
      </c>
      <c r="M720" t="n">
        <v>0</v>
      </c>
      <c r="N720" t="n">
        <v>0</v>
      </c>
      <c r="O720" t="n">
        <v>0</v>
      </c>
      <c r="P720" t="n">
        <v>0</v>
      </c>
      <c r="Q720" t="n">
        <v>0</v>
      </c>
      <c r="R720" s="2" t="inlineStr"/>
    </row>
    <row r="721" ht="15" customHeight="1">
      <c r="A721" t="inlineStr">
        <is>
          <t>A 30435-2024</t>
        </is>
      </c>
      <c r="B721" s="1" t="n">
        <v>45491.69962962963</v>
      </c>
      <c r="C721" s="1" t="n">
        <v>46032</v>
      </c>
      <c r="D721" t="inlineStr">
        <is>
          <t>ÖSTERGÖTLANDS LÄN</t>
        </is>
      </c>
      <c r="E721" t="inlineStr">
        <is>
          <t>LINKÖPING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4927-2021</t>
        </is>
      </c>
      <c r="B722" s="1" t="n">
        <v>44227.57215277778</v>
      </c>
      <c r="C722" s="1" t="n">
        <v>46032</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38231-2022</t>
        </is>
      </c>
      <c r="B723" s="1" t="n">
        <v>44812</v>
      </c>
      <c r="C723" s="1" t="n">
        <v>46032</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34557-2022</t>
        </is>
      </c>
      <c r="B724" s="1" t="n">
        <v>44794.57074074074</v>
      </c>
      <c r="C724" s="1" t="n">
        <v>46032</v>
      </c>
      <c r="D724" t="inlineStr">
        <is>
          <t>ÖSTERGÖTLANDS LÄN</t>
        </is>
      </c>
      <c r="E724" t="inlineStr">
        <is>
          <t>LINKÖPING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13011-2022</t>
        </is>
      </c>
      <c r="B725" s="1" t="n">
        <v>44643</v>
      </c>
      <c r="C725" s="1" t="n">
        <v>46032</v>
      </c>
      <c r="D725" t="inlineStr">
        <is>
          <t>ÖSTERGÖTLANDS LÄN</t>
        </is>
      </c>
      <c r="E725" t="inlineStr">
        <is>
          <t>LINKÖPING</t>
        </is>
      </c>
      <c r="G725" t="n">
        <v>3.7</v>
      </c>
      <c r="H725" t="n">
        <v>0</v>
      </c>
      <c r="I725" t="n">
        <v>0</v>
      </c>
      <c r="J725" t="n">
        <v>0</v>
      </c>
      <c r="K725" t="n">
        <v>0</v>
      </c>
      <c r="L725" t="n">
        <v>0</v>
      </c>
      <c r="M725" t="n">
        <v>0</v>
      </c>
      <c r="N725" t="n">
        <v>0</v>
      </c>
      <c r="O725" t="n">
        <v>0</v>
      </c>
      <c r="P725" t="n">
        <v>0</v>
      </c>
      <c r="Q725" t="n">
        <v>0</v>
      </c>
      <c r="R725" s="2" t="inlineStr"/>
    </row>
    <row r="726" ht="15" customHeight="1">
      <c r="A726" t="inlineStr">
        <is>
          <t>A 617-2024</t>
        </is>
      </c>
      <c r="B726" s="1" t="n">
        <v>45299.66028935185</v>
      </c>
      <c r="C726" s="1" t="n">
        <v>46032</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19362-2023</t>
        </is>
      </c>
      <c r="B727" s="1" t="n">
        <v>45049</v>
      </c>
      <c r="C727" s="1" t="n">
        <v>46032</v>
      </c>
      <c r="D727" t="inlineStr">
        <is>
          <t>ÖSTERGÖTLANDS LÄN</t>
        </is>
      </c>
      <c r="E727" t="inlineStr">
        <is>
          <t>LINKÖPING</t>
        </is>
      </c>
      <c r="G727" t="n">
        <v>0.1</v>
      </c>
      <c r="H727" t="n">
        <v>0</v>
      </c>
      <c r="I727" t="n">
        <v>0</v>
      </c>
      <c r="J727" t="n">
        <v>0</v>
      </c>
      <c r="K727" t="n">
        <v>0</v>
      </c>
      <c r="L727" t="n">
        <v>0</v>
      </c>
      <c r="M727" t="n">
        <v>0</v>
      </c>
      <c r="N727" t="n">
        <v>0</v>
      </c>
      <c r="O727" t="n">
        <v>0</v>
      </c>
      <c r="P727" t="n">
        <v>0</v>
      </c>
      <c r="Q727" t="n">
        <v>0</v>
      </c>
      <c r="R727" s="2" t="inlineStr"/>
    </row>
    <row r="728" ht="15" customHeight="1">
      <c r="A728" t="inlineStr">
        <is>
          <t>A 19132-2023</t>
        </is>
      </c>
      <c r="B728" s="1" t="n">
        <v>45048.54754629629</v>
      </c>
      <c r="C728" s="1" t="n">
        <v>46032</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31635-2023</t>
        </is>
      </c>
      <c r="B729" s="1" t="n">
        <v>45105</v>
      </c>
      <c r="C729" s="1" t="n">
        <v>46032</v>
      </c>
      <c r="D729" t="inlineStr">
        <is>
          <t>ÖSTERGÖTLANDS LÄN</t>
        </is>
      </c>
      <c r="E729" t="inlineStr">
        <is>
          <t>LINKÖPING</t>
        </is>
      </c>
      <c r="F729" t="inlineStr">
        <is>
          <t>Övriga statliga verk och myndigheter</t>
        </is>
      </c>
      <c r="G729" t="n">
        <v>4.6</v>
      </c>
      <c r="H729" t="n">
        <v>0</v>
      </c>
      <c r="I729" t="n">
        <v>0</v>
      </c>
      <c r="J729" t="n">
        <v>0</v>
      </c>
      <c r="K729" t="n">
        <v>0</v>
      </c>
      <c r="L729" t="n">
        <v>0</v>
      </c>
      <c r="M729" t="n">
        <v>0</v>
      </c>
      <c r="N729" t="n">
        <v>0</v>
      </c>
      <c r="O729" t="n">
        <v>0</v>
      </c>
      <c r="P729" t="n">
        <v>0</v>
      </c>
      <c r="Q729" t="n">
        <v>0</v>
      </c>
      <c r="R729" s="2" t="inlineStr"/>
    </row>
    <row r="730" ht="15" customHeight="1">
      <c r="A730" t="inlineStr">
        <is>
          <t>A 20296-2025</t>
        </is>
      </c>
      <c r="B730" s="1" t="n">
        <v>45774.74922453704</v>
      </c>
      <c r="C730" s="1" t="n">
        <v>46032</v>
      </c>
      <c r="D730" t="inlineStr">
        <is>
          <t>ÖSTERGÖTLANDS LÄN</t>
        </is>
      </c>
      <c r="E730" t="inlineStr">
        <is>
          <t>LINKÖPING</t>
        </is>
      </c>
      <c r="G730" t="n">
        <v>2.2</v>
      </c>
      <c r="H730" t="n">
        <v>0</v>
      </c>
      <c r="I730" t="n">
        <v>0</v>
      </c>
      <c r="J730" t="n">
        <v>0</v>
      </c>
      <c r="K730" t="n">
        <v>0</v>
      </c>
      <c r="L730" t="n">
        <v>0</v>
      </c>
      <c r="M730" t="n">
        <v>0</v>
      </c>
      <c r="N730" t="n">
        <v>0</v>
      </c>
      <c r="O730" t="n">
        <v>0</v>
      </c>
      <c r="P730" t="n">
        <v>0</v>
      </c>
      <c r="Q730" t="n">
        <v>0</v>
      </c>
      <c r="R730" s="2" t="inlineStr"/>
    </row>
    <row r="731" ht="15" customHeight="1">
      <c r="A731" t="inlineStr">
        <is>
          <t>A 22770-2024</t>
        </is>
      </c>
      <c r="B731" s="1" t="n">
        <v>45448.4634375</v>
      </c>
      <c r="C731" s="1" t="n">
        <v>46032</v>
      </c>
      <c r="D731" t="inlineStr">
        <is>
          <t>ÖSTERGÖTLANDS LÄN</t>
        </is>
      </c>
      <c r="E731" t="inlineStr">
        <is>
          <t>LINKÖPING</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11595-2025</t>
        </is>
      </c>
      <c r="B732" s="1" t="n">
        <v>45727.41893518518</v>
      </c>
      <c r="C732" s="1" t="n">
        <v>46032</v>
      </c>
      <c r="D732" t="inlineStr">
        <is>
          <t>ÖSTERGÖTLANDS LÄN</t>
        </is>
      </c>
      <c r="E732" t="inlineStr">
        <is>
          <t>LINKÖPING</t>
        </is>
      </c>
      <c r="G732" t="n">
        <v>6.6</v>
      </c>
      <c r="H732" t="n">
        <v>0</v>
      </c>
      <c r="I732" t="n">
        <v>0</v>
      </c>
      <c r="J732" t="n">
        <v>0</v>
      </c>
      <c r="K732" t="n">
        <v>0</v>
      </c>
      <c r="L732" t="n">
        <v>0</v>
      </c>
      <c r="M732" t="n">
        <v>0</v>
      </c>
      <c r="N732" t="n">
        <v>0</v>
      </c>
      <c r="O732" t="n">
        <v>0</v>
      </c>
      <c r="P732" t="n">
        <v>0</v>
      </c>
      <c r="Q732" t="n">
        <v>0</v>
      </c>
      <c r="R732" s="2" t="inlineStr"/>
    </row>
    <row r="733" ht="15" customHeight="1">
      <c r="A733" t="inlineStr">
        <is>
          <t>A 48839-2022</t>
        </is>
      </c>
      <c r="B733" s="1" t="n">
        <v>44859</v>
      </c>
      <c r="C733" s="1" t="n">
        <v>46032</v>
      </c>
      <c r="D733" t="inlineStr">
        <is>
          <t>ÖSTERGÖTLANDS LÄN</t>
        </is>
      </c>
      <c r="E733" t="inlineStr">
        <is>
          <t>LINKÖPING</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8967-2025</t>
        </is>
      </c>
      <c r="B734" s="1" t="n">
        <v>45712</v>
      </c>
      <c r="C734" s="1" t="n">
        <v>46032</v>
      </c>
      <c r="D734" t="inlineStr">
        <is>
          <t>ÖSTERGÖTLANDS LÄN</t>
        </is>
      </c>
      <c r="E734" t="inlineStr">
        <is>
          <t>LINKÖPING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63678-2023</t>
        </is>
      </c>
      <c r="B735" s="1" t="n">
        <v>45275.64769675926</v>
      </c>
      <c r="C735" s="1" t="n">
        <v>46032</v>
      </c>
      <c r="D735" t="inlineStr">
        <is>
          <t>ÖSTERGÖTLANDS LÄN</t>
        </is>
      </c>
      <c r="E735" t="inlineStr">
        <is>
          <t>LINKÖPING</t>
        </is>
      </c>
      <c r="F735" t="inlineStr">
        <is>
          <t>Övriga Aktiebolag</t>
        </is>
      </c>
      <c r="G735" t="n">
        <v>0.4</v>
      </c>
      <c r="H735" t="n">
        <v>0</v>
      </c>
      <c r="I735" t="n">
        <v>0</v>
      </c>
      <c r="J735" t="n">
        <v>0</v>
      </c>
      <c r="K735" t="n">
        <v>0</v>
      </c>
      <c r="L735" t="n">
        <v>0</v>
      </c>
      <c r="M735" t="n">
        <v>0</v>
      </c>
      <c r="N735" t="n">
        <v>0</v>
      </c>
      <c r="O735" t="n">
        <v>0</v>
      </c>
      <c r="P735" t="n">
        <v>0</v>
      </c>
      <c r="Q735" t="n">
        <v>0</v>
      </c>
      <c r="R735" s="2" t="inlineStr"/>
    </row>
    <row r="736" ht="15" customHeight="1">
      <c r="A736" t="inlineStr">
        <is>
          <t>A 1844-2025</t>
        </is>
      </c>
      <c r="B736" s="1" t="n">
        <v>45671.57730324074</v>
      </c>
      <c r="C736" s="1" t="n">
        <v>46032</v>
      </c>
      <c r="D736" t="inlineStr">
        <is>
          <t>ÖSTERGÖTLANDS LÄN</t>
        </is>
      </c>
      <c r="E736" t="inlineStr">
        <is>
          <t>LINKÖPING</t>
        </is>
      </c>
      <c r="G736" t="n">
        <v>2</v>
      </c>
      <c r="H736" t="n">
        <v>0</v>
      </c>
      <c r="I736" t="n">
        <v>0</v>
      </c>
      <c r="J736" t="n">
        <v>0</v>
      </c>
      <c r="K736" t="n">
        <v>0</v>
      </c>
      <c r="L736" t="n">
        <v>0</v>
      </c>
      <c r="M736" t="n">
        <v>0</v>
      </c>
      <c r="N736" t="n">
        <v>0</v>
      </c>
      <c r="O736" t="n">
        <v>0</v>
      </c>
      <c r="P736" t="n">
        <v>0</v>
      </c>
      <c r="Q736" t="n">
        <v>0</v>
      </c>
      <c r="R736" s="2" t="inlineStr"/>
    </row>
    <row r="737" ht="15" customHeight="1">
      <c r="A737" t="inlineStr">
        <is>
          <t>A 21165-2025</t>
        </is>
      </c>
      <c r="B737" s="1" t="n">
        <v>45779.39417824074</v>
      </c>
      <c r="C737" s="1" t="n">
        <v>46032</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c r="A738" t="inlineStr">
        <is>
          <t>A 21155-2025</t>
        </is>
      </c>
      <c r="B738" s="1" t="n">
        <v>45779.37586805555</v>
      </c>
      <c r="C738" s="1" t="n">
        <v>46032</v>
      </c>
      <c r="D738" t="inlineStr">
        <is>
          <t>ÖSTERGÖTLANDS LÄN</t>
        </is>
      </c>
      <c r="E738" t="inlineStr">
        <is>
          <t>LINKÖPING</t>
        </is>
      </c>
      <c r="G738" t="n">
        <v>0.5</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2026-01-10T10:53:29Z</dcterms:created>
  <dcterms:modified xmlns:dcterms="http://purl.org/dc/terms/" xmlns:xsi="http://www.w3.org/2001/XMLSchema-instance" xsi:type="dcterms:W3CDTF">2026-01-10T10:53:30Z</dcterms:modified>
</cp:coreProperties>
</file>